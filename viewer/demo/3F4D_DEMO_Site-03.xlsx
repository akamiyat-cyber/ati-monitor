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Calendar" sheetId="4" state="visible" r:id="rId6"/>
    <sheet name="Today" sheetId="5" state="visible" r:id="rId7"/>
    <sheet name="Graphs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<sst xmlns="http://schemas.openxmlformats.org/spreadsheetml/2006/main" count="1202" uniqueCount="601">
  <si>
    <t xml:space="preserve">3F4D Water Monitor - sheet version / শিট সংস্করণ</t>
  </si>
  <si>
    <t xml:space="preserve">Water-level record of the FP plot and the 3F4D+MD plot. You enter data in only TWO tabs (yellow tabs). All other tabs are automatic.</t>
  </si>
  <si>
    <t xml:space="preserve">মাত্র দুটি ট্যাবে (হলুদ ট্যাব) তথ্য দিন। বাকি সব ট্যাব স্বয়ংক্রিয়।</t>
  </si>
  <si>
    <t xml:space="preserve">WHERE TO ENTER / কোথায় লিখবেন</t>
  </si>
  <si>
    <t xml:space="preserve">1_Settings  -  once at the start of the season: site, sowing date, seedling age, plot area, TP and b, planned dates of seed wetting / plowing / puddling.</t>
  </si>
  <si>
    <t xml:space="preserve">2_Daily_input  -  every day: one column per day. Tape reading m of both plots (every day), m before and after irrigation, rain and weather, field condition and work. Occasionally: tillers, TP and b measured again, schedule work done, fertilizer and chemicals.</t>
  </si>
  <si>
    <t xml:space="preserve">Colours / রং</t>
  </si>
  <si>
    <t xml:space="preserve">Yellow cell = enter here.  Grey cell = automatic, do not edit.  Red cell = needed but still empty.  Blue / brown numbers = water above / below the soil surface.</t>
  </si>
  <si>
    <t xml:space="preserve">2_Daily_input - sections from top to bottom</t>
  </si>
  <si>
    <t xml:space="preserve">EVERY DAY: m of FP and 3F4D+MD. The water level and the check appear below automatically.</t>
  </si>
  <si>
    <t xml:space="preserve">WHEN YOU IRRIGATE: m before and after irrigation (both, on the same day). Irrigation (mm) appears automatically.</t>
  </si>
  <si>
    <t xml:space="preserve">WEATHER, FIELD AND WORK, NOTE: when there is something to record.</t>
  </si>
  <si>
    <t xml:space="preserve">TILLERS: on the tiller days shown in Calendar, count 5 hills of each plot.</t>
  </si>
  <si>
    <t xml:space="preserve">TP AND b MEASURED AGAIN: after Pitan and mid-season drainage the soil shrinks; measure TP and b again and enter both on that day. Water levels from that day use the new values.</t>
  </si>
  <si>
    <t xml:space="preserve">SCHEDULE WORK DONE: on the day a schedule work was done (e.g. Transplanting, Pitan start, MD start, 3F4D-1 start, Harvest), choose it from the list. This gives the actual dates in Schedule_Farmer and Calendar.</t>
  </si>
  <si>
    <t xml:space="preserve">SEEDBED / MAIN FIELD: fertilizer (kg), chemicals and other work on the day applied. N and P per 10a are calculated in Other_info.</t>
  </si>
  <si>
    <t xml:space="preserve">Automatic tabs / স্বয়ংক্রিয় ট্যাব</t>
  </si>
  <si>
    <t xml:space="preserve">Today: what to do today, latest water level, totals, next events.  Graphs: water level, rain, cumulative irrigation, daily decrease, tillers.  Calendar and Schedule_Farmer: planned and actual dates.  Data_Farmer: all daily data with calculations (same layout as the field irrigation-schedule workbook).  Other_info: fertilizer totals, N and P.  Viewer_export: read by the 3F4D Site Viewer.</t>
  </si>
  <si>
    <t xml:space="preserve">For the administrator (once per site) / প্রশাসকের জন্য</t>
  </si>
  <si>
    <t xml:space="preserve">Upload this file to Google Drive, open it and choose File &gt; Save as Google Sheets. Make one copy per site (File &gt; Make a copy). Share it with the users of the site as Editor.</t>
  </si>
  <si>
    <t xml:space="preserve">To show this site in the 3F4D Site Viewer: Share &gt; General access &gt; Anyone with the link &gt; Viewer, and send the link to the coordinator.</t>
  </si>
  <si>
    <t xml:space="preserve">Lists in the drop-down cells can be changed in the tab "pull-down list" (add items at the end of a list).</t>
  </si>
  <si>
    <t xml:space="preserve">Input check (automatic) - what the warnings mean / ইনপুট পরীক্ষা</t>
  </si>
  <si>
    <t xml:space="preserve">The rows "FP: input check (automatic)" and "3F4D+MD: input check (automatic)" in 2_Daily_input stay empty when everything is fine. A warning appears in orange when something looks wrong (several warnings are separated by ";").</t>
  </si>
  <si>
    <t xml:space="preserve">WL out of range = the water level is below -30 cm or above +20 cm: check m (typing error) and TP / b.</t>
  </si>
  <si>
    <t xml:space="preserve">no TP/b = m is entered but TP and b are missing, so the water level cannot be calculated: enter TP and b in 1_Settings.</t>
  </si>
  <si>
    <t xml:space="preserve">After&lt;Before = the level after irrigation is lower than before: check that "m before" and "m after" are not swapped.</t>
  </si>
  <si>
    <t xml:space="preserve">irrigation readings missing = only one of "m before" and "m after" irrigation is entered: enter the other one (the empty cell is red).</t>
  </si>
  <si>
    <t xml:space="preserve">WL jump &gt;5 cm = the water level changed by more than 5 cm from the previous day without rain: check m, or enter the rain.</t>
  </si>
  <si>
    <t xml:space="preserve">re-measure TP/b after Pitan (3F4D+MD only) = Pitan has ended but TP and b were not measured again: measure them and enter them in "TP AND b MEASURED AGAIN".</t>
  </si>
  <si>
    <t xml:space="preserve">Weather: rain, temperature or humidity out of range (rain 0-300 mm, temperature 0-45 °C, humidity 0-100 %) is shown in Data_Farmer, row "Input check, weather (automatic)".</t>
  </si>
  <si>
    <t xml:space="preserve">Rules / নিয়ম</t>
  </si>
  <si>
    <t xml:space="preserve">Do not insert or delete rows or columns, and keep the tab names. Do not change the first date of the daily sheet (1_Settings) after data entry has started.</t>
  </si>
  <si>
    <t xml:space="preserve">Water level (cm) = m - TP + b. Irrigation (mm) = (level after - max(level before, 0)) x 10. Daily decrease (mm) = (level at the end of the previous day - level today) x 10. Tillers per hill = mean of the 2nd, 3rd and 4th largest of 5 hills.</t>
  </si>
  <si>
    <t xml:space="preserve">Schedule rules follow the 3F4D+MD scheduling app (Professional mode); the numbers of days are in 1_Settings (section E). 3F4D manuals: English https://doi.org/10.5281/zenodo.22932287 , Bengali https://doi.org/10.5281/zenodo.23075395</t>
  </si>
  <si>
    <t xml:space="preserve">1  Basic settings / মৌলিক সেটআপ</t>
  </si>
  <si>
    <t xml:space="preserve">Enter once at the start of the season, in the YELLOW cells only. Red = required and still empty. Grey = calculated. Daily data go to the tab 2_Daily_input.</t>
  </si>
  <si>
    <t xml:space="preserve">A. Site / সাইট</t>
  </si>
  <si>
    <t xml:space="preserve">1</t>
  </si>
  <si>
    <t xml:space="preserve">Site name * / সাইটের নাম</t>
  </si>
  <si>
    <t xml:space="preserve">Demo Site-03</t>
  </si>
  <si>
    <t xml:space="preserve">e.g. Chougachha-01</t>
  </si>
  <si>
    <t xml:space="preserve">2</t>
  </si>
  <si>
    <t xml:space="preserve">Place (district / upazila) * / স্থান</t>
  </si>
  <si>
    <t xml:space="preserve">Pirganj, Rangpur</t>
  </si>
  <si>
    <t xml:space="preserve">e.g. Chougachha, Jashore</t>
  </si>
  <si>
    <t xml:space="preserve">3</t>
  </si>
  <si>
    <t xml:space="preserve">Latitude (optional)</t>
  </si>
  <si>
    <t xml:space="preserve">e.g. 23.27</t>
  </si>
  <si>
    <t xml:space="preserve">4</t>
  </si>
  <si>
    <t xml:space="preserve">Longitude (optional)</t>
  </si>
  <si>
    <t xml:space="preserve">e.g. 89.25</t>
  </si>
  <si>
    <t xml:space="preserve">5</t>
  </si>
  <si>
    <t xml:space="preserve">Variety / জাত</t>
  </si>
  <si>
    <t xml:space="preserve">BRRI dhan58</t>
  </si>
  <si>
    <t xml:space="preserve">e.g. Rod miniket</t>
  </si>
  <si>
    <t xml:space="preserve">B. Crop dates / তারিখ</t>
  </si>
  <si>
    <t xml:space="preserve">6</t>
  </si>
  <si>
    <t xml:space="preserve">Sowing date (seedbed) * / বপনের তারিখ</t>
  </si>
  <si>
    <t xml:space="preserve">e.g. 02 Dec 2025</t>
  </si>
  <si>
    <t xml:space="preserve">7</t>
  </si>
  <si>
    <t xml:space="preserve">Seedling age at transplanting (days) * / চারার বয়স</t>
  </si>
  <si>
    <t xml:space="preserve">e.g. 49</t>
  </si>
  <si>
    <t xml:space="preserve">Transplanting date (automatic) / রোপণের তারিখ</t>
  </si>
  <si>
    <t xml:space="preserve">sowing date + seedling age</t>
  </si>
  <si>
    <t xml:space="preserve">Day 0 of the schedule (automatic)</t>
  </si>
  <si>
    <t xml:space="preserve">transplanting date - 35 (same as the 3F4D+MD scheduling app)</t>
  </si>
  <si>
    <t xml:space="preserve">8</t>
  </si>
  <si>
    <t xml:space="preserve">First date of the daily sheet (optional)</t>
  </si>
  <si>
    <t xml:space="preserve">Leave empty = 3 days before sowing (seed wetting). Do not change it after data entry has started.</t>
  </si>
  <si>
    <t xml:space="preserve">First date used (automatic)</t>
  </si>
  <si>
    <t xml:space="preserve">C. Plots: area and the water-level pipe / প্লট</t>
  </si>
  <si>
    <t xml:space="preserve">Plot / প্লট</t>
  </si>
  <si>
    <t xml:space="preserve">Plot ID</t>
  </si>
  <si>
    <t xml:space="preserve">Area (decimal) *</t>
  </si>
  <si>
    <t xml:space="preserve">TP (cm) *</t>
  </si>
  <si>
    <t xml:space="preserve">b (cm) *</t>
  </si>
  <si>
    <t xml:space="preserve">Area (m2, auto)</t>
  </si>
  <si>
    <t xml:space="preserve">TP = tape reading at the top of the pipe; b = height of the pipe top above the soil (see How_to_measure)</t>
  </si>
  <si>
    <t xml:space="preserve">9</t>
  </si>
  <si>
    <t xml:space="preserve">FP (farmers practice)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</si>
  <si>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</si>
  <si>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</si>
  <si>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</si>
  <si>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</si>
  <si>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</si>
  <si>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Date TP and b were measured / TP ও b মাপার তারিখ</t>
  </si>
  <si>
    <t xml:space="preserve">Usually the transplanting day. Later re-measurements (after Pitan / MD): enter them in 2_Daily_input.</t>
  </si>
  <si>
    <t xml:space="preserve">D. Planned dates you decide yourself / নিজে ঠিক করা তারিখ</t>
  </si>
  <si>
    <t xml:space="preserve">12</t>
  </si>
  <si>
    <t xml:space="preserve">Seed wetting - planned date</t>
  </si>
  <si>
    <t xml:space="preserve">The other planned dates are calculated (Schedule_Farmer).</t>
  </si>
  <si>
    <t xml:space="preserve">13</t>
  </si>
  <si>
    <t xml:space="preserve">Plowing - planned date</t>
  </si>
  <si>
    <t xml:space="preserve">14</t>
  </si>
  <si>
    <t xml:space="preserve">Puddling - planned date</t>
  </si>
  <si>
    <t xml:space="preserve">E. Schedule rules (days) - usually do not change / সাধারণত পরিবর্তন করবেন না</t>
  </si>
  <si>
    <t xml:space="preserve">Days from sowing to transplanting (app)</t>
  </si>
  <si>
    <t xml:space="preserve">Pitan start: days after transplanting</t>
  </si>
  <si>
    <t xml:space="preserve">Pitan duration (days)</t>
  </si>
  <si>
    <t xml:space="preserve">MD start: days after sowing (app)</t>
  </si>
  <si>
    <t xml:space="preserve">MD duration (days)</t>
  </si>
  <si>
    <t xml:space="preserve">PI check: days after MD start</t>
  </si>
  <si>
    <t xml:space="preserve">Heading: days after sowing (app)</t>
  </si>
  <si>
    <t xml:space="preserve">Flooding before heading (days)</t>
  </si>
  <si>
    <t xml:space="preserve">3F4D start before heading (days)</t>
  </si>
  <si>
    <t xml:space="preserve">Harvest: days after heading</t>
  </si>
  <si>
    <t xml:space="preserve">FP: Pitan duration (days)</t>
  </si>
  <si>
    <t xml:space="preserve">FP: last irrigation, days before harvest</t>
  </si>
  <si>
    <t xml:space="preserve">Last irrigation before Pitan / MD start (days)</t>
  </si>
  <si>
    <t xml:space="preserve">3F4D cycle length (days; 8 if one day was lost)</t>
  </si>
  <si>
    <t xml:space="preserve">F. N and P content of fertilizers (fraction) - usually do not change</t>
  </si>
  <si>
    <t xml:space="preserve">Fertilizer</t>
  </si>
  <si>
    <t xml:space="preserve">N (fraction)</t>
  </si>
  <si>
    <t xml:space="preserve">P (fraction)</t>
  </si>
  <si>
    <t xml:space="preserve">Urea</t>
  </si>
  <si>
    <t xml:space="preserve">TSP</t>
  </si>
  <si>
    <t xml:space="preserve">DAP</t>
  </si>
  <si>
    <t xml:space="preserve">Gypsum</t>
  </si>
  <si>
    <t xml:space="preserve">MOP</t>
  </si>
  <si>
    <t xml:space="preserve">Boron</t>
  </si>
  <si>
    <t xml:space="preserve">Zinc</t>
  </si>
  <si>
    <t xml:space="preserve">Magnesium</t>
  </si>
  <si>
    <t xml:space="preserve">Sulphate</t>
  </si>
  <si>
    <t xml:space="preserve">Thiovit</t>
  </si>
  <si>
    <t xml:space="preserve">Cow dung</t>
  </si>
  <si>
    <t xml:space="preserve">Straw</t>
  </si>
  <si>
    <t xml:space="preserve">P = elemental P (P2O5 x 0.436)</t>
  </si>
  <si>
    <t xml:space="preserve">2  Daily input / দৈনিক তথ্য</t>
  </si>
  <si>
    <t xml:space="preserve">Date</t>
  </si>
  <si>
    <t xml:space="preserve">One column per day. Enter in the YELLOW cells only.</t>
  </si>
  <si>
    <t xml:space="preserve">Weekday</t>
  </si>
  <si>
    <t xml:space="preserve">Days after transplanting</t>
  </si>
  <si>
    <t xml:space="preserve">Red cell = needed but empty.  Grey = automatic.</t>
  </si>
  <si>
    <t xml:space="preserve">Stage (schedule)</t>
  </si>
  <si>
    <t xml:space="preserve">EVERY DAY: tape reading m at the pipe / প্রতিদিন: পাইপে টেপের মাপ m</t>
  </si>
  <si>
    <t xml:space="preserve">FP: m (cm) *</t>
  </si>
  <si>
    <t xml:space="preserve">every day</t>
  </si>
  <si>
    <t xml:space="preserve">3F4D+MD: m (cm) *</t>
  </si>
  <si>
    <t xml:space="preserve">FP: water level (cm)</t>
  </si>
  <si>
    <t xml:space="preserve">automatic</t>
  </si>
  <si>
    <t xml:space="preserve">3F4D+MD: water level (cm)</t>
  </si>
  <si>
    <t xml:space="preserve">FP: input check (automatic)</t>
  </si>
  <si>
    <t xml:space="preserve">warnings, see Guide</t>
  </si>
  <si>
    <t xml:space="preserve">3F4D+MD: input check (automatic)</t>
  </si>
  <si>
    <t xml:space="preserve">WHEN YOU IRRIGATE: m before and after irrigation / সেচ দিলে</t>
  </si>
  <si>
    <t xml:space="preserve">FP: m before irrigation (cm)</t>
  </si>
  <si>
    <t xml:space="preserve">only on irrigation days</t>
  </si>
  <si>
    <t xml:space="preserve">FP: m after irrigation (cm)</t>
  </si>
  <si>
    <t xml:space="preserve">FP: irrigation time (min:sec)</t>
  </si>
  <si>
    <t xml:space="preserve">optional</t>
  </si>
  <si>
    <t xml:space="preserve">15:00</t>
  </si>
  <si>
    <t xml:space="preserve">40:00</t>
  </si>
  <si>
    <t xml:space="preserve">30:00</t>
  </si>
  <si>
    <t xml:space="preserve">20:00</t>
  </si>
  <si>
    <t xml:space="preserve">25:00</t>
  </si>
  <si>
    <t xml:space="preserve">10:00</t>
  </si>
  <si>
    <t xml:space="preserve">3F4D+MD: m before irrigation (cm)</t>
  </si>
  <si>
    <t xml:space="preserve">3F4D+MD: m after irrigation (cm)</t>
  </si>
  <si>
    <t xml:space="preserve">3F4D+MD: irrigation time (min:sec)</t>
  </si>
  <si>
    <t xml:space="preserve">35:00</t>
  </si>
  <si>
    <t xml:space="preserve">FP: irrigation (mm)</t>
  </si>
  <si>
    <t xml:space="preserve">3F4D+MD: irrigation (mm)</t>
  </si>
  <si>
    <t xml:space="preserve">WEATHER (both plots) / আবহাওয়া</t>
  </si>
  <si>
    <t xml:space="preserve">Rain fall (mm) / বৃষ্টি</t>
  </si>
  <si>
    <t xml:space="preserve">if it rained</t>
  </si>
  <si>
    <t xml:space="preserve">Temperature (°C)</t>
  </si>
  <si>
    <t xml:space="preserve">Humidity (%)</t>
  </si>
  <si>
    <t xml:space="preserve">Weather condition</t>
  </si>
  <si>
    <t xml:space="preserve">list</t>
  </si>
  <si>
    <t xml:space="preserve">Pump and others</t>
  </si>
  <si>
    <t xml:space="preserve">list, if a problem</t>
  </si>
  <si>
    <t xml:space="preserve">FIELD AND WORK - FP plot / মাঠ ও কাজ</t>
  </si>
  <si>
    <t xml:space="preserve">Field condition</t>
  </si>
  <si>
    <t xml:space="preserve">Condition</t>
  </si>
  <si>
    <t xml:space="preserve">Good</t>
  </si>
  <si>
    <t xml:space="preserve">Farmer (land owner) work time (min)</t>
  </si>
  <si>
    <t xml:space="preserve">number</t>
  </si>
  <si>
    <t xml:space="preserve">Farmer work contents</t>
  </si>
  <si>
    <t xml:space="preserve">Irrigation</t>
  </si>
  <si>
    <t xml:space="preserve">Labour cost (BDT)</t>
  </si>
  <si>
    <t xml:space="preserve">Labour work contents</t>
  </si>
  <si>
    <t xml:space="preserve">FIELD AND WORK - 3F4D+MD plot / মাঠ ও কাজ</t>
  </si>
  <si>
    <t xml:space="preserve">NOTE / মন্তব্য</t>
  </si>
  <si>
    <t xml:space="preserve">Note (any comments)</t>
  </si>
  <si>
    <t xml:space="preserve">free text</t>
  </si>
  <si>
    <t xml:space="preserve">Drain</t>
  </si>
  <si>
    <t xml:space="preserve">100%</t>
  </si>
  <si>
    <t xml:space="preserve">TILLERS: count 5 hills on the tiller days (see Calendar) / কুশি</t>
  </si>
  <si>
    <t xml:space="preserve">FP: hill 1</t>
  </si>
  <si>
    <t xml:space="preserve">number of tillers</t>
  </si>
  <si>
    <t xml:space="preserve">FP: hill 2</t>
  </si>
  <si>
    <t xml:space="preserve">FP: hill 3</t>
  </si>
  <si>
    <t xml:space="preserve">FP: hill 4</t>
  </si>
  <si>
    <t xml:space="preserve">FP: hill 5</t>
  </si>
  <si>
    <t xml:space="preserve">FP: tillers per hill</t>
  </si>
  <si>
    <t xml:space="preserve">3F4D+MD: hill 1</t>
  </si>
  <si>
    <t xml:space="preserve">3F4D+MD: hill 2</t>
  </si>
  <si>
    <t xml:space="preserve">3F4D+MD: hill 3</t>
  </si>
  <si>
    <t xml:space="preserve">3F4D+MD: hill 4</t>
  </si>
  <si>
    <t xml:space="preserve">3F4D+MD: hill 5</t>
  </si>
  <si>
    <t xml:space="preserve">3F4D+MD: tillers per hill</t>
  </si>
  <si>
    <t xml:space="preserve">TP AND b MEASURED AGAIN (after Pitan / MD) / TP ও b পুনরায়</t>
  </si>
  <si>
    <t xml:space="preserve">FP: TP (cm)</t>
  </si>
  <si>
    <t xml:space="preserve">on the day measured, TP and b together</t>
  </si>
  <si>
    <t xml:space="preserve">FP: b (cm)</t>
  </si>
  <si>
    <t xml:space="preserve">on the day measured</t>
  </si>
  <si>
    <t xml:space="preserve">3F4D+MD: TP (cm)</t>
  </si>
  <si>
    <t xml:space="preserve">3F4D+MD: b (cm)</t>
  </si>
  <si>
    <t xml:space="preserve">SCHEDULE WORK DONE: choose the work on the day it was done / সময়সূচির কাজ</t>
  </si>
  <si>
    <t xml:space="preserve">3F4D+MD: work done</t>
  </si>
  <si>
    <t xml:space="preserve">list (actual date of the schedule)</t>
  </si>
  <si>
    <t xml:space="preserve">Seed wetting</t>
  </si>
  <si>
    <t xml:space="preserve">Sowing</t>
  </si>
  <si>
    <t xml:space="preserve">Transplanting</t>
  </si>
  <si>
    <t xml:space="preserve">3F4D-5 start</t>
  </si>
  <si>
    <t xml:space="preserve">3F4D-6 start</t>
  </si>
  <si>
    <t xml:space="preserve">3F4D end</t>
  </si>
  <si>
    <t xml:space="preserve">3F4D+MD: work done (2nd)</t>
  </si>
  <si>
    <t xml:space="preserve">if two on the same day</t>
  </si>
  <si>
    <t xml:space="preserve">FP: work done</t>
  </si>
  <si>
    <t xml:space="preserve">FP: work done (2nd)</t>
  </si>
  <si>
    <t xml:space="preserve">SEEDBED: work, fertilizer (kg), chemicals / বীজতলা</t>
  </si>
  <si>
    <t xml:space="preserve">Seedbed: work</t>
  </si>
  <si>
    <t xml:space="preserve">Seed sowing</t>
  </si>
  <si>
    <t xml:space="preserve">Seedbed: Urea (kg)</t>
  </si>
  <si>
    <t xml:space="preserve">kg</t>
  </si>
  <si>
    <t xml:space="preserve">Seedbed: TSP (kg)</t>
  </si>
  <si>
    <t xml:space="preserve">Seedbed: DAP (kg)</t>
  </si>
  <si>
    <t xml:space="preserve">Seedbed: Gypsum (kg)</t>
  </si>
  <si>
    <t xml:space="preserve">Seedbed: MOP (kg)</t>
  </si>
  <si>
    <t xml:space="preserve">Seedbed: Boron (kg)</t>
  </si>
  <si>
    <t xml:space="preserve">Seedbed: Zinc (kg)</t>
  </si>
  <si>
    <t xml:space="preserve">Seedbed: Magnesium (kg)</t>
  </si>
  <si>
    <t xml:space="preserve">Seedbed: Thiovit (kg)</t>
  </si>
  <si>
    <t xml:space="preserve">Seedbed: chemical type</t>
  </si>
  <si>
    <t xml:space="preserve">Seedbed: name of chemical</t>
  </si>
  <si>
    <t xml:space="preserve">text</t>
  </si>
  <si>
    <t xml:space="preserve">Seedbed: purpose</t>
  </si>
  <si>
    <t xml:space="preserve">MAIN FIELD FP: work, fertilizer (kg), chemicals / মূল জমি</t>
  </si>
  <si>
    <t xml:space="preserve">FP: work</t>
  </si>
  <si>
    <t xml:space="preserve">Spray</t>
  </si>
  <si>
    <t xml:space="preserve">FP: Urea (kg)</t>
  </si>
  <si>
    <t xml:space="preserve">FP: TSP (kg)</t>
  </si>
  <si>
    <t xml:space="preserve">FP: DAP (kg)</t>
  </si>
  <si>
    <t xml:space="preserve">FP: Gypsum (kg)</t>
  </si>
  <si>
    <t xml:space="preserve">FP: MOP (kg)</t>
  </si>
  <si>
    <t xml:space="preserve">FP: Boron (kg)</t>
  </si>
  <si>
    <t xml:space="preserve">FP: Zinc (kg)</t>
  </si>
  <si>
    <t xml:space="preserve">FP: Magnesium (kg)</t>
  </si>
  <si>
    <t xml:space="preserve">FP: Sulphate (kg)</t>
  </si>
  <si>
    <t xml:space="preserve">FP: Thiovit (kg)</t>
  </si>
  <si>
    <t xml:space="preserve">FP: Cow dung (kg)</t>
  </si>
  <si>
    <t xml:space="preserve">FP: Straw (kg)</t>
  </si>
  <si>
    <t xml:space="preserve">FP: chemical type</t>
  </si>
  <si>
    <t xml:space="preserve">Insecticide</t>
  </si>
  <si>
    <t xml:space="preserve">Fungicide</t>
  </si>
  <si>
    <t xml:space="preserve">FP: name of chemical</t>
  </si>
  <si>
    <t xml:space="preserve">Demo-Insecticide</t>
  </si>
  <si>
    <t xml:space="preserve">Demo-Fungicide</t>
  </si>
  <si>
    <t xml:space="preserve">FP: purpose</t>
  </si>
  <si>
    <t xml:space="preserve">stem borer</t>
  </si>
  <si>
    <t xml:space="preserve">sheath blight</t>
  </si>
  <si>
    <t xml:space="preserve">FP: chemical amount</t>
  </si>
  <si>
    <t xml:space="preserve">FP: unit price (BDT)</t>
  </si>
  <si>
    <t xml:space="preserve">FP: note</t>
  </si>
  <si>
    <t xml:space="preserve">basal</t>
  </si>
  <si>
    <t xml:space="preserve">1st top dressing</t>
  </si>
  <si>
    <t xml:space="preserve">2nd top dressing</t>
  </si>
  <si>
    <t xml:space="preserve">MAIN FIELD 3F4D+MD: work, fertilizer (kg), chemicals / মূল জমি</t>
  </si>
  <si>
    <t xml:space="preserve">3F4D+MD: work</t>
  </si>
  <si>
    <t xml:space="preserve">3F4D+MD: Urea (kg)</t>
  </si>
  <si>
    <t xml:space="preserve">3F4D+MD: TSP (kg)</t>
  </si>
  <si>
    <t xml:space="preserve">3F4D+MD: DAP (kg)</t>
  </si>
  <si>
    <t xml:space="preserve">3F4D+MD: Gypsum (kg)</t>
  </si>
  <si>
    <t xml:space="preserve">3F4D+MD: MOP (kg)</t>
  </si>
  <si>
    <t xml:space="preserve">3F4D+MD: Boron (kg)</t>
  </si>
  <si>
    <t xml:space="preserve">3F4D+MD: Zinc (kg)</t>
  </si>
  <si>
    <t xml:space="preserve">3F4D+MD: Magnesium (kg)</t>
  </si>
  <si>
    <t xml:space="preserve">3F4D+MD: Sulphate (kg)</t>
  </si>
  <si>
    <t xml:space="preserve">3F4D+MD: Thiovit (kg)</t>
  </si>
  <si>
    <t xml:space="preserve">3F4D+MD: Cow dung (kg)</t>
  </si>
  <si>
    <t xml:space="preserve">3F4D+MD: Straw (kg)</t>
  </si>
  <si>
    <t xml:space="preserve">3F4D+MD: chemical type</t>
  </si>
  <si>
    <t xml:space="preserve">3F4D+MD: name of chemical</t>
  </si>
  <si>
    <t xml:space="preserve">3F4D+MD: purpose</t>
  </si>
  <si>
    <t xml:space="preserve">3F4D+MD: chemical amount</t>
  </si>
  <si>
    <t xml:space="preserve">3F4D+MD: unit price (BDT)</t>
  </si>
  <si>
    <t xml:space="preserve">3F4D+MD: note</t>
  </si>
  <si>
    <t xml:space="preserve">Calendar / ক্যালেন্ডার</t>
  </si>
  <si>
    <t xml:space="preserve">3F4D+MD activities</t>
  </si>
  <si>
    <t xml:space="preserve">Planned</t>
  </si>
  <si>
    <t xml:space="preserve">Actual</t>
  </si>
  <si>
    <t xml:space="preserve">FP activities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</si>
  <si>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</si>
  <si>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</si>
  <si>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</si>
  <si>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</si>
  <si>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</si>
  <si>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</si>
  <si>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</si>
  <si>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</si>
  <si>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</si>
  <si>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</si>
  <si>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</si>
  <si>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</si>
  <si>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</si>
  <si>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</si>
  <si>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</si>
  <si>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</si>
  <si>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</si>
  <si>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</si>
  <si>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</si>
  <si>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</si>
  <si>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</si>
  <si>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Pitan and the last irrigation are optional and may be carried out or omitted. Actual dates: 2_Daily_input, rows "SCHEDULE WORK DONE".</t>
  </si>
  <si>
    <t xml:space="preserve">Tiller (stem) number measurement</t>
  </si>
  <si>
    <t xml:space="preserve">Day 50 after sowing</t>
  </si>
  <si>
    <t xml:space="preserve">Day 60 after sowing</t>
  </si>
  <si>
    <t xml:space="preserve">Day 70 after sowing</t>
  </si>
  <si>
    <t xml:space="preserve">Day 80 after sowing</t>
  </si>
  <si>
    <t xml:space="preserve">Day 90 after sowing</t>
  </si>
  <si>
    <t xml:space="preserve">Water sampling: once a week</t>
  </si>
  <si>
    <t xml:space="preserve">Today / আজ</t>
  </si>
  <si>
    <t xml:space="preserve">Today's water level / আজকের পানির স্তর</t>
  </si>
  <si>
    <t xml:space="preserve">Last entry</t>
  </si>
  <si>
    <t xml:space="preserve">Days without entry</t>
  </si>
  <si>
    <t xml:space="preserve">Stage today</t>
  </si>
  <si>
    <t xml:space="preserve">FP</t>
  </si>
  <si>
    <t xml:space="preserve">Latest water level - date</t>
  </si>
  <si>
    <t xml:space="preserve">Water level (cm, after irrigation if irrigated)</t>
  </si>
  <si>
    <t xml:space="preserve">State</t>
  </si>
  <si>
    <t xml:space="preserve">Total irrigation (mm)</t>
  </si>
  <si>
    <t xml:space="preserve">Number of irrigations</t>
  </si>
  <si>
    <t xml:space="preserve">Water saving by 3F4D+MD</t>
  </si>
  <si>
    <t xml:space="preserve">Farmer working time (min)</t>
  </si>
  <si>
    <t xml:space="preserve">Labour (BDT)</t>
  </si>
  <si>
    <t xml:space="preserve">N applied (kg/10a)</t>
  </si>
  <si>
    <t xml:space="preserve">P applied (kg/10a)</t>
  </si>
  <si>
    <t xml:space="preserve">Next events (schedule)</t>
  </si>
  <si>
    <t xml:space="preserve">Next 1</t>
  </si>
  <si>
    <t xml:space="preserve">Next 2</t>
  </si>
  <si>
    <t xml:space="preserve">Next 3</t>
  </si>
  <si>
    <t xml:space="preserve">Next 4</t>
  </si>
  <si>
    <t xml:space="preserve">Actual date not entered (overdue events)</t>
  </si>
  <si>
    <t xml:space="preserve">Graphs / গ্রাফ  (MD, Pitan and 3F4D periods are drawn as lines at the top of the water-level graph)</t>
  </si>
  <si>
    <t xml:space="preserve">Schedule / সময়সূচি  (automatic - do not enter here. Actual dates come from 2_Daily_input, rows "SCHEDULE WORK DONE")</t>
  </si>
  <si>
    <t xml:space="preserve">Event</t>
  </si>
  <si>
    <t xml:space="preserve">ঘটনা</t>
  </si>
  <si>
    <t xml:space="preserve">Plot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</si>
  <si>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</si>
  <si>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</si>
  <si>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</si>
  <si>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</si>
  <si>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Status</t>
  </si>
  <si>
    <t xml:space="preserve">Delay (days)</t>
  </si>
  <si>
    <t xml:space="preserve">Used start</t>
  </si>
  <si>
    <t xml:space="preserve">Used end</t>
  </si>
  <si>
    <t xml:space="preserve">next</t>
  </si>
  <si>
    <t xml:space="preserve">3F4D+MD plot</t>
  </si>
  <si>
    <t xml:space="preserve">বীজ ভেজানো</t>
  </si>
  <si>
    <t xml:space="preserve">বপন</t>
  </si>
  <si>
    <t xml:space="preserve">Plowing</t>
  </si>
  <si>
    <t xml:space="preserve">চাষ</t>
  </si>
  <si>
    <t xml:space="preserve">Puddling</t>
  </si>
  <si>
    <t xml:space="preserve">কাদা করা</t>
  </si>
  <si>
    <t xml:space="preserve">রোপণ</t>
  </si>
  <si>
    <t xml:space="preserve">Last irrigation for Pitan</t>
  </si>
  <si>
    <t xml:space="preserve">পিটানের আগে শেষ সেচ</t>
  </si>
  <si>
    <t xml:space="preserve">Pitan (conventional mid-season drainage)</t>
  </si>
  <si>
    <t xml:space="preserve">পিটান</t>
  </si>
  <si>
    <t xml:space="preserve">Last irrigation for starting MD</t>
  </si>
  <si>
    <t xml:space="preserve">এমডির আগে শেষ সেচ</t>
  </si>
  <si>
    <t xml:space="preserve">Mid-season drainage (MD; start = surface water disappears)</t>
  </si>
  <si>
    <t xml:space="preserve">এমডি</t>
  </si>
  <si>
    <t xml:space="preserve">Panicle checking (PI check)</t>
  </si>
  <si>
    <t xml:space="preserve">পিআই পরীক্ষা</t>
  </si>
  <si>
    <t xml:space="preserve">Flooding (panicle initiation)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</si>
  <si>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</si>
  <si>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</si>
  <si>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</si>
  <si>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</si>
  <si>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</si>
  <si>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</si>
  <si>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</si>
  <si>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Heading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</si>
  <si>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</si>
  <si>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</si>
  <si>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</si>
  <si>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</si>
  <si>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</si>
  <si>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</si>
  <si>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</si>
  <si>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৩এফ৪ডি শেষ</t>
  </si>
  <si>
    <t xml:space="preserve">Last irrigation</t>
  </si>
  <si>
    <t xml:space="preserve">শেষ সেচ</t>
  </si>
  <si>
    <t xml:space="preserve">Harvest</t>
  </si>
  <si>
    <t xml:space="preserve">ধান কাটা</t>
  </si>
  <si>
    <t xml:space="preserve">FP plot (farmers practice)</t>
  </si>
  <si>
    <t xml:space="preserve">Pitan (FP)</t>
  </si>
  <si>
    <t xml:space="preserve">Flooding after Pitan</t>
  </si>
  <si>
    <t xml:space="preserve">Yellow bar = planned (calculated). Green bar = actual. Red line = today. Actual dates: in 2_Daily_input choose the work in the rows "SCHEDULE WORK DONE" on the day it was done. Planned dates of seed wetting, plowing and puddling: 1_Settings.</t>
  </si>
  <si>
    <t xml:space="preserve">Date / তারিখ  (automatic - enter in 2_Daily_input)</t>
  </si>
  <si>
    <t xml:space="preserve">Season</t>
  </si>
  <si>
    <t xml:space="preserve">Days after sowing</t>
  </si>
  <si>
    <t xml:space="preserve">Days after heading</t>
  </si>
  <si>
    <t xml:space="preserve">Both</t>
  </si>
  <si>
    <t xml:space="preserve">Weather / আবহাওয়া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</si>
  <si>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</si>
  <si>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</si>
  <si>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</si>
  <si>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</si>
  <si>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</si>
  <si>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</si>
  <si>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</si>
  <si>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</si>
  <si>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</si>
  <si>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</si>
  <si>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</si>
  <si>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</si>
  <si>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</si>
  <si>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</si>
  <si>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</si>
  <si>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</si>
  <si>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</si>
  <si>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</si>
  <si>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</si>
  <si>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</si>
  <si>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</si>
  <si>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Input check (automatic) / ইনপুট পরীক্ষা (স্বয়ংক্রিয়)</t>
  </si>
  <si>
    <t xml:space="preserve">(TP-b date)</t>
  </si>
  <si>
    <t xml:space="preserve">(end of day level)</t>
  </si>
  <si>
    <t xml:space="preserve">(has level)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</si>
  <si>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</si>
  <si>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</si>
  <si>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</si>
  <si>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</si>
  <si>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</si>
  <si>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</si>
  <si>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</si>
  <si>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</si>
  <si>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Input check, weather (automatic)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</si>
  <si>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</si>
  <si>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</si>
  <si>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</si>
  <si>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</si>
  <si>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</si>
  <si>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</si>
  <si>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</si>
  <si>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</si>
  <si>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</si>
  <si>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</si>
  <si>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</si>
  <si>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</si>
  <si>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</si>
  <si>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</si>
  <si>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</si>
  <si>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</si>
  <si>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</si>
  <si>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</si>
  <si>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</si>
  <si>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</si>
  <si>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</si>
  <si>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</si>
  <si>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</si>
  <si>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</si>
  <si>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</si>
  <si>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</si>
  <si>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</si>
  <si>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</si>
  <si>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</si>
  <si>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Other information / অন্যান্য তথ্য  (automatic - enter fertilizer and chemicals in 2_Daily_input)</t>
  </si>
  <si>
    <t xml:space="preserve">Seedbed (kg)</t>
  </si>
  <si>
    <t xml:space="preserve">FP (kg)</t>
  </si>
  <si>
    <t xml:space="preserve">3F4D+MD (kg)</t>
  </si>
  <si>
    <t xml:space="preserve">Main field</t>
  </si>
  <si>
    <t xml:space="preserve">N (kg/10a)</t>
  </si>
  <si>
    <t xml:space="preserve">P (kg/10a)</t>
  </si>
  <si>
    <t xml:space="preserve">Chemical applications</t>
  </si>
  <si>
    <t xml:space="preserve">Chemical cost (BDT)</t>
  </si>
  <si>
    <t xml:space="preserve">N and P per 10a are calculated from the plot area in 1_Settings and the N / P content of each fertilizer (1_Settings, section F).</t>
  </si>
  <si>
    <t xml:space="preserve">Water level measurement method / পানির স্তর মাপার পদ্ধতি</t>
  </si>
  <si>
    <t xml:space="preserve">Example</t>
  </si>
  <si>
    <t xml:space="preserve">Value</t>
  </si>
  <si>
    <t xml:space="preserve">Tape measure length (total)</t>
  </si>
  <si>
    <t xml:space="preserve">b = height of the pipe top above the ground (cm)</t>
  </si>
  <si>
    <t xml:space="preserve">c = length of the pipe under the ground (cm)</t>
  </si>
  <si>
    <t xml:space="preserve">m = reading of the tape at the water surface (cm)</t>
  </si>
  <si>
    <t xml:space="preserve">TP = reading of the tape at the top of the pipe (cm)</t>
  </si>
  <si>
    <t xml:space="preserve">Water level = m - TP + b (cm)</t>
  </si>
  <si>
    <t xml:space="preserve">• Negative water level = water below the soil surface.</t>
  </si>
  <si>
    <t xml:space="preserve">• Check that the top hole of the pipe is at the ground surface.</t>
  </si>
  <si>
    <t xml:space="preserve">• Are the pipes installed at an average position of the plot? Before the water is completely drained during Pitan or mid-season drainage, when the water level in the pipe matches the ground surface, check what percentage of the field still has water.</t>
  </si>
  <si>
    <t xml:space="preserve">• Is b measured properly? b changes when the soil shrinks during Pitan or mid-season drainage. Measure TP and b again at that time and enter them in 2_Daily_input (rows "TP AND b MEASURED AGAIN").</t>
  </si>
  <si>
    <t xml:space="preserve">pull-down list / ড্রপডাউন তালিকা  (the administrator may add items at the end of a list)</t>
  </si>
  <si>
    <t xml:space="preserve">Weather (Both)</t>
  </si>
  <si>
    <t xml:space="preserve">Field (each plot)</t>
  </si>
  <si>
    <t xml:space="preserve">Pump and others (Both)</t>
  </si>
  <si>
    <t xml:space="preserve">Condition (each plot)</t>
  </si>
  <si>
    <t xml:space="preserve">Labour / Farmer work</t>
  </si>
  <si>
    <t xml:space="preserve">Activities (Other_info)</t>
  </si>
  <si>
    <t xml:space="preserve">Pesticide / herbicide type</t>
  </si>
  <si>
    <t xml:space="preserve">Schedule 3F4D+MD</t>
  </si>
  <si>
    <t xml:space="preserve">Schedule FP</t>
  </si>
  <si>
    <t xml:space="preserve">Rain</t>
  </si>
  <si>
    <t xml:space="preserve">Stunted growth</t>
  </si>
  <si>
    <t xml:space="preserve">Electric outage</t>
  </si>
  <si>
    <t xml:space="preserve">Flood</t>
  </si>
  <si>
    <t xml:space="preserve">Non-rooting</t>
  </si>
  <si>
    <t xml:space="preserve">Pump or Boring trouble</t>
  </si>
  <si>
    <t xml:space="preserve">Need observation</t>
  </si>
  <si>
    <t xml:space="preserve">Weeding</t>
  </si>
  <si>
    <t xml:space="preserve">Cold wave</t>
  </si>
  <si>
    <t xml:space="preserve">Insect</t>
  </si>
  <si>
    <t xml:space="preserve">Personal affairs</t>
  </si>
  <si>
    <t xml:space="preserve">Need consultation immediately</t>
  </si>
  <si>
    <t xml:space="preserve">Fertilizer application</t>
  </si>
  <si>
    <t xml:space="preserve">Cowdung application</t>
  </si>
  <si>
    <t xml:space="preserve">Herbicide</t>
  </si>
  <si>
    <t xml:space="preserve">Hot wave</t>
  </si>
  <si>
    <t xml:space="preserve">Algae</t>
  </si>
  <si>
    <t xml:space="preserve">Others</t>
  </si>
  <si>
    <t xml:space="preserve">Herbicide application</t>
  </si>
  <si>
    <t xml:space="preserve">Straw application</t>
  </si>
  <si>
    <t xml:space="preserve">Other</t>
  </si>
  <si>
    <t xml:space="preserve">Winds</t>
  </si>
  <si>
    <t xml:space="preserve">Disease</t>
  </si>
  <si>
    <t xml:space="preserve">Pest management</t>
  </si>
  <si>
    <t xml:space="preserve">Hail</t>
  </si>
  <si>
    <t xml:space="preserve">Water pollution on rice field</t>
  </si>
  <si>
    <t xml:space="preserve">Planting</t>
  </si>
  <si>
    <t xml:space="preserve">Storm</t>
  </si>
  <si>
    <t xml:space="preserve">Worry about water shortage in future</t>
  </si>
  <si>
    <t xml:space="preserve">Harvesting</t>
  </si>
  <si>
    <t xml:space="preserve">Pitan start</t>
  </si>
  <si>
    <t xml:space="preserve">Water shortage</t>
  </si>
  <si>
    <t xml:space="preserve">Pitan end</t>
  </si>
  <si>
    <t xml:space="preserve">Risk of soil crack</t>
  </si>
  <si>
    <t xml:space="preserve">Leveling (Land)</t>
  </si>
  <si>
    <t xml:space="preserve">Weed infestation</t>
  </si>
  <si>
    <t xml:space="preserve">Border dressing</t>
  </si>
  <si>
    <t xml:space="preserve">MD start</t>
  </si>
  <si>
    <t xml:space="preserve">Leaf tends to yellow</t>
  </si>
  <si>
    <t xml:space="preserve">Other land related work</t>
  </si>
  <si>
    <t xml:space="preserve">MD end</t>
  </si>
  <si>
    <t xml:space="preserve">Red worm</t>
  </si>
  <si>
    <t xml:space="preserve">Drainage</t>
  </si>
  <si>
    <t xml:space="preserve">PI check</t>
  </si>
  <si>
    <t xml:space="preserve">Brown spot on leaf</t>
  </si>
  <si>
    <t xml:space="preserve">H2S check</t>
  </si>
  <si>
    <t xml:space="preserve">Flooding start</t>
  </si>
  <si>
    <t xml:space="preserve">Irrigation and Weeding</t>
  </si>
  <si>
    <t xml:space="preserve">Flooding end</t>
  </si>
  <si>
    <t xml:space="preserve">Irrigation and fertilizer</t>
  </si>
  <si>
    <t xml:space="preserve">3F4D-1 start</t>
  </si>
  <si>
    <t xml:space="preserve">3F4D-2 start</t>
  </si>
  <si>
    <t xml:space="preserve">3F4D-3 start</t>
  </si>
  <si>
    <t xml:space="preserve">3F4D-4 start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</si>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</sst>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.0"/>
    <numFmt numFmtId="167" formatCode="dd\ mmm"/>
    <numFmt numFmtId="168" formatCode="General"/>
    <numFmt numFmtId="169" formatCode="d"/>
    <numFmt numFmtId="170" formatCode="0"/>
    <numFmt numFmtId="171" formatCode="0.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  <c:pt idx="52">
                  <c:v>1</c:v>
                </c:pt>
                <c:pt idx="53">
                  <c:v>0.9</c:v>
                </c:pt>
                <c:pt idx="54">
                  <c:v>1.5</c:v>
                </c:pt>
                <c:pt idx="55">
                  <c:v>1</c:v>
                </c:pt>
                <c:pt idx="56">
                  <c:v>3.1</c:v>
                </c:pt>
                <c:pt idx="57">
                  <c:v>2.4</c:v>
                </c:pt>
                <c:pt idx="58">
                  <c:v>2.2</c:v>
                </c:pt>
                <c:pt idx="59">
                  <c:v>1.5</c:v>
                </c:pt>
                <c:pt idx="60">
                  <c:v>2.8</c:v>
                </c:pt>
                <c:pt idx="61">
                  <c:v>2.5</c:v>
                </c:pt>
                <c:pt idx="62">
                  <c:v>2.1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2.1</c:v>
                </c:pt>
                <c:pt idx="67">
                  <c:v>1.4</c:v>
                </c:pt>
                <c:pt idx="68">
                  <c:v>1.2</c:v>
                </c:pt>
                <c:pt idx="69">
                  <c:v>1</c:v>
                </c:pt>
                <c:pt idx="70">
                  <c:v>0.9</c:v>
                </c:pt>
                <c:pt idx="71">
                  <c:v>0.7</c:v>
                </c:pt>
                <c:pt idx="72">
                  <c:v>2.6</c:v>
                </c:pt>
                <c:pt idx="73">
                  <c:v>2.4</c:v>
                </c:pt>
                <c:pt idx="74">
                  <c:v>1.9</c:v>
                </c:pt>
                <c:pt idx="76">
                  <c:v>1.1</c:v>
                </c:pt>
                <c:pt idx="77">
                  <c:v>0.5</c:v>
                </c:pt>
                <c:pt idx="78">
                  <c:v>-0.5</c:v>
                </c:pt>
                <c:pt idx="79">
                  <c:v>2</c:v>
                </c:pt>
                <c:pt idx="80">
                  <c:v>1.5</c:v>
                </c:pt>
                <c:pt idx="81">
                  <c:v>1.3</c:v>
                </c:pt>
                <c:pt idx="82">
                  <c:v>0.9</c:v>
                </c:pt>
                <c:pt idx="83">
                  <c:v>3.8</c:v>
                </c:pt>
                <c:pt idx="84">
                  <c:v>3.3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-3</c:v>
                </c:pt>
                <c:pt idx="90">
                  <c:v>-5</c:v>
                </c:pt>
                <c:pt idx="91">
                  <c:v>-8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2.5</c:v>
                </c:pt>
                <c:pt idx="105">
                  <c:v>2</c:v>
                </c:pt>
                <c:pt idx="106">
                  <c:v>1.5</c:v>
                </c:pt>
                <c:pt idx="107">
                  <c:v>1</c:v>
                </c:pt>
                <c:pt idx="108">
                  <c:v>0.7</c:v>
                </c:pt>
                <c:pt idx="109">
                  <c:v>0.1</c:v>
                </c:pt>
                <c:pt idx="110">
                  <c:v>0</c:v>
                </c:pt>
                <c:pt idx="111">
                  <c:v>1</c:v>
                </c:pt>
                <c:pt idx="113">
                  <c:v>0.2</c:v>
                </c:pt>
                <c:pt idx="114">
                  <c:v>0.9</c:v>
                </c:pt>
                <c:pt idx="115">
                  <c:v>0</c:v>
                </c:pt>
                <c:pt idx="116">
                  <c:v>1</c:v>
                </c:pt>
                <c:pt idx="117">
                  <c:v>0.7</c:v>
                </c:pt>
                <c:pt idx="118">
                  <c:v>0.3</c:v>
                </c:pt>
                <c:pt idx="119">
                  <c:v>0.5</c:v>
                </c:pt>
                <c:pt idx="120">
                  <c:v>0</c:v>
                </c:pt>
                <c:pt idx="121">
                  <c:v>1</c:v>
                </c:pt>
                <c:pt idx="122">
                  <c:v>0.7</c:v>
                </c:pt>
                <c:pt idx="123">
                  <c:v>0.5</c:v>
                </c:pt>
                <c:pt idx="124">
                  <c:v>1</c:v>
                </c:pt>
                <c:pt idx="125">
                  <c:v>0.7</c:v>
                </c:pt>
                <c:pt idx="126">
                  <c:v>0.5</c:v>
                </c:pt>
                <c:pt idx="127">
                  <c:v>0.1</c:v>
                </c:pt>
                <c:pt idx="128">
                  <c:v>1.5</c:v>
                </c:pt>
                <c:pt idx="129">
                  <c:v>1</c:v>
                </c:pt>
                <c:pt idx="130">
                  <c:v>0.7</c:v>
                </c:pt>
                <c:pt idx="131">
                  <c:v>2</c:v>
                </c:pt>
                <c:pt idx="132">
                  <c:v>1.7</c:v>
                </c:pt>
                <c:pt idx="133">
                  <c:v>1</c:v>
                </c:pt>
                <c:pt idx="134">
                  <c:v>0.6</c:v>
                </c:pt>
                <c:pt idx="135">
                  <c:v>1.5</c:v>
                </c:pt>
                <c:pt idx="136">
                  <c:v>1</c:v>
                </c:pt>
                <c:pt idx="137">
                  <c:v>2.5</c:v>
                </c:pt>
                <c:pt idx="138">
                  <c:v>1.5</c:v>
                </c:pt>
                <c:pt idx="139">
                  <c:v>2.5</c:v>
                </c:pt>
                <c:pt idx="140">
                  <c:v>2</c:v>
                </c:pt>
                <c:pt idx="141">
                  <c:v>1.5</c:v>
                </c:pt>
                <c:pt idx="142">
                  <c:v>0.5</c:v>
                </c:pt>
                <c:pt idx="143">
                  <c:v>1.5</c:v>
                </c:pt>
                <c:pt idx="144">
                  <c:v>0</c:v>
                </c:pt>
                <c:pt idx="145">
                  <c:v>-6.5</c:v>
                </c:pt>
                <c:pt idx="146">
                  <c:v>-15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  <c:pt idx="52">
                  <c:v>1.3</c:v>
                </c:pt>
                <c:pt idx="53">
                  <c:v>1</c:v>
                </c:pt>
                <c:pt idx="54">
                  <c:v>1.3</c:v>
                </c:pt>
                <c:pt idx="55">
                  <c:v>1</c:v>
                </c:pt>
                <c:pt idx="56">
                  <c:v>3.2</c:v>
                </c:pt>
                <c:pt idx="57">
                  <c:v>2.3</c:v>
                </c:pt>
                <c:pt idx="58">
                  <c:v>2.1</c:v>
                </c:pt>
                <c:pt idx="59">
                  <c:v>1.5</c:v>
                </c:pt>
                <c:pt idx="60">
                  <c:v>3</c:v>
                </c:pt>
                <c:pt idx="61">
                  <c:v>2.5</c:v>
                </c:pt>
                <c:pt idx="62">
                  <c:v>2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</c:v>
                </c:pt>
                <c:pt idx="67">
                  <c:v>1.5</c:v>
                </c:pt>
                <c:pt idx="68">
                  <c:v>1.3</c:v>
                </c:pt>
                <c:pt idx="69">
                  <c:v>1.1</c:v>
                </c:pt>
                <c:pt idx="70">
                  <c:v>1</c:v>
                </c:pt>
                <c:pt idx="71">
                  <c:v>0.5</c:v>
                </c:pt>
                <c:pt idx="72">
                  <c:v>2.3</c:v>
                </c:pt>
                <c:pt idx="73">
                  <c:v>2</c:v>
                </c:pt>
                <c:pt idx="74">
                  <c:v>1.5</c:v>
                </c:pt>
                <c:pt idx="76">
                  <c:v>1</c:v>
                </c:pt>
                <c:pt idx="77">
                  <c:v>-0.2</c:v>
                </c:pt>
                <c:pt idx="78">
                  <c:v>-0.7</c:v>
                </c:pt>
                <c:pt idx="79">
                  <c:v>2</c:v>
                </c:pt>
                <c:pt idx="80">
                  <c:v>1.7</c:v>
                </c:pt>
                <c:pt idx="81">
                  <c:v>1.5</c:v>
                </c:pt>
                <c:pt idx="82">
                  <c:v>1</c:v>
                </c:pt>
                <c:pt idx="83">
                  <c:v>3.8</c:v>
                </c:pt>
                <c:pt idx="84">
                  <c:v>3.2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-5</c:v>
                </c:pt>
                <c:pt idx="90">
                  <c:v>-8</c:v>
                </c:pt>
                <c:pt idx="91">
                  <c:v>-15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1.6</c:v>
                </c:pt>
                <c:pt idx="105">
                  <c:v>1</c:v>
                </c:pt>
                <c:pt idx="106">
                  <c:v>0.7</c:v>
                </c:pt>
                <c:pt idx="107">
                  <c:v>0.3</c:v>
                </c:pt>
                <c:pt idx="108">
                  <c:v>0.8</c:v>
                </c:pt>
                <c:pt idx="109">
                  <c:v>0.4</c:v>
                </c:pt>
                <c:pt idx="110">
                  <c:v>-3</c:v>
                </c:pt>
                <c:pt idx="111">
                  <c:v>-6</c:v>
                </c:pt>
                <c:pt idx="113">
                  <c:v>-11</c:v>
                </c:pt>
                <c:pt idx="114">
                  <c:v>-12</c:v>
                </c:pt>
                <c:pt idx="115">
                  <c:v>1</c:v>
                </c:pt>
                <c:pt idx="116">
                  <c:v>0.5</c:v>
                </c:pt>
                <c:pt idx="117">
                  <c:v>-4</c:v>
                </c:pt>
                <c:pt idx="118">
                  <c:v>-9</c:v>
                </c:pt>
                <c:pt idx="119">
                  <c:v>-12</c:v>
                </c:pt>
                <c:pt idx="120">
                  <c:v>-15</c:v>
                </c:pt>
                <c:pt idx="121">
                  <c:v>-15</c:v>
                </c:pt>
                <c:pt idx="122">
                  <c:v>1</c:v>
                </c:pt>
                <c:pt idx="123">
                  <c:v>0.5</c:v>
                </c:pt>
                <c:pt idx="124">
                  <c:v>-2</c:v>
                </c:pt>
                <c:pt idx="125">
                  <c:v>-7</c:v>
                </c:pt>
                <c:pt idx="126">
                  <c:v>-12</c:v>
                </c:pt>
                <c:pt idx="127">
                  <c:v>-15</c:v>
                </c:pt>
                <c:pt idx="128">
                  <c:v>-15</c:v>
                </c:pt>
                <c:pt idx="129">
                  <c:v>1.5</c:v>
                </c:pt>
                <c:pt idx="130">
                  <c:v>0.3</c:v>
                </c:pt>
                <c:pt idx="131">
                  <c:v>2</c:v>
                </c:pt>
                <c:pt idx="132">
                  <c:v>-1</c:v>
                </c:pt>
                <c:pt idx="133">
                  <c:v>-5.7</c:v>
                </c:pt>
                <c:pt idx="134">
                  <c:v>-11</c:v>
                </c:pt>
                <c:pt idx="135">
                  <c:v>-14</c:v>
                </c:pt>
                <c:pt idx="136">
                  <c:v>-15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-3</c:v>
                </c:pt>
                <c:pt idx="143">
                  <c:v>-10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14270258"/>
        <c:axId val="98182309"/>
      </c:scatterChart>
      <c:valAx>
        <c:axId val="142702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82309"/>
        <c:crosses val="autoZero"/>
        <c:crossBetween val="midCat"/>
      </c:valAx>
      <c:valAx>
        <c:axId val="98182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702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  <c:pt idx="87">
                  <c:v>3.2</c:v>
                </c:pt>
                <c:pt idx="115">
                  <c:v>7.3</c:v>
                </c:pt>
                <c:pt idx="121">
                  <c:v>2.1</c:v>
                </c:pt>
                <c:pt idx="128">
                  <c:v>7.3</c:v>
                </c:pt>
                <c:pt idx="129">
                  <c:v>2</c:v>
                </c:pt>
                <c:pt idx="130">
                  <c:v>1.1</c:v>
                </c:pt>
                <c:pt idx="131">
                  <c:v>21.1</c:v>
                </c:pt>
                <c:pt idx="139">
                  <c:v>15.8</c:v>
                </c:pt>
              </c:numCache>
            </c:numRef>
          </c:yVal>
          <c:smooth val="1"/>
        </c:ser>
        <c:axId val="24020669"/>
        <c:axId val="91811317"/>
      </c:scatterChart>
      <c:valAx>
        <c:axId val="240206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11317"/>
        <c:crosses val="autoZero"/>
        <c:crossBetween val="midCat"/>
      </c:valAx>
      <c:valAx>
        <c:axId val="91811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206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  <c:pt idx="52">
                  <c:v>0</c:v>
                </c:pt>
                <c:pt idx="53">
                  <c:v>7</c:v>
                </c:pt>
                <c:pt idx="54">
                  <c:v>7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92</c:v>
                </c:pt>
                <c:pt idx="72">
                  <c:v>92</c:v>
                </c:pt>
                <c:pt idx="73">
                  <c:v>92</c:v>
                </c:pt>
                <c:pt idx="74">
                  <c:v>92</c:v>
                </c:pt>
                <c:pt idx="76">
                  <c:v>92</c:v>
                </c:pt>
                <c:pt idx="77">
                  <c:v>92</c:v>
                </c:pt>
                <c:pt idx="78">
                  <c:v>115</c:v>
                </c:pt>
                <c:pt idx="79">
                  <c:v>115</c:v>
                </c:pt>
                <c:pt idx="80">
                  <c:v>115</c:v>
                </c:pt>
                <c:pt idx="81">
                  <c:v>115</c:v>
                </c:pt>
                <c:pt idx="82">
                  <c:v>144</c:v>
                </c:pt>
                <c:pt idx="83">
                  <c:v>144</c:v>
                </c:pt>
                <c:pt idx="84">
                  <c:v>144</c:v>
                </c:pt>
                <c:pt idx="85">
                  <c:v>144</c:v>
                </c:pt>
                <c:pt idx="86">
                  <c:v>144</c:v>
                </c:pt>
                <c:pt idx="87">
                  <c:v>144</c:v>
                </c:pt>
                <c:pt idx="88">
                  <c:v>144</c:v>
                </c:pt>
                <c:pt idx="89">
                  <c:v>144</c:v>
                </c:pt>
                <c:pt idx="90">
                  <c:v>144</c:v>
                </c:pt>
                <c:pt idx="91">
                  <c:v>144</c:v>
                </c:pt>
                <c:pt idx="92">
                  <c:v>144</c:v>
                </c:pt>
                <c:pt idx="93">
                  <c:v>144</c:v>
                </c:pt>
                <c:pt idx="94">
                  <c:v>144</c:v>
                </c:pt>
                <c:pt idx="95">
                  <c:v>144</c:v>
                </c:pt>
                <c:pt idx="96">
                  <c:v>144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168</c:v>
                </c:pt>
                <c:pt idx="101">
                  <c:v>168</c:v>
                </c:pt>
                <c:pt idx="102">
                  <c:v>168</c:v>
                </c:pt>
                <c:pt idx="103">
                  <c:v>197</c:v>
                </c:pt>
                <c:pt idx="104">
                  <c:v>197</c:v>
                </c:pt>
                <c:pt idx="105">
                  <c:v>197</c:v>
                </c:pt>
                <c:pt idx="106">
                  <c:v>197</c:v>
                </c:pt>
                <c:pt idx="107">
                  <c:v>197</c:v>
                </c:pt>
                <c:pt idx="108">
                  <c:v>197</c:v>
                </c:pt>
                <c:pt idx="109">
                  <c:v>220</c:v>
                </c:pt>
                <c:pt idx="110">
                  <c:v>239</c:v>
                </c:pt>
                <c:pt idx="111">
                  <c:v>239</c:v>
                </c:pt>
                <c:pt idx="113">
                  <c:v>247</c:v>
                </c:pt>
                <c:pt idx="114">
                  <c:v>247</c:v>
                </c:pt>
                <c:pt idx="115">
                  <c:v>266</c:v>
                </c:pt>
                <c:pt idx="116">
                  <c:v>266</c:v>
                </c:pt>
                <c:pt idx="117">
                  <c:v>266</c:v>
                </c:pt>
                <c:pt idx="118">
                  <c:v>273</c:v>
                </c:pt>
                <c:pt idx="119">
                  <c:v>273</c:v>
                </c:pt>
                <c:pt idx="120">
                  <c:v>292</c:v>
                </c:pt>
                <c:pt idx="121">
                  <c:v>292</c:v>
                </c:pt>
                <c:pt idx="122">
                  <c:v>292</c:v>
                </c:pt>
                <c:pt idx="123">
                  <c:v>306</c:v>
                </c:pt>
                <c:pt idx="124">
                  <c:v>306</c:v>
                </c:pt>
                <c:pt idx="125">
                  <c:v>306</c:v>
                </c:pt>
                <c:pt idx="126">
                  <c:v>306</c:v>
                </c:pt>
                <c:pt idx="127">
                  <c:v>326</c:v>
                </c:pt>
                <c:pt idx="128">
                  <c:v>326</c:v>
                </c:pt>
                <c:pt idx="129">
                  <c:v>326</c:v>
                </c:pt>
                <c:pt idx="130">
                  <c:v>326</c:v>
                </c:pt>
                <c:pt idx="131">
                  <c:v>326</c:v>
                </c:pt>
                <c:pt idx="132">
                  <c:v>326</c:v>
                </c:pt>
                <c:pt idx="133">
                  <c:v>326</c:v>
                </c:pt>
                <c:pt idx="134">
                  <c:v>339</c:v>
                </c:pt>
                <c:pt idx="135">
                  <c:v>339</c:v>
                </c:pt>
                <c:pt idx="136">
                  <c:v>363</c:v>
                </c:pt>
                <c:pt idx="137">
                  <c:v>363</c:v>
                </c:pt>
                <c:pt idx="138">
                  <c:v>363</c:v>
                </c:pt>
                <c:pt idx="139">
                  <c:v>363</c:v>
                </c:pt>
                <c:pt idx="140">
                  <c:v>363</c:v>
                </c:pt>
                <c:pt idx="141">
                  <c:v>363</c:v>
                </c:pt>
                <c:pt idx="142">
                  <c:v>377</c:v>
                </c:pt>
                <c:pt idx="143">
                  <c:v>377</c:v>
                </c:pt>
                <c:pt idx="144">
                  <c:v>377</c:v>
                </c:pt>
                <c:pt idx="145">
                  <c:v>377</c:v>
                </c:pt>
                <c:pt idx="146">
                  <c:v>377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47</c:v>
                </c:pt>
                <c:pt idx="60">
                  <c:v>47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82</c:v>
                </c:pt>
                <c:pt idx="72">
                  <c:v>82</c:v>
                </c:pt>
                <c:pt idx="73">
                  <c:v>82</c:v>
                </c:pt>
                <c:pt idx="74">
                  <c:v>82</c:v>
                </c:pt>
                <c:pt idx="76">
                  <c:v>82</c:v>
                </c:pt>
                <c:pt idx="77">
                  <c:v>82</c:v>
                </c:pt>
                <c:pt idx="78">
                  <c:v>104</c:v>
                </c:pt>
                <c:pt idx="79">
                  <c:v>104</c:v>
                </c:pt>
                <c:pt idx="80">
                  <c:v>104</c:v>
                </c:pt>
                <c:pt idx="81">
                  <c:v>104</c:v>
                </c:pt>
                <c:pt idx="82">
                  <c:v>133</c:v>
                </c:pt>
                <c:pt idx="83">
                  <c:v>133</c:v>
                </c:pt>
                <c:pt idx="84">
                  <c:v>133</c:v>
                </c:pt>
                <c:pt idx="85">
                  <c:v>133</c:v>
                </c:pt>
                <c:pt idx="86">
                  <c:v>133</c:v>
                </c:pt>
                <c:pt idx="87">
                  <c:v>133</c:v>
                </c:pt>
                <c:pt idx="88">
                  <c:v>133</c:v>
                </c:pt>
                <c:pt idx="89">
                  <c:v>133</c:v>
                </c:pt>
                <c:pt idx="90">
                  <c:v>133</c:v>
                </c:pt>
                <c:pt idx="91">
                  <c:v>133</c:v>
                </c:pt>
                <c:pt idx="92">
                  <c:v>133</c:v>
                </c:pt>
                <c:pt idx="93">
                  <c:v>133</c:v>
                </c:pt>
                <c:pt idx="94">
                  <c:v>133</c:v>
                </c:pt>
                <c:pt idx="95">
                  <c:v>133</c:v>
                </c:pt>
                <c:pt idx="96">
                  <c:v>133</c:v>
                </c:pt>
                <c:pt idx="97">
                  <c:v>143</c:v>
                </c:pt>
                <c:pt idx="98">
                  <c:v>143</c:v>
                </c:pt>
                <c:pt idx="99">
                  <c:v>143</c:v>
                </c:pt>
                <c:pt idx="100">
                  <c:v>160</c:v>
                </c:pt>
                <c:pt idx="101">
                  <c:v>160</c:v>
                </c:pt>
                <c:pt idx="102">
                  <c:v>160</c:v>
                </c:pt>
                <c:pt idx="103">
                  <c:v>181</c:v>
                </c:pt>
                <c:pt idx="104">
                  <c:v>181</c:v>
                </c:pt>
                <c:pt idx="105">
                  <c:v>181</c:v>
                </c:pt>
                <c:pt idx="106">
                  <c:v>181</c:v>
                </c:pt>
                <c:pt idx="107">
                  <c:v>191</c:v>
                </c:pt>
                <c:pt idx="108">
                  <c:v>191</c:v>
                </c:pt>
                <c:pt idx="109">
                  <c:v>191</c:v>
                </c:pt>
                <c:pt idx="110">
                  <c:v>191</c:v>
                </c:pt>
                <c:pt idx="111">
                  <c:v>191</c:v>
                </c:pt>
                <c:pt idx="113">
                  <c:v>191</c:v>
                </c:pt>
                <c:pt idx="114">
                  <c:v>202</c:v>
                </c:pt>
                <c:pt idx="115">
                  <c:v>202</c:v>
                </c:pt>
                <c:pt idx="116">
                  <c:v>202</c:v>
                </c:pt>
                <c:pt idx="117">
                  <c:v>202</c:v>
                </c:pt>
                <c:pt idx="118">
                  <c:v>202</c:v>
                </c:pt>
                <c:pt idx="119">
                  <c:v>202</c:v>
                </c:pt>
                <c:pt idx="120">
                  <c:v>202</c:v>
                </c:pt>
                <c:pt idx="121">
                  <c:v>217</c:v>
                </c:pt>
                <c:pt idx="122">
                  <c:v>217</c:v>
                </c:pt>
                <c:pt idx="123">
                  <c:v>217</c:v>
                </c:pt>
                <c:pt idx="124">
                  <c:v>217</c:v>
                </c:pt>
                <c:pt idx="125">
                  <c:v>217</c:v>
                </c:pt>
                <c:pt idx="126">
                  <c:v>217</c:v>
                </c:pt>
                <c:pt idx="127">
                  <c:v>217</c:v>
                </c:pt>
                <c:pt idx="128">
                  <c:v>232</c:v>
                </c:pt>
                <c:pt idx="129">
                  <c:v>232</c:v>
                </c:pt>
                <c:pt idx="130">
                  <c:v>232</c:v>
                </c:pt>
                <c:pt idx="131">
                  <c:v>232</c:v>
                </c:pt>
                <c:pt idx="132">
                  <c:v>232</c:v>
                </c:pt>
                <c:pt idx="133">
                  <c:v>232</c:v>
                </c:pt>
                <c:pt idx="134">
                  <c:v>232</c:v>
                </c:pt>
                <c:pt idx="135">
                  <c:v>232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</c:numCache>
            </c:numRef>
          </c:yVal>
          <c:smooth val="1"/>
        </c:ser>
        <c:axId val="22997107"/>
        <c:axId val="52000848"/>
      </c:scatterChart>
      <c:valAx>
        <c:axId val="229971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0848"/>
        <c:crosses val="autoZero"/>
        <c:crossBetween val="midCat"/>
      </c:valAx>
      <c:valAx>
        <c:axId val="52000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971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3</c:v>
                </c:pt>
                <c:pt idx="57">
                  <c:v>7</c:v>
                </c:pt>
                <c:pt idx="58">
                  <c:v>2</c:v>
                </c:pt>
                <c:pt idx="59">
                  <c:v>7</c:v>
                </c:pt>
                <c:pt idx="60">
                  <c:v>5</c:v>
                </c:pt>
                <c:pt idx="61">
                  <c:v>3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8</c:v>
                </c:pt>
                <c:pt idx="73">
                  <c:v>2</c:v>
                </c:pt>
                <c:pt idx="74">
                  <c:v>5</c:v>
                </c:pt>
                <c:pt idx="77">
                  <c:v>6</c:v>
                </c:pt>
                <c:pt idx="78">
                  <c:v>10</c:v>
                </c:pt>
                <c:pt idx="79">
                  <c:v>3</c:v>
                </c:pt>
                <c:pt idx="80">
                  <c:v>5</c:v>
                </c:pt>
                <c:pt idx="81">
                  <c:v>2</c:v>
                </c:pt>
                <c:pt idx="82">
                  <c:v>4</c:v>
                </c:pt>
                <c:pt idx="83">
                  <c:v>0</c:v>
                </c:pt>
                <c:pt idx="84">
                  <c:v>5</c:v>
                </c:pt>
                <c:pt idx="85">
                  <c:v>18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20</c:v>
                </c:pt>
                <c:pt idx="90">
                  <c:v>20</c:v>
                </c:pt>
                <c:pt idx="91">
                  <c:v>30</c:v>
                </c:pt>
                <c:pt idx="92">
                  <c:v>70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-3</c:v>
                </c:pt>
                <c:pt idx="99">
                  <c:v>3</c:v>
                </c:pt>
                <c:pt idx="100">
                  <c:v>5</c:v>
                </c:pt>
                <c:pt idx="101">
                  <c:v>2</c:v>
                </c:pt>
                <c:pt idx="102">
                  <c:v>7</c:v>
                </c:pt>
                <c:pt idx="103">
                  <c:v>5</c:v>
                </c:pt>
                <c:pt idx="104">
                  <c:v>9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24</c:v>
                </c:pt>
                <c:pt idx="111">
                  <c:v>9</c:v>
                </c:pt>
                <c:pt idx="114">
                  <c:v>1</c:v>
                </c:pt>
                <c:pt idx="115">
                  <c:v>9</c:v>
                </c:pt>
                <c:pt idx="116">
                  <c:v>9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9</c:v>
                </c:pt>
                <c:pt idx="122">
                  <c:v>3</c:v>
                </c:pt>
                <c:pt idx="123">
                  <c:v>2</c:v>
                </c:pt>
                <c:pt idx="124">
                  <c:v>9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6</c:v>
                </c:pt>
                <c:pt idx="129">
                  <c:v>5</c:v>
                </c:pt>
                <c:pt idx="130">
                  <c:v>3</c:v>
                </c:pt>
                <c:pt idx="131">
                  <c:v>-13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9</c:v>
                </c:pt>
                <c:pt idx="138">
                  <c:v>10</c:v>
                </c:pt>
                <c:pt idx="139">
                  <c:v>-10</c:v>
                </c:pt>
                <c:pt idx="140">
                  <c:v>5</c:v>
                </c:pt>
                <c:pt idx="141">
                  <c:v>5</c:v>
                </c:pt>
                <c:pt idx="142">
                  <c:v>10</c:v>
                </c:pt>
                <c:pt idx="143">
                  <c:v>4</c:v>
                </c:pt>
                <c:pt idx="144">
                  <c:v>15</c:v>
                </c:pt>
                <c:pt idx="145">
                  <c:v>65</c:v>
                </c:pt>
                <c:pt idx="146">
                  <c:v>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9</c:v>
                </c:pt>
                <c:pt idx="58">
                  <c:v>2</c:v>
                </c:pt>
                <c:pt idx="59">
                  <c:v>6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2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5</c:v>
                </c:pt>
                <c:pt idx="77">
                  <c:v>12</c:v>
                </c:pt>
                <c:pt idx="78">
                  <c:v>5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5</c:v>
                </c:pt>
                <c:pt idx="83">
                  <c:v>1</c:v>
                </c:pt>
                <c:pt idx="84">
                  <c:v>6</c:v>
                </c:pt>
                <c:pt idx="85">
                  <c:v>17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40</c:v>
                </c:pt>
                <c:pt idx="90">
                  <c:v>30</c:v>
                </c:pt>
                <c:pt idx="91">
                  <c:v>70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</c:v>
                </c:pt>
                <c:pt idx="100">
                  <c:v>5</c:v>
                </c:pt>
                <c:pt idx="101">
                  <c:v>2</c:v>
                </c:pt>
                <c:pt idx="102">
                  <c:v>7</c:v>
                </c:pt>
                <c:pt idx="103">
                  <c:v>5</c:v>
                </c:pt>
                <c:pt idx="104">
                  <c:v>10</c:v>
                </c:pt>
                <c:pt idx="105">
                  <c:v>6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4</c:v>
                </c:pt>
                <c:pt idx="110">
                  <c:v>34</c:v>
                </c:pt>
                <c:pt idx="111">
                  <c:v>30</c:v>
                </c:pt>
                <c:pt idx="114">
                  <c:v>10</c:v>
                </c:pt>
                <c:pt idx="115">
                  <c:v>1</c:v>
                </c:pt>
                <c:pt idx="116">
                  <c:v>5</c:v>
                </c:pt>
                <c:pt idx="117">
                  <c:v>45</c:v>
                </c:pt>
                <c:pt idx="118">
                  <c:v>50</c:v>
                </c:pt>
                <c:pt idx="119">
                  <c:v>30</c:v>
                </c:pt>
                <c:pt idx="120">
                  <c:v>30</c:v>
                </c:pt>
                <c:pt idx="121">
                  <c:v>0</c:v>
                </c:pt>
                <c:pt idx="122">
                  <c:v>5</c:v>
                </c:pt>
                <c:pt idx="123">
                  <c:v>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30</c:v>
                </c:pt>
                <c:pt idx="128">
                  <c:v>0</c:v>
                </c:pt>
                <c:pt idx="129">
                  <c:v>0</c:v>
                </c:pt>
                <c:pt idx="130">
                  <c:v>12</c:v>
                </c:pt>
                <c:pt idx="131">
                  <c:v>-17</c:v>
                </c:pt>
                <c:pt idx="132">
                  <c:v>30</c:v>
                </c:pt>
                <c:pt idx="133">
                  <c:v>47</c:v>
                </c:pt>
                <c:pt idx="134">
                  <c:v>53</c:v>
                </c:pt>
                <c:pt idx="135">
                  <c:v>30</c:v>
                </c:pt>
                <c:pt idx="136">
                  <c:v>10</c:v>
                </c:pt>
                <c:pt idx="137">
                  <c:v>9</c:v>
                </c:pt>
                <c:pt idx="138">
                  <c:v>10</c:v>
                </c:pt>
                <c:pt idx="139">
                  <c:v>-10</c:v>
                </c:pt>
                <c:pt idx="140">
                  <c:v>10</c:v>
                </c:pt>
                <c:pt idx="141">
                  <c:v>20</c:v>
                </c:pt>
                <c:pt idx="142">
                  <c:v>30</c:v>
                </c:pt>
                <c:pt idx="143">
                  <c:v>70</c:v>
                </c:pt>
                <c:pt idx="144">
                  <c:v>50</c:v>
                </c:pt>
                <c:pt idx="145">
                  <c:v>0</c:v>
                </c:pt>
                <c:pt idx="146">
                  <c:v>0</c:v>
                </c:pt>
              </c:numCache>
            </c:numRef>
          </c:yVal>
          <c:smooth val="1"/>
        </c:ser>
        <c:axId val="55474173"/>
        <c:axId val="43200297"/>
      </c:scatterChart>
      <c:valAx>
        <c:axId val="554741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00297"/>
        <c:crosses val="autoZero"/>
        <c:crossBetween val="midCat"/>
      </c:valAx>
      <c:valAx>
        <c:axId val="43200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417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  <c:pt idx="73">
                  <c:v>8.3</c:v>
                </c:pt>
                <c:pt idx="88">
                  <c:v>14</c:v>
                </c:pt>
                <c:pt idx="103">
                  <c:v>19</c:v>
                </c:pt>
                <c:pt idx="118">
                  <c:v>17.7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45986</c:v>
                </c:pt>
                <c:pt idx="1">
                  <c:v>45987</c:v>
                </c:pt>
                <c:pt idx="2">
                  <c:v>45988</c:v>
                </c:pt>
                <c:pt idx="3">
                  <c:v>45989</c:v>
                </c:pt>
                <c:pt idx="4">
                  <c:v>45990</c:v>
                </c:pt>
                <c:pt idx="5">
                  <c:v>45991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45997</c:v>
                </c:pt>
                <c:pt idx="12">
                  <c:v>45998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46004</c:v>
                </c:pt>
                <c:pt idx="19">
                  <c:v>46005</c:v>
                </c:pt>
                <c:pt idx="20">
                  <c:v>46006</c:v>
                </c:pt>
                <c:pt idx="21">
                  <c:v>46007</c:v>
                </c:pt>
                <c:pt idx="22">
                  <c:v>46008</c:v>
                </c:pt>
                <c:pt idx="23">
                  <c:v>46009</c:v>
                </c:pt>
                <c:pt idx="24">
                  <c:v>46010</c:v>
                </c:pt>
                <c:pt idx="25">
                  <c:v>46011</c:v>
                </c:pt>
                <c:pt idx="26">
                  <c:v>46012</c:v>
                </c:pt>
                <c:pt idx="27">
                  <c:v>46013</c:v>
                </c:pt>
                <c:pt idx="28">
                  <c:v>46014</c:v>
                </c:pt>
                <c:pt idx="29">
                  <c:v>46015</c:v>
                </c:pt>
                <c:pt idx="30">
                  <c:v>46016</c:v>
                </c:pt>
                <c:pt idx="31">
                  <c:v>46017</c:v>
                </c:pt>
                <c:pt idx="32">
                  <c:v>46018</c:v>
                </c:pt>
                <c:pt idx="33">
                  <c:v>46019</c:v>
                </c:pt>
                <c:pt idx="34">
                  <c:v>46020</c:v>
                </c:pt>
                <c:pt idx="35">
                  <c:v>46021</c:v>
                </c:pt>
                <c:pt idx="36">
                  <c:v>46022</c:v>
                </c:pt>
                <c:pt idx="37">
                  <c:v>46023</c:v>
                </c:pt>
                <c:pt idx="38">
                  <c:v>46024</c:v>
                </c:pt>
                <c:pt idx="39">
                  <c:v>46025</c:v>
                </c:pt>
                <c:pt idx="40">
                  <c:v>46026</c:v>
                </c:pt>
                <c:pt idx="41">
                  <c:v>46027</c:v>
                </c:pt>
                <c:pt idx="42">
                  <c:v>46028</c:v>
                </c:pt>
                <c:pt idx="43">
                  <c:v>46029</c:v>
                </c:pt>
                <c:pt idx="44">
                  <c:v>46030</c:v>
                </c:pt>
                <c:pt idx="45">
                  <c:v>46031</c:v>
                </c:pt>
                <c:pt idx="46">
                  <c:v>46032</c:v>
                </c:pt>
                <c:pt idx="47">
                  <c:v>46033</c:v>
                </c:pt>
                <c:pt idx="48">
                  <c:v>46034</c:v>
                </c:pt>
                <c:pt idx="49">
                  <c:v>46035</c:v>
                </c:pt>
                <c:pt idx="50">
                  <c:v>46036</c:v>
                </c:pt>
                <c:pt idx="51">
                  <c:v>46037</c:v>
                </c:pt>
                <c:pt idx="52">
                  <c:v>46038</c:v>
                </c:pt>
                <c:pt idx="53">
                  <c:v>46039</c:v>
                </c:pt>
                <c:pt idx="54">
                  <c:v>46040</c:v>
                </c:pt>
                <c:pt idx="55">
                  <c:v>46041</c:v>
                </c:pt>
                <c:pt idx="56">
                  <c:v>46042</c:v>
                </c:pt>
                <c:pt idx="57">
                  <c:v>46043</c:v>
                </c:pt>
                <c:pt idx="58">
                  <c:v>46044</c:v>
                </c:pt>
                <c:pt idx="59">
                  <c:v>46045</c:v>
                </c:pt>
                <c:pt idx="60">
                  <c:v>46046</c:v>
                </c:pt>
                <c:pt idx="61">
                  <c:v>46047</c:v>
                </c:pt>
                <c:pt idx="62">
                  <c:v>46048</c:v>
                </c:pt>
                <c:pt idx="63">
                  <c:v>46049</c:v>
                </c:pt>
                <c:pt idx="64">
                  <c:v>46050</c:v>
                </c:pt>
                <c:pt idx="65">
                  <c:v>46051</c:v>
                </c:pt>
                <c:pt idx="66">
                  <c:v>46052</c:v>
                </c:pt>
                <c:pt idx="67">
                  <c:v>46053</c:v>
                </c:pt>
                <c:pt idx="68">
                  <c:v>46054</c:v>
                </c:pt>
                <c:pt idx="69">
                  <c:v>46055</c:v>
                </c:pt>
                <c:pt idx="70">
                  <c:v>46056</c:v>
                </c:pt>
                <c:pt idx="71">
                  <c:v>46057</c:v>
                </c:pt>
                <c:pt idx="72">
                  <c:v>46058</c:v>
                </c:pt>
                <c:pt idx="73">
                  <c:v>46059</c:v>
                </c:pt>
                <c:pt idx="74">
                  <c:v>46060</c:v>
                </c:pt>
                <c:pt idx="75">
                  <c:v>46061</c:v>
                </c:pt>
                <c:pt idx="76">
                  <c:v>46062</c:v>
                </c:pt>
                <c:pt idx="77">
                  <c:v>46063</c:v>
                </c:pt>
                <c:pt idx="78">
                  <c:v>46064</c:v>
                </c:pt>
                <c:pt idx="79">
                  <c:v>46065</c:v>
                </c:pt>
                <c:pt idx="80">
                  <c:v>46066</c:v>
                </c:pt>
                <c:pt idx="81">
                  <c:v>46067</c:v>
                </c:pt>
                <c:pt idx="82">
                  <c:v>46068</c:v>
                </c:pt>
                <c:pt idx="83">
                  <c:v>46069</c:v>
                </c:pt>
                <c:pt idx="84">
                  <c:v>46070</c:v>
                </c:pt>
                <c:pt idx="85">
                  <c:v>46071</c:v>
                </c:pt>
                <c:pt idx="86">
                  <c:v>46072</c:v>
                </c:pt>
                <c:pt idx="87">
                  <c:v>46073</c:v>
                </c:pt>
                <c:pt idx="88">
                  <c:v>46074</c:v>
                </c:pt>
                <c:pt idx="89">
                  <c:v>46075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46081</c:v>
                </c:pt>
                <c:pt idx="96">
                  <c:v>46082</c:v>
                </c:pt>
                <c:pt idx="97">
                  <c:v>46083</c:v>
                </c:pt>
                <c:pt idx="98">
                  <c:v>46084</c:v>
                </c:pt>
                <c:pt idx="99">
                  <c:v>46085</c:v>
                </c:pt>
                <c:pt idx="100">
                  <c:v>46086</c:v>
                </c:pt>
                <c:pt idx="101">
                  <c:v>46087</c:v>
                </c:pt>
                <c:pt idx="102">
                  <c:v>46088</c:v>
                </c:pt>
                <c:pt idx="103">
                  <c:v>46089</c:v>
                </c:pt>
                <c:pt idx="104">
                  <c:v>46090</c:v>
                </c:pt>
                <c:pt idx="105">
                  <c:v>46091</c:v>
                </c:pt>
                <c:pt idx="106">
                  <c:v>46092</c:v>
                </c:pt>
                <c:pt idx="107">
                  <c:v>46093</c:v>
                </c:pt>
                <c:pt idx="108">
                  <c:v>46094</c:v>
                </c:pt>
                <c:pt idx="109">
                  <c:v>46095</c:v>
                </c:pt>
                <c:pt idx="110">
                  <c:v>46096</c:v>
                </c:pt>
                <c:pt idx="111">
                  <c:v>46097</c:v>
                </c:pt>
                <c:pt idx="112">
                  <c:v>46098</c:v>
                </c:pt>
                <c:pt idx="113">
                  <c:v>46099</c:v>
                </c:pt>
                <c:pt idx="114">
                  <c:v>46100</c:v>
                </c:pt>
                <c:pt idx="115">
                  <c:v>46101</c:v>
                </c:pt>
                <c:pt idx="116">
                  <c:v>46102</c:v>
                </c:pt>
                <c:pt idx="117">
                  <c:v>46103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46109</c:v>
                </c:pt>
                <c:pt idx="124">
                  <c:v>46110</c:v>
                </c:pt>
                <c:pt idx="125">
                  <c:v>46111</c:v>
                </c:pt>
                <c:pt idx="126">
                  <c:v>46112</c:v>
                </c:pt>
                <c:pt idx="127">
                  <c:v>46113</c:v>
                </c:pt>
                <c:pt idx="128">
                  <c:v>46114</c:v>
                </c:pt>
                <c:pt idx="129">
                  <c:v>46115</c:v>
                </c:pt>
                <c:pt idx="130">
                  <c:v>46116</c:v>
                </c:pt>
                <c:pt idx="131">
                  <c:v>46117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46123</c:v>
                </c:pt>
                <c:pt idx="138">
                  <c:v>46124</c:v>
                </c:pt>
                <c:pt idx="139">
                  <c:v>46125</c:v>
                </c:pt>
                <c:pt idx="140">
                  <c:v>46126</c:v>
                </c:pt>
                <c:pt idx="141">
                  <c:v>46127</c:v>
                </c:pt>
                <c:pt idx="142">
                  <c:v>46128</c:v>
                </c:pt>
                <c:pt idx="143">
                  <c:v>46129</c:v>
                </c:pt>
                <c:pt idx="144">
                  <c:v>46130</c:v>
                </c:pt>
                <c:pt idx="145">
                  <c:v>46131</c:v>
                </c:pt>
                <c:pt idx="146">
                  <c:v>46132</c:v>
                </c:pt>
                <c:pt idx="147">
                  <c:v>46133</c:v>
                </c:pt>
                <c:pt idx="148">
                  <c:v>46134</c:v>
                </c:pt>
                <c:pt idx="149">
                  <c:v>46135</c:v>
                </c:pt>
                <c:pt idx="150">
                  <c:v>46136</c:v>
                </c:pt>
                <c:pt idx="151">
                  <c:v>46137</c:v>
                </c:pt>
                <c:pt idx="152">
                  <c:v>46138</c:v>
                </c:pt>
                <c:pt idx="153">
                  <c:v>46139</c:v>
                </c:pt>
                <c:pt idx="154">
                  <c:v>46140</c:v>
                </c:pt>
                <c:pt idx="155">
                  <c:v>46141</c:v>
                </c:pt>
                <c:pt idx="156">
                  <c:v>46142</c:v>
                </c:pt>
                <c:pt idx="157">
                  <c:v>46143</c:v>
                </c:pt>
                <c:pt idx="158">
                  <c:v>46144</c:v>
                </c:pt>
                <c:pt idx="159">
                  <c:v>46145</c:v>
                </c:pt>
                <c:pt idx="160">
                  <c:v>46146</c:v>
                </c:pt>
                <c:pt idx="161">
                  <c:v>46147</c:v>
                </c:pt>
                <c:pt idx="162">
                  <c:v>46148</c:v>
                </c:pt>
                <c:pt idx="163">
                  <c:v>46149</c:v>
                </c:pt>
                <c:pt idx="164">
                  <c:v>46150</c:v>
                </c:pt>
                <c:pt idx="165">
                  <c:v>46151</c:v>
                </c:pt>
                <c:pt idx="166">
                  <c:v>46152</c:v>
                </c:pt>
                <c:pt idx="167">
                  <c:v>46153</c:v>
                </c:pt>
                <c:pt idx="168">
                  <c:v>46154</c:v>
                </c:pt>
                <c:pt idx="169">
                  <c:v>46155</c:v>
                </c:pt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  <c:pt idx="73">
                  <c:v>7.7</c:v>
                </c:pt>
                <c:pt idx="88">
                  <c:v>13.7</c:v>
                </c:pt>
                <c:pt idx="103">
                  <c:v>21</c:v>
                </c:pt>
                <c:pt idx="118">
                  <c:v>22</c:v>
                </c:pt>
              </c:numCache>
            </c:numRef>
          </c:yVal>
          <c:smooth val="1"/>
        </c:ser>
        <c:axId val="87155247"/>
        <c:axId val="81701379"/>
      </c:scatterChart>
      <c:valAx>
        <c:axId val="871552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01379"/>
        <c:crosses val="autoZero"/>
        <c:crossBetween val="midCat"/>
      </c:valAx>
      <c:valAx>
        <c:axId val="81701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552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403920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403920</xdr:colOff>
      <xdr:row>36</xdr:row>
      <xdr:rowOff>15840</xdr:rowOff>
    </xdr:to>
    <xdr:graphicFrame>
      <xdr:nvGraphicFramePr>
        <xdr:cNvPr id="1" name="Chart 2"/>
        <xdr:cNvGraphicFramePr/>
      </xdr:nvGraphicFramePr>
      <xdr:xfrm>
        <a:off x="0" y="438156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507600</xdr:colOff>
      <xdr:row>55</xdr:row>
      <xdr:rowOff>164520</xdr:rowOff>
    </xdr:to>
    <xdr:graphicFrame>
      <xdr:nvGraphicFramePr>
        <xdr:cNvPr id="2" name="Chart 3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507600</xdr:colOff>
      <xdr:row>55</xdr:row>
      <xdr:rowOff>164520</xdr:rowOff>
    </xdr:to>
    <xdr:graphicFrame>
      <xdr:nvGraphicFramePr>
        <xdr:cNvPr id="3" name="Chart 4"/>
        <xdr:cNvGraphicFramePr/>
      </xdr:nvGraphicFramePr>
      <xdr:xfrm>
        <a:off x="550368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507600</xdr:colOff>
      <xdr:row>75</xdr:row>
      <xdr:rowOff>164520</xdr:rowOff>
    </xdr:to>
    <xdr:graphicFrame>
      <xdr:nvGraphicFramePr>
        <xdr:cNvPr id="4" name="Chart 5"/>
        <xdr:cNvGraphicFramePr/>
      </xdr:nvGraphicFramePr>
      <xdr:xfrm>
        <a:off x="0" y="11239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344520</xdr:colOff>
      <xdr:row>28</xdr:row>
      <xdr:rowOff>10440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86200"/>
          <a:ext cx="8572320" cy="232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9.5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26.8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6.8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26.85" hidden="false" customHeight="false" outlineLevel="0" collapsed="false">
      <c r="A36" s="2" t="s">
        <v>29</v>
      </c>
    </row>
    <row r="37" customFormat="false" ht="26.8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3" t="s">
        <v>31</v>
      </c>
    </row>
    <row r="40" customFormat="false" ht="26.85" hidden="false" customHeight="false" outlineLevel="0" collapsed="false">
      <c r="A40" s="2" t="s">
        <v>32</v>
      </c>
    </row>
    <row r="41" customFormat="false" ht="26.85" hidden="false" customHeight="false" outlineLevel="0" collapsed="false">
      <c r="A41" s="2" t="s">
        <v>33</v>
      </c>
    </row>
    <row r="42" customFormat="false" ht="26.85" hidden="false" customHeight="false" outlineLevel="0" collapsed="false">
      <c r="A4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65" hidden="false" customHeight="false" outlineLevel="0" collapsed="false">
      <c r="A1" s="5" t="s">
        <v>35</v>
      </c>
    </row>
    <row r="2" customFormat="false" ht="27.75" hidden="false" customHeight="true" outlineLevel="0" collapsed="false">
      <c r="A2" s="6" t="s">
        <v>36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37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38</v>
      </c>
      <c r="B5" s="10" t="s">
        <v>39</v>
      </c>
      <c r="C5" s="11" t="s">
        <v>40</v>
      </c>
      <c r="D5" s="12" t="s">
        <v>41</v>
      </c>
      <c r="E5" s="12"/>
      <c r="F5" s="12"/>
      <c r="G5" s="12"/>
      <c r="H5" s="12"/>
    </row>
    <row r="6" customFormat="false" ht="15" hidden="false" customHeight="false" outlineLevel="0" collapsed="false">
      <c r="A6" s="9" t="s">
        <v>42</v>
      </c>
      <c r="B6" s="10" t="s">
        <v>43</v>
      </c>
      <c r="C6" s="11" t="s">
        <v>44</v>
      </c>
      <c r="D6" s="12" t="s">
        <v>45</v>
      </c>
      <c r="E6" s="12"/>
      <c r="F6" s="12"/>
      <c r="G6" s="12"/>
      <c r="H6" s="12"/>
    </row>
    <row r="7" customFormat="false" ht="15" hidden="false" customHeight="false" outlineLevel="0" collapsed="false">
      <c r="A7" s="9" t="s">
        <v>46</v>
      </c>
      <c r="B7" s="10" t="s">
        <v>47</v>
      </c>
      <c r="C7" s="11" t="n">
        <v>23.1</v>
      </c>
      <c r="D7" s="12" t="s">
        <v>48</v>
      </c>
      <c r="E7" s="12"/>
      <c r="F7" s="12"/>
      <c r="G7" s="12"/>
      <c r="H7" s="12"/>
    </row>
    <row r="8" customFormat="false" ht="15" hidden="false" customHeight="false" outlineLevel="0" collapsed="false">
      <c r="A8" s="9" t="s">
        <v>49</v>
      </c>
      <c r="B8" s="10" t="s">
        <v>50</v>
      </c>
      <c r="C8" s="11" t="n">
        <v>89</v>
      </c>
      <c r="D8" s="12" t="s">
        <v>51</v>
      </c>
      <c r="E8" s="12"/>
      <c r="F8" s="12"/>
      <c r="G8" s="12"/>
      <c r="H8" s="12"/>
    </row>
    <row r="9" customFormat="false" ht="15" hidden="false" customHeight="false" outlineLevel="0" collapsed="false">
      <c r="A9" s="9" t="s">
        <v>52</v>
      </c>
      <c r="B9" s="10" t="s">
        <v>53</v>
      </c>
      <c r="C9" s="11" t="s">
        <v>54</v>
      </c>
      <c r="D9" s="12" t="s">
        <v>55</v>
      </c>
      <c r="E9" s="12"/>
      <c r="F9" s="12"/>
      <c r="G9" s="12"/>
      <c r="H9" s="12"/>
    </row>
    <row r="11" customFormat="false" ht="15" hidden="false" customHeight="false" outlineLevel="0" collapsed="false">
      <c r="A11" s="7" t="s">
        <v>56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57</v>
      </c>
      <c r="B12" s="10" t="s">
        <v>58</v>
      </c>
      <c r="C12" s="13" t="n">
        <v>45989</v>
      </c>
      <c r="D12" s="12" t="s">
        <v>59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60</v>
      </c>
      <c r="B13" s="10" t="s">
        <v>61</v>
      </c>
      <c r="C13" s="11" t="n">
        <v>49</v>
      </c>
      <c r="D13" s="12" t="s">
        <v>62</v>
      </c>
      <c r="E13" s="12"/>
      <c r="F13" s="12"/>
      <c r="G13" s="12"/>
      <c r="H13" s="12"/>
    </row>
    <row r="14" customFormat="false" ht="15" hidden="false" customHeight="false" outlineLevel="0" collapsed="false">
      <c r="A14" s="9"/>
      <c r="B14" s="10" t="s">
        <v>63</v>
      </c>
      <c r="C14" s="14" t="n">
        <f aca="false">IF(AND(ISNUMBER(C12),ISNUMBER(C13)),C12+C13,"")</f>
        <v>46038</v>
      </c>
      <c r="D14" s="12" t="s">
        <v>64</v>
      </c>
      <c r="E14" s="12"/>
      <c r="F14" s="12"/>
      <c r="G14" s="12"/>
      <c r="H14" s="12"/>
    </row>
    <row r="15" customFormat="false" ht="15" hidden="false" customHeight="false" outlineLevel="0" collapsed="false">
      <c r="A15" s="9"/>
      <c r="B15" s="10" t="s">
        <v>65</v>
      </c>
      <c r="C15" s="14" t="n">
        <f aca="false">IF(C14="","",C14-35)</f>
        <v>46003</v>
      </c>
      <c r="D15" s="12" t="s">
        <v>66</v>
      </c>
      <c r="E15" s="12"/>
      <c r="F15" s="12"/>
      <c r="G15" s="12"/>
      <c r="H15" s="12"/>
    </row>
    <row r="16" customFormat="false" ht="15" hidden="false" customHeight="false" outlineLevel="0" collapsed="false">
      <c r="A16" s="9" t="s">
        <v>67</v>
      </c>
      <c r="B16" s="10" t="s">
        <v>68</v>
      </c>
      <c r="C16" s="13"/>
      <c r="D16" s="12" t="s">
        <v>69</v>
      </c>
      <c r="E16" s="12"/>
      <c r="F16" s="12"/>
      <c r="G16" s="12"/>
      <c r="H16" s="12"/>
    </row>
    <row r="17" customFormat="false" ht="15" hidden="false" customHeight="false" outlineLevel="0" collapsed="false">
      <c r="A17" s="9"/>
      <c r="B17" s="10" t="s">
        <v>70</v>
      </c>
      <c r="C17" s="14" t="n">
        <f aca="false">IF(ISNUMBER(C16),C16,IF(ISNUMBER(C12),C12-3,""))</f>
        <v>45986</v>
      </c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71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B20" s="15" t="s">
        <v>72</v>
      </c>
      <c r="C20" s="15" t="s">
        <v>73</v>
      </c>
      <c r="D20" s="15" t="s">
        <v>74</v>
      </c>
      <c r="E20" s="15" t="s">
        <v>75</v>
      </c>
      <c r="F20" s="15" t="s">
        <v>76</v>
      </c>
      <c r="G20" s="15" t="s">
        <v>77</v>
      </c>
      <c r="H20" s="16" t="s">
        <v>78</v>
      </c>
    </row>
    <row r="21" customFormat="false" ht="15" hidden="false" customHeight="false" outlineLevel="0" collapsed="false">
      <c r="A21" s="9" t="s">
        <v>79</v>
      </c>
      <c r="B21" s="17" t="s">
        <v>80</v>
      </c>
      <c r="C21" s="18" t="s">
        <v>81</v>
      </c>
      <c r="D21" s="18" t="n">
        <v>8.457</v>
      </c>
      <c r="E21" s="18" t="n">
        <v>295</v>
      </c>
      <c r="F21" s="18" t="n">
        <v>16</v>
      </c>
      <c r="G21" s="19" t="n">
        <f aca="false">IF(ISNUMBER(D21),D21*40.4686,"")</f>
        <v>342.2429502</v>
      </c>
    </row>
    <row r="22" customFormat="false" ht="15" hidden="false" customHeight="false" outlineLevel="0" collapsed="false">
      <c r="A22" s="9" t="s">
        <v>82</v>
      </c>
      <c r="B22" s="20" t="s">
        <v>83</v>
      </c>
      <c r="C22" s="18" t="s">
        <v>84</v>
      </c>
      <c r="D22" s="18" t="n">
        <v>8.457</v>
      </c>
      <c r="E22" s="18" t="n">
        <v>415</v>
      </c>
      <c r="F22" s="18" t="n">
        <v>16</v>
      </c>
      <c r="G22" s="19" t="n">
        <f aca="false">IF(ISNUMBER(D22),D22*40.4686,"")</f>
        <v>342.2429502</v>
      </c>
    </row>
    <row r="23" customFormat="false" ht="15" hidden="false" customHeight="false" outlineLevel="0" collapsed="false">
      <c r="A23" s="9" t="s">
        <v>85</v>
      </c>
      <c r="B23" s="10" t="s">
        <v>86</v>
      </c>
      <c r="C23" s="13" t="n">
        <v>46038</v>
      </c>
      <c r="D23" s="12" t="s">
        <v>87</v>
      </c>
      <c r="E23" s="12"/>
      <c r="F23" s="12"/>
      <c r="G23" s="12"/>
      <c r="H23" s="12"/>
    </row>
    <row r="25" customFormat="false" ht="15" hidden="false" customHeight="false" outlineLevel="0" collapsed="false">
      <c r="A25" s="7" t="s">
        <v>88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s">
        <v>89</v>
      </c>
      <c r="B26" s="10" t="s">
        <v>90</v>
      </c>
      <c r="C26" s="13" t="n">
        <v>45986</v>
      </c>
      <c r="D26" s="12" t="s">
        <v>91</v>
      </c>
      <c r="E26" s="12"/>
      <c r="F26" s="12"/>
      <c r="G26" s="12"/>
      <c r="H26" s="12"/>
    </row>
    <row r="27" customFormat="false" ht="15" hidden="false" customHeight="false" outlineLevel="0" collapsed="false">
      <c r="A27" s="9" t="s">
        <v>92</v>
      </c>
      <c r="B27" s="10" t="s">
        <v>93</v>
      </c>
      <c r="C27" s="13" t="n">
        <v>45995</v>
      </c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9" t="s">
        <v>94</v>
      </c>
      <c r="B28" s="10" t="s">
        <v>95</v>
      </c>
      <c r="C28" s="13" t="n">
        <v>46025</v>
      </c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7" t="s">
        <v>96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10"/>
      <c r="B31" s="10" t="s">
        <v>97</v>
      </c>
      <c r="C31" s="18" t="n">
        <v>35</v>
      </c>
    </row>
    <row r="32" customFormat="false" ht="15" hidden="false" customHeight="false" outlineLevel="0" collapsed="false">
      <c r="A32" s="10"/>
      <c r="B32" s="10" t="s">
        <v>98</v>
      </c>
      <c r="C32" s="18" t="n">
        <v>30</v>
      </c>
    </row>
    <row r="33" customFormat="false" ht="15" hidden="false" customHeight="false" outlineLevel="0" collapsed="false">
      <c r="A33" s="10"/>
      <c r="B33" s="10" t="s">
        <v>99</v>
      </c>
      <c r="C33" s="18" t="n">
        <v>3</v>
      </c>
    </row>
    <row r="34" customFormat="false" ht="15" hidden="false" customHeight="false" outlineLevel="0" collapsed="false">
      <c r="A34" s="10"/>
      <c r="B34" s="10" t="s">
        <v>100</v>
      </c>
      <c r="C34" s="18" t="n">
        <v>66</v>
      </c>
    </row>
    <row r="35" customFormat="false" ht="15" hidden="false" customHeight="false" outlineLevel="0" collapsed="false">
      <c r="A35" s="10"/>
      <c r="B35" s="10" t="s">
        <v>101</v>
      </c>
      <c r="C35" s="18" t="n">
        <v>8</v>
      </c>
    </row>
    <row r="36" customFormat="false" ht="15" hidden="false" customHeight="false" outlineLevel="0" collapsed="false">
      <c r="A36" s="10"/>
      <c r="B36" s="10" t="s">
        <v>102</v>
      </c>
      <c r="C36" s="18" t="n">
        <v>6</v>
      </c>
    </row>
    <row r="37" customFormat="false" ht="15" hidden="false" customHeight="false" outlineLevel="0" collapsed="false">
      <c r="A37" s="10"/>
      <c r="B37" s="10" t="s">
        <v>103</v>
      </c>
      <c r="C37" s="18" t="n">
        <v>111</v>
      </c>
    </row>
    <row r="38" customFormat="false" ht="15" hidden="false" customHeight="false" outlineLevel="0" collapsed="false">
      <c r="A38" s="10"/>
      <c r="B38" s="10" t="s">
        <v>104</v>
      </c>
      <c r="C38" s="18" t="n">
        <v>25</v>
      </c>
    </row>
    <row r="39" customFormat="false" ht="15" hidden="false" customHeight="false" outlineLevel="0" collapsed="false">
      <c r="A39" s="10"/>
      <c r="B39" s="10" t="s">
        <v>105</v>
      </c>
      <c r="C39" s="18" t="n">
        <v>21</v>
      </c>
    </row>
    <row r="40" customFormat="false" ht="15" hidden="false" customHeight="false" outlineLevel="0" collapsed="false">
      <c r="A40" s="10"/>
      <c r="B40" s="10" t="s">
        <v>106</v>
      </c>
      <c r="C40" s="18" t="n">
        <v>28</v>
      </c>
    </row>
    <row r="41" customFormat="false" ht="15" hidden="false" customHeight="false" outlineLevel="0" collapsed="false">
      <c r="A41" s="10"/>
      <c r="B41" s="10" t="s">
        <v>107</v>
      </c>
      <c r="C41" s="18" t="n">
        <v>8</v>
      </c>
    </row>
    <row r="42" customFormat="false" ht="15" hidden="false" customHeight="false" outlineLevel="0" collapsed="false">
      <c r="A42" s="10"/>
      <c r="B42" s="10" t="s">
        <v>108</v>
      </c>
      <c r="C42" s="18" t="n">
        <v>15</v>
      </c>
    </row>
    <row r="43" customFormat="false" ht="15" hidden="false" customHeight="false" outlineLevel="0" collapsed="false">
      <c r="A43" s="10"/>
      <c r="B43" s="10" t="s">
        <v>109</v>
      </c>
      <c r="C43" s="18" t="n">
        <v>4</v>
      </c>
    </row>
    <row r="44" customFormat="false" ht="15" hidden="false" customHeight="false" outlineLevel="0" collapsed="false">
      <c r="A44" s="10"/>
      <c r="B44" s="10" t="s">
        <v>110</v>
      </c>
      <c r="C44" s="18" t="n">
        <v>7</v>
      </c>
    </row>
    <row r="46" customFormat="false" ht="15" hidden="false" customHeight="false" outlineLevel="0" collapsed="false">
      <c r="A46" s="7" t="s">
        <v>111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B47" s="15" t="s">
        <v>112</v>
      </c>
      <c r="C47" s="15" t="s">
        <v>113</v>
      </c>
      <c r="D47" s="15" t="s">
        <v>114</v>
      </c>
    </row>
    <row r="48" customFormat="false" ht="15" hidden="false" customHeight="false" outlineLevel="0" collapsed="false">
      <c r="B48" s="21" t="s">
        <v>115</v>
      </c>
      <c r="C48" s="18" t="n">
        <v>0.46</v>
      </c>
      <c r="D48" s="18" t="n">
        <v>0</v>
      </c>
    </row>
    <row r="49" customFormat="false" ht="15" hidden="false" customHeight="false" outlineLevel="0" collapsed="false">
      <c r="B49" s="21" t="s">
        <v>116</v>
      </c>
      <c r="C49" s="18" t="n">
        <v>0</v>
      </c>
      <c r="D49" s="18" t="n">
        <v>0.2</v>
      </c>
    </row>
    <row r="50" customFormat="false" ht="15" hidden="false" customHeight="false" outlineLevel="0" collapsed="false">
      <c r="B50" s="21" t="s">
        <v>117</v>
      </c>
      <c r="C50" s="18" t="n">
        <v>0.18</v>
      </c>
      <c r="D50" s="18" t="n">
        <v>0.2</v>
      </c>
    </row>
    <row r="51" customFormat="false" ht="15" hidden="false" customHeight="false" outlineLevel="0" collapsed="false">
      <c r="B51" s="21" t="s">
        <v>118</v>
      </c>
      <c r="C51" s="18" t="n">
        <v>0</v>
      </c>
      <c r="D51" s="18" t="n">
        <v>0</v>
      </c>
    </row>
    <row r="52" customFormat="false" ht="15" hidden="false" customHeight="false" outlineLevel="0" collapsed="false">
      <c r="B52" s="21" t="s">
        <v>119</v>
      </c>
      <c r="C52" s="18" t="n">
        <v>0</v>
      </c>
      <c r="D52" s="18" t="n">
        <v>0</v>
      </c>
    </row>
    <row r="53" customFormat="false" ht="15" hidden="false" customHeight="false" outlineLevel="0" collapsed="false">
      <c r="B53" s="21" t="s">
        <v>120</v>
      </c>
      <c r="C53" s="18" t="n">
        <v>0</v>
      </c>
      <c r="D53" s="18" t="n">
        <v>0</v>
      </c>
    </row>
    <row r="54" customFormat="false" ht="15" hidden="false" customHeight="false" outlineLevel="0" collapsed="false">
      <c r="B54" s="21" t="s">
        <v>121</v>
      </c>
      <c r="C54" s="18" t="n">
        <v>0</v>
      </c>
      <c r="D54" s="18" t="n">
        <v>0</v>
      </c>
    </row>
    <row r="55" customFormat="false" ht="15" hidden="false" customHeight="false" outlineLevel="0" collapsed="false">
      <c r="B55" s="21" t="s">
        <v>122</v>
      </c>
      <c r="C55" s="18" t="n">
        <v>0</v>
      </c>
      <c r="D55" s="18" t="n">
        <v>0</v>
      </c>
    </row>
    <row r="56" customFormat="false" ht="15" hidden="false" customHeight="false" outlineLevel="0" collapsed="false">
      <c r="B56" s="21" t="s">
        <v>123</v>
      </c>
      <c r="C56" s="18" t="n">
        <v>0</v>
      </c>
      <c r="D56" s="18" t="n">
        <v>0</v>
      </c>
    </row>
    <row r="57" customFormat="false" ht="15" hidden="false" customHeight="false" outlineLevel="0" collapsed="false">
      <c r="B57" s="21" t="s">
        <v>124</v>
      </c>
      <c r="C57" s="18" t="n">
        <v>0</v>
      </c>
      <c r="D57" s="18" t="n">
        <v>0</v>
      </c>
    </row>
    <row r="58" customFormat="false" ht="15" hidden="false" customHeight="false" outlineLevel="0" collapsed="false">
      <c r="B58" s="21" t="s">
        <v>125</v>
      </c>
      <c r="C58" s="18" t="n">
        <v>0</v>
      </c>
      <c r="D58" s="18" t="n">
        <v>0</v>
      </c>
    </row>
    <row r="59" customFormat="false" ht="15" hidden="false" customHeight="false" outlineLevel="0" collapsed="false">
      <c r="B59" s="21" t="s">
        <v>126</v>
      </c>
      <c r="C59" s="18" t="n">
        <v>0</v>
      </c>
      <c r="D59" s="18" t="n">
        <v>0</v>
      </c>
    </row>
    <row r="60" customFormat="false" ht="15" hidden="false" customHeight="false" outlineLevel="0" collapsed="false">
      <c r="B60" s="22" t="s">
        <v>127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Enter a date, e.g. 02 Dec 2025.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Days, 10-90." errorStyle="stop" operator="between" showDropDown="false" showErrorMessage="true" showInputMessage="false" sqref="C13" type="whole">
      <formula1>10</formula1>
      <formula2>90</formula2>
    </dataValidation>
    <dataValidation allowBlank="false" error="Enter a number (cm).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73" min="4" style="0" width="8"/>
  </cols>
  <sheetData>
    <row r="1" customFormat="false" ht="17.15" hidden="false" customHeight="false" outlineLevel="0" collapsed="false">
      <c r="B1" s="23" t="s">
        <v>128</v>
      </c>
      <c r="C1" s="24" t="s">
        <v>129</v>
      </c>
      <c r="D1" s="25" t="n">
        <f aca="false">IF(ISNUMBER(DataStart),DataStart+0,"")</f>
        <v>45986</v>
      </c>
      <c r="E1" s="25" t="n">
        <f aca="false">IF(ISNUMBER(DataStart),DataStart+1,"")</f>
        <v>45987</v>
      </c>
      <c r="F1" s="25" t="n">
        <f aca="false">IF(ISNUMBER(DataStart),DataStart+2,"")</f>
        <v>45988</v>
      </c>
      <c r="G1" s="25" t="n">
        <f aca="false">IF(ISNUMBER(DataStart),DataStart+3,"")</f>
        <v>45989</v>
      </c>
      <c r="H1" s="25" t="n">
        <f aca="false">IF(ISNUMBER(DataStart),DataStart+4,"")</f>
        <v>45990</v>
      </c>
      <c r="I1" s="25" t="n">
        <f aca="false">IF(ISNUMBER(DataStart),DataStart+5,"")</f>
        <v>45991</v>
      </c>
      <c r="J1" s="25" t="n">
        <f aca="false">IF(ISNUMBER(DataStart),DataStart+6,"")</f>
        <v>45992</v>
      </c>
      <c r="K1" s="25" t="n">
        <f aca="false">IF(ISNUMBER(DataStart),DataStart+7,"")</f>
        <v>45993</v>
      </c>
      <c r="L1" s="25" t="n">
        <f aca="false">IF(ISNUMBER(DataStart),DataStart+8,"")</f>
        <v>45994</v>
      </c>
      <c r="M1" s="25" t="n">
        <f aca="false">IF(ISNUMBER(DataStart),DataStart+9,"")</f>
        <v>45995</v>
      </c>
      <c r="N1" s="25" t="n">
        <f aca="false">IF(ISNUMBER(DataStart),DataStart+10,"")</f>
        <v>45996</v>
      </c>
      <c r="O1" s="25" t="n">
        <f aca="false">IF(ISNUMBER(DataStart),DataStart+11,"")</f>
        <v>45997</v>
      </c>
      <c r="P1" s="25" t="n">
        <f aca="false">IF(ISNUMBER(DataStart),DataStart+12,"")</f>
        <v>45998</v>
      </c>
      <c r="Q1" s="25" t="n">
        <f aca="false">IF(ISNUMBER(DataStart),DataStart+13,"")</f>
        <v>45999</v>
      </c>
      <c r="R1" s="25" t="n">
        <f aca="false">IF(ISNUMBER(DataStart),DataStart+14,"")</f>
        <v>46000</v>
      </c>
      <c r="S1" s="25" t="n">
        <f aca="false">IF(ISNUMBER(DataStart),DataStart+15,"")</f>
        <v>46001</v>
      </c>
      <c r="T1" s="25" t="n">
        <f aca="false">IF(ISNUMBER(DataStart),DataStart+16,"")</f>
        <v>46002</v>
      </c>
      <c r="U1" s="25" t="n">
        <f aca="false">IF(ISNUMBER(DataStart),DataStart+17,"")</f>
        <v>46003</v>
      </c>
      <c r="V1" s="25" t="n">
        <f aca="false">IF(ISNUMBER(DataStart),DataStart+18,"")</f>
        <v>46004</v>
      </c>
      <c r="W1" s="25" t="n">
        <f aca="false">IF(ISNUMBER(DataStart),DataStart+19,"")</f>
        <v>46005</v>
      </c>
      <c r="X1" s="25" t="n">
        <f aca="false">IF(ISNUMBER(DataStart),DataStart+20,"")</f>
        <v>46006</v>
      </c>
      <c r="Y1" s="25" t="n">
        <f aca="false">IF(ISNUMBER(DataStart),DataStart+21,"")</f>
        <v>46007</v>
      </c>
      <c r="Z1" s="25" t="n">
        <f aca="false">IF(ISNUMBER(DataStart),DataStart+22,"")</f>
        <v>46008</v>
      </c>
      <c r="AA1" s="25" t="n">
        <f aca="false">IF(ISNUMBER(DataStart),DataStart+23,"")</f>
        <v>46009</v>
      </c>
      <c r="AB1" s="25" t="n">
        <f aca="false">IF(ISNUMBER(DataStart),DataStart+24,"")</f>
        <v>46010</v>
      </c>
      <c r="AC1" s="25" t="n">
        <f aca="false">IF(ISNUMBER(DataStart),DataStart+25,"")</f>
        <v>46011</v>
      </c>
      <c r="AD1" s="25" t="n">
        <f aca="false">IF(ISNUMBER(DataStart),DataStart+26,"")</f>
        <v>46012</v>
      </c>
      <c r="AE1" s="25" t="n">
        <f aca="false">IF(ISNUMBER(DataStart),DataStart+27,"")</f>
        <v>46013</v>
      </c>
      <c r="AF1" s="25" t="n">
        <f aca="false">IF(ISNUMBER(DataStart),DataStart+28,"")</f>
        <v>46014</v>
      </c>
      <c r="AG1" s="25" t="n">
        <f aca="false">IF(ISNUMBER(DataStart),DataStart+29,"")</f>
        <v>46015</v>
      </c>
      <c r="AH1" s="25" t="n">
        <f aca="false">IF(ISNUMBER(DataStart),DataStart+30,"")</f>
        <v>46016</v>
      </c>
      <c r="AI1" s="25" t="n">
        <f aca="false">IF(ISNUMBER(DataStart),DataStart+31,"")</f>
        <v>46017</v>
      </c>
      <c r="AJ1" s="25" t="n">
        <f aca="false">IF(ISNUMBER(DataStart),DataStart+32,"")</f>
        <v>46018</v>
      </c>
      <c r="AK1" s="25" t="n">
        <f aca="false">IF(ISNUMBER(DataStart),DataStart+33,"")</f>
        <v>46019</v>
      </c>
      <c r="AL1" s="25" t="n">
        <f aca="false">IF(ISNUMBER(DataStart),DataStart+34,"")</f>
        <v>46020</v>
      </c>
      <c r="AM1" s="25" t="n">
        <f aca="false">IF(ISNUMBER(DataStart),DataStart+35,"")</f>
        <v>46021</v>
      </c>
      <c r="AN1" s="25" t="n">
        <f aca="false">IF(ISNUMBER(DataStart),DataStart+36,"")</f>
        <v>46022</v>
      </c>
      <c r="AO1" s="25" t="n">
        <f aca="false">IF(ISNUMBER(DataStart),DataStart+37,"")</f>
        <v>46023</v>
      </c>
      <c r="AP1" s="25" t="n">
        <f aca="false">IF(ISNUMBER(DataStart),DataStart+38,"")</f>
        <v>46024</v>
      </c>
      <c r="AQ1" s="25" t="n">
        <f aca="false">IF(ISNUMBER(DataStart),DataStart+39,"")</f>
        <v>46025</v>
      </c>
      <c r="AR1" s="25" t="n">
        <f aca="false">IF(ISNUMBER(DataStart),DataStart+40,"")</f>
        <v>46026</v>
      </c>
      <c r="AS1" s="25" t="n">
        <f aca="false">IF(ISNUMBER(DataStart),DataStart+41,"")</f>
        <v>46027</v>
      </c>
      <c r="AT1" s="25" t="n">
        <f aca="false">IF(ISNUMBER(DataStart),DataStart+42,"")</f>
        <v>46028</v>
      </c>
      <c r="AU1" s="25" t="n">
        <f aca="false">IF(ISNUMBER(DataStart),DataStart+43,"")</f>
        <v>46029</v>
      </c>
      <c r="AV1" s="25" t="n">
        <f aca="false">IF(ISNUMBER(DataStart),DataStart+44,"")</f>
        <v>46030</v>
      </c>
      <c r="AW1" s="25" t="n">
        <f aca="false">IF(ISNUMBER(DataStart),DataStart+45,"")</f>
        <v>46031</v>
      </c>
      <c r="AX1" s="25" t="n">
        <f aca="false">IF(ISNUMBER(DataStart),DataStart+46,"")</f>
        <v>46032</v>
      </c>
      <c r="AY1" s="25" t="n">
        <f aca="false">IF(ISNUMBER(DataStart),DataStart+47,"")</f>
        <v>46033</v>
      </c>
      <c r="AZ1" s="25" t="n">
        <f aca="false">IF(ISNUMBER(DataStart),DataStart+48,"")</f>
        <v>46034</v>
      </c>
      <c r="BA1" s="25" t="n">
        <f aca="false">IF(ISNUMBER(DataStart),DataStart+49,"")</f>
        <v>46035</v>
      </c>
      <c r="BB1" s="25" t="n">
        <f aca="false">IF(ISNUMBER(DataStart),DataStart+50,"")</f>
        <v>46036</v>
      </c>
      <c r="BC1" s="25" t="n">
        <f aca="false">IF(ISNUMBER(DataStart),DataStart+51,"")</f>
        <v>46037</v>
      </c>
      <c r="BD1" s="25" t="n">
        <f aca="false">IF(ISNUMBER(DataStart),DataStart+52,"")</f>
        <v>46038</v>
      </c>
      <c r="BE1" s="25" t="n">
        <f aca="false">IF(ISNUMBER(DataStart),DataStart+53,"")</f>
        <v>46039</v>
      </c>
      <c r="BF1" s="25" t="n">
        <f aca="false">IF(ISNUMBER(DataStart),DataStart+54,"")</f>
        <v>46040</v>
      </c>
      <c r="BG1" s="25" t="n">
        <f aca="false">IF(ISNUMBER(DataStart),DataStart+55,"")</f>
        <v>46041</v>
      </c>
      <c r="BH1" s="25" t="n">
        <f aca="false">IF(ISNUMBER(DataStart),DataStart+56,"")</f>
        <v>46042</v>
      </c>
      <c r="BI1" s="25" t="n">
        <f aca="false">IF(ISNUMBER(DataStart),DataStart+57,"")</f>
        <v>46043</v>
      </c>
      <c r="BJ1" s="25" t="n">
        <f aca="false">IF(ISNUMBER(DataStart),DataStart+58,"")</f>
        <v>46044</v>
      </c>
      <c r="BK1" s="25" t="n">
        <f aca="false">IF(ISNUMBER(DataStart),DataStart+59,"")</f>
        <v>46045</v>
      </c>
      <c r="BL1" s="25" t="n">
        <f aca="false">IF(ISNUMBER(DataStart),DataStart+60,"")</f>
        <v>46046</v>
      </c>
      <c r="BM1" s="25" t="n">
        <f aca="false">IF(ISNUMBER(DataStart),DataStart+61,"")</f>
        <v>46047</v>
      </c>
      <c r="BN1" s="25" t="n">
        <f aca="false">IF(ISNUMBER(DataStart),DataStart+62,"")</f>
        <v>46048</v>
      </c>
      <c r="BO1" s="25" t="n">
        <f aca="false">IF(ISNUMBER(DataStart),DataStart+63,"")</f>
        <v>46049</v>
      </c>
      <c r="BP1" s="25" t="n">
        <f aca="false">IF(ISNUMBER(DataStart),DataStart+64,"")</f>
        <v>46050</v>
      </c>
      <c r="BQ1" s="25" t="n">
        <f aca="false">IF(ISNUMBER(DataStart),DataStart+65,"")</f>
        <v>46051</v>
      </c>
      <c r="BR1" s="25" t="n">
        <f aca="false">IF(ISNUMBER(DataStart),DataStart+66,"")</f>
        <v>46052</v>
      </c>
      <c r="BS1" s="25" t="n">
        <f aca="false">IF(ISNUMBER(DataStart),DataStart+67,"")</f>
        <v>46053</v>
      </c>
      <c r="BT1" s="25" t="n">
        <f aca="false">IF(ISNUMBER(DataStart),DataStart+68,"")</f>
        <v>46054</v>
      </c>
      <c r="BU1" s="25" t="n">
        <f aca="false">IF(ISNUMBER(DataStart),DataStart+69,"")</f>
        <v>46055</v>
      </c>
      <c r="BV1" s="25" t="n">
        <f aca="false">IF(ISNUMBER(DataStart),DataStart+70,"")</f>
        <v>46056</v>
      </c>
      <c r="BW1" s="25" t="n">
        <f aca="false">IF(ISNUMBER(DataStart),DataStart+71,"")</f>
        <v>46057</v>
      </c>
      <c r="BX1" s="25" t="n">
        <f aca="false">IF(ISNUMBER(DataStart),DataStart+72,"")</f>
        <v>46058</v>
      </c>
      <c r="BY1" s="25" t="n">
        <f aca="false">IF(ISNUMBER(DataStart),DataStart+73,"")</f>
        <v>46059</v>
      </c>
      <c r="BZ1" s="25" t="n">
        <f aca="false">IF(ISNUMBER(DataStart),DataStart+74,"")</f>
        <v>46060</v>
      </c>
      <c r="CA1" s="25" t="n">
        <f aca="false">IF(ISNUMBER(DataStart),DataStart+75,"")</f>
        <v>46061</v>
      </c>
      <c r="CB1" s="25" t="n">
        <f aca="false">IF(ISNUMBER(DataStart),DataStart+76,"")</f>
        <v>46062</v>
      </c>
      <c r="CC1" s="25" t="n">
        <f aca="false">IF(ISNUMBER(DataStart),DataStart+77,"")</f>
        <v>46063</v>
      </c>
      <c r="CD1" s="25" t="n">
        <f aca="false">IF(ISNUMBER(DataStart),DataStart+78,"")</f>
        <v>46064</v>
      </c>
      <c r="CE1" s="25" t="n">
        <f aca="false">IF(ISNUMBER(DataStart),DataStart+79,"")</f>
        <v>46065</v>
      </c>
      <c r="CF1" s="25" t="n">
        <f aca="false">IF(ISNUMBER(DataStart),DataStart+80,"")</f>
        <v>46066</v>
      </c>
      <c r="CG1" s="25" t="n">
        <f aca="false">IF(ISNUMBER(DataStart),DataStart+81,"")</f>
        <v>46067</v>
      </c>
      <c r="CH1" s="25" t="n">
        <f aca="false">IF(ISNUMBER(DataStart),DataStart+82,"")</f>
        <v>46068</v>
      </c>
      <c r="CI1" s="25" t="n">
        <f aca="false">IF(ISNUMBER(DataStart),DataStart+83,"")</f>
        <v>46069</v>
      </c>
      <c r="CJ1" s="25" t="n">
        <f aca="false">IF(ISNUMBER(DataStart),DataStart+84,"")</f>
        <v>46070</v>
      </c>
      <c r="CK1" s="25" t="n">
        <f aca="false">IF(ISNUMBER(DataStart),DataStart+85,"")</f>
        <v>46071</v>
      </c>
      <c r="CL1" s="25" t="n">
        <f aca="false">IF(ISNUMBER(DataStart),DataStart+86,"")</f>
        <v>46072</v>
      </c>
      <c r="CM1" s="25" t="n">
        <f aca="false">IF(ISNUMBER(DataStart),DataStart+87,"")</f>
        <v>46073</v>
      </c>
      <c r="CN1" s="25" t="n">
        <f aca="false">IF(ISNUMBER(DataStart),DataStart+88,"")</f>
        <v>46074</v>
      </c>
      <c r="CO1" s="25" t="n">
        <f aca="false">IF(ISNUMBER(DataStart),DataStart+89,"")</f>
        <v>46075</v>
      </c>
      <c r="CP1" s="25" t="n">
        <f aca="false">IF(ISNUMBER(DataStart),DataStart+90,"")</f>
        <v>46076</v>
      </c>
      <c r="CQ1" s="25" t="n">
        <f aca="false">IF(ISNUMBER(DataStart),DataStart+91,"")</f>
        <v>46077</v>
      </c>
      <c r="CR1" s="25" t="n">
        <f aca="false">IF(ISNUMBER(DataStart),DataStart+92,"")</f>
        <v>46078</v>
      </c>
      <c r="CS1" s="25" t="n">
        <f aca="false">IF(ISNUMBER(DataStart),DataStart+93,"")</f>
        <v>46079</v>
      </c>
      <c r="CT1" s="25" t="n">
        <f aca="false">IF(ISNUMBER(DataStart),DataStart+94,"")</f>
        <v>46080</v>
      </c>
      <c r="CU1" s="25" t="n">
        <f aca="false">IF(ISNUMBER(DataStart),DataStart+95,"")</f>
        <v>46081</v>
      </c>
      <c r="CV1" s="25" t="n">
        <f aca="false">IF(ISNUMBER(DataStart),DataStart+96,"")</f>
        <v>46082</v>
      </c>
      <c r="CW1" s="25" t="n">
        <f aca="false">IF(ISNUMBER(DataStart),DataStart+97,"")</f>
        <v>46083</v>
      </c>
      <c r="CX1" s="25" t="n">
        <f aca="false">IF(ISNUMBER(DataStart),DataStart+98,"")</f>
        <v>46084</v>
      </c>
      <c r="CY1" s="25" t="n">
        <f aca="false">IF(ISNUMBER(DataStart),DataStart+99,"")</f>
        <v>46085</v>
      </c>
      <c r="CZ1" s="25" t="n">
        <f aca="false">IF(ISNUMBER(DataStart),DataStart+100,"")</f>
        <v>46086</v>
      </c>
      <c r="DA1" s="25" t="n">
        <f aca="false">IF(ISNUMBER(DataStart),DataStart+101,"")</f>
        <v>46087</v>
      </c>
      <c r="DB1" s="25" t="n">
        <f aca="false">IF(ISNUMBER(DataStart),DataStart+102,"")</f>
        <v>46088</v>
      </c>
      <c r="DC1" s="25" t="n">
        <f aca="false">IF(ISNUMBER(DataStart),DataStart+103,"")</f>
        <v>46089</v>
      </c>
      <c r="DD1" s="25" t="n">
        <f aca="false">IF(ISNUMBER(DataStart),DataStart+104,"")</f>
        <v>46090</v>
      </c>
      <c r="DE1" s="25" t="n">
        <f aca="false">IF(ISNUMBER(DataStart),DataStart+105,"")</f>
        <v>46091</v>
      </c>
      <c r="DF1" s="25" t="n">
        <f aca="false">IF(ISNUMBER(DataStart),DataStart+106,"")</f>
        <v>46092</v>
      </c>
      <c r="DG1" s="25" t="n">
        <f aca="false">IF(ISNUMBER(DataStart),DataStart+107,"")</f>
        <v>46093</v>
      </c>
      <c r="DH1" s="25" t="n">
        <f aca="false">IF(ISNUMBER(DataStart),DataStart+108,"")</f>
        <v>46094</v>
      </c>
      <c r="DI1" s="25" t="n">
        <f aca="false">IF(ISNUMBER(DataStart),DataStart+109,"")</f>
        <v>46095</v>
      </c>
      <c r="DJ1" s="25" t="n">
        <f aca="false">IF(ISNUMBER(DataStart),DataStart+110,"")</f>
        <v>46096</v>
      </c>
      <c r="DK1" s="25" t="n">
        <f aca="false">IF(ISNUMBER(DataStart),DataStart+111,"")</f>
        <v>46097</v>
      </c>
      <c r="DL1" s="25" t="n">
        <f aca="false">IF(ISNUMBER(DataStart),DataStart+112,"")</f>
        <v>46098</v>
      </c>
      <c r="DM1" s="25" t="n">
        <f aca="false">IF(ISNUMBER(DataStart),DataStart+113,"")</f>
        <v>46099</v>
      </c>
      <c r="DN1" s="25" t="n">
        <f aca="false">IF(ISNUMBER(DataStart),DataStart+114,"")</f>
        <v>46100</v>
      </c>
      <c r="DO1" s="25" t="n">
        <f aca="false">IF(ISNUMBER(DataStart),DataStart+115,"")</f>
        <v>46101</v>
      </c>
      <c r="DP1" s="25" t="n">
        <f aca="false">IF(ISNUMBER(DataStart),DataStart+116,"")</f>
        <v>46102</v>
      </c>
      <c r="DQ1" s="25" t="n">
        <f aca="false">IF(ISNUMBER(DataStart),DataStart+117,"")</f>
        <v>46103</v>
      </c>
      <c r="DR1" s="25" t="n">
        <f aca="false">IF(ISNUMBER(DataStart),DataStart+118,"")</f>
        <v>46104</v>
      </c>
      <c r="DS1" s="25" t="n">
        <f aca="false">IF(ISNUMBER(DataStart),DataStart+119,"")</f>
        <v>46105</v>
      </c>
      <c r="DT1" s="25" t="n">
        <f aca="false">IF(ISNUMBER(DataStart),DataStart+120,"")</f>
        <v>46106</v>
      </c>
      <c r="DU1" s="25" t="n">
        <f aca="false">IF(ISNUMBER(DataStart),DataStart+121,"")</f>
        <v>46107</v>
      </c>
      <c r="DV1" s="25" t="n">
        <f aca="false">IF(ISNUMBER(DataStart),DataStart+122,"")</f>
        <v>46108</v>
      </c>
      <c r="DW1" s="25" t="n">
        <f aca="false">IF(ISNUMBER(DataStart),DataStart+123,"")</f>
        <v>46109</v>
      </c>
      <c r="DX1" s="25" t="n">
        <f aca="false">IF(ISNUMBER(DataStart),DataStart+124,"")</f>
        <v>46110</v>
      </c>
      <c r="DY1" s="25" t="n">
        <f aca="false">IF(ISNUMBER(DataStart),DataStart+125,"")</f>
        <v>46111</v>
      </c>
      <c r="DZ1" s="25" t="n">
        <f aca="false">IF(ISNUMBER(DataStart),DataStart+126,"")</f>
        <v>46112</v>
      </c>
      <c r="EA1" s="25" t="n">
        <f aca="false">IF(ISNUMBER(DataStart),DataStart+127,"")</f>
        <v>46113</v>
      </c>
      <c r="EB1" s="25" t="n">
        <f aca="false">IF(ISNUMBER(DataStart),DataStart+128,"")</f>
        <v>46114</v>
      </c>
      <c r="EC1" s="25" t="n">
        <f aca="false">IF(ISNUMBER(DataStart),DataStart+129,"")</f>
        <v>46115</v>
      </c>
      <c r="ED1" s="25" t="n">
        <f aca="false">IF(ISNUMBER(DataStart),DataStart+130,"")</f>
        <v>46116</v>
      </c>
      <c r="EE1" s="25" t="n">
        <f aca="false">IF(ISNUMBER(DataStart),DataStart+131,"")</f>
        <v>46117</v>
      </c>
      <c r="EF1" s="25" t="n">
        <f aca="false">IF(ISNUMBER(DataStart),DataStart+132,"")</f>
        <v>46118</v>
      </c>
      <c r="EG1" s="25" t="n">
        <f aca="false">IF(ISNUMBER(DataStart),DataStart+133,"")</f>
        <v>46119</v>
      </c>
      <c r="EH1" s="25" t="n">
        <f aca="false">IF(ISNUMBER(DataStart),DataStart+134,"")</f>
        <v>46120</v>
      </c>
      <c r="EI1" s="25" t="n">
        <f aca="false">IF(ISNUMBER(DataStart),DataStart+135,"")</f>
        <v>46121</v>
      </c>
      <c r="EJ1" s="25" t="n">
        <f aca="false">IF(ISNUMBER(DataStart),DataStart+136,"")</f>
        <v>46122</v>
      </c>
      <c r="EK1" s="25" t="n">
        <f aca="false">IF(ISNUMBER(DataStart),DataStart+137,"")</f>
        <v>46123</v>
      </c>
      <c r="EL1" s="25" t="n">
        <f aca="false">IF(ISNUMBER(DataStart),DataStart+138,"")</f>
        <v>46124</v>
      </c>
      <c r="EM1" s="25" t="n">
        <f aca="false">IF(ISNUMBER(DataStart),DataStart+139,"")</f>
        <v>46125</v>
      </c>
      <c r="EN1" s="25" t="n">
        <f aca="false">IF(ISNUMBER(DataStart),DataStart+140,"")</f>
        <v>46126</v>
      </c>
      <c r="EO1" s="25" t="n">
        <f aca="false">IF(ISNUMBER(DataStart),DataStart+141,"")</f>
        <v>46127</v>
      </c>
      <c r="EP1" s="25" t="n">
        <f aca="false">IF(ISNUMBER(DataStart),DataStart+142,"")</f>
        <v>46128</v>
      </c>
      <c r="EQ1" s="25" t="n">
        <f aca="false">IF(ISNUMBER(DataStart),DataStart+143,"")</f>
        <v>46129</v>
      </c>
      <c r="ER1" s="25" t="n">
        <f aca="false">IF(ISNUMBER(DataStart),DataStart+144,"")</f>
        <v>46130</v>
      </c>
      <c r="ES1" s="25" t="n">
        <f aca="false">IF(ISNUMBER(DataStart),DataStart+145,"")</f>
        <v>46131</v>
      </c>
      <c r="ET1" s="25" t="n">
        <f aca="false">IF(ISNUMBER(DataStart),DataStart+146,"")</f>
        <v>46132</v>
      </c>
      <c r="EU1" s="25" t="n">
        <f aca="false">IF(ISNUMBER(DataStart),DataStart+147,"")</f>
        <v>46133</v>
      </c>
      <c r="EV1" s="25" t="n">
        <f aca="false">IF(ISNUMBER(DataStart),DataStart+148,"")</f>
        <v>46134</v>
      </c>
      <c r="EW1" s="25" t="n">
        <f aca="false">IF(ISNUMBER(DataStart),DataStart+149,"")</f>
        <v>46135</v>
      </c>
      <c r="EX1" s="25" t="n">
        <f aca="false">IF(ISNUMBER(DataStart),DataStart+150,"")</f>
        <v>46136</v>
      </c>
      <c r="EY1" s="25" t="n">
        <f aca="false">IF(ISNUMBER(DataStart),DataStart+151,"")</f>
        <v>46137</v>
      </c>
      <c r="EZ1" s="25" t="n">
        <f aca="false">IF(ISNUMBER(DataStart),DataStart+152,"")</f>
        <v>46138</v>
      </c>
      <c r="FA1" s="25" t="n">
        <f aca="false">IF(ISNUMBER(DataStart),DataStart+153,"")</f>
        <v>46139</v>
      </c>
      <c r="FB1" s="25" t="n">
        <f aca="false">IF(ISNUMBER(DataStart),DataStart+154,"")</f>
        <v>46140</v>
      </c>
      <c r="FC1" s="25" t="n">
        <f aca="false">IF(ISNUMBER(DataStart),DataStart+155,"")</f>
        <v>46141</v>
      </c>
      <c r="FD1" s="25" t="n">
        <f aca="false">IF(ISNUMBER(DataStart),DataStart+156,"")</f>
        <v>46142</v>
      </c>
      <c r="FE1" s="25" t="n">
        <f aca="false">IF(ISNUMBER(DataStart),DataStart+157,"")</f>
        <v>46143</v>
      </c>
      <c r="FF1" s="25" t="n">
        <f aca="false">IF(ISNUMBER(DataStart),DataStart+158,"")</f>
        <v>46144</v>
      </c>
      <c r="FG1" s="25" t="n">
        <f aca="false">IF(ISNUMBER(DataStart),DataStart+159,"")</f>
        <v>46145</v>
      </c>
      <c r="FH1" s="25" t="n">
        <f aca="false">IF(ISNUMBER(DataStart),DataStart+160,"")</f>
        <v>46146</v>
      </c>
      <c r="FI1" s="25" t="n">
        <f aca="false">IF(ISNUMBER(DataStart),DataStart+161,"")</f>
        <v>46147</v>
      </c>
      <c r="FJ1" s="25" t="n">
        <f aca="false">IF(ISNUMBER(DataStart),DataStart+162,"")</f>
        <v>46148</v>
      </c>
      <c r="FK1" s="25" t="n">
        <f aca="false">IF(ISNUMBER(DataStart),DataStart+163,"")</f>
        <v>46149</v>
      </c>
      <c r="FL1" s="25" t="n">
        <f aca="false">IF(ISNUMBER(DataStart),DataStart+164,"")</f>
        <v>46150</v>
      </c>
      <c r="FM1" s="25" t="n">
        <f aca="false">IF(ISNUMBER(DataStart),DataStart+165,"")</f>
        <v>46151</v>
      </c>
      <c r="FN1" s="25" t="n">
        <f aca="false">IF(ISNUMBER(DataStart),DataStart+166,"")</f>
        <v>46152</v>
      </c>
      <c r="FO1" s="25" t="n">
        <f aca="false">IF(ISNUMBER(DataStart),DataStart+167,"")</f>
        <v>46153</v>
      </c>
      <c r="FP1" s="25" t="n">
        <f aca="false">IF(ISNUMBER(DataStart),DataStart+168,"")</f>
        <v>46154</v>
      </c>
      <c r="FQ1" s="25" t="n">
        <f aca="false">IF(ISNUMBER(DataStart),DataStart+169,"")</f>
        <v>46155</v>
      </c>
    </row>
    <row r="2" customFormat="false" ht="15" hidden="false" customHeight="false" outlineLevel="0" collapsed="false">
      <c r="B2" s="26" t="s">
        <v>130</v>
      </c>
      <c r="C2" s="27" t="s">
        <v>131</v>
      </c>
      <c r="D2" s="27" t="str">
        <f aca="false">IF(D1="","",TEXT(D1,"ddd"))</f>
        <v>Tue</v>
      </c>
      <c r="E2" s="27" t="str">
        <f aca="false">IF(E1="","",TEXT(E1,"ddd"))</f>
        <v>Wed</v>
      </c>
      <c r="F2" s="27" t="str">
        <f aca="false">IF(F1="","",TEXT(F1,"ddd"))</f>
        <v>Thu</v>
      </c>
      <c r="G2" s="27" t="str">
        <f aca="false">IF(G1="","",TEXT(G1,"ddd"))</f>
        <v>Fri</v>
      </c>
      <c r="H2" s="27" t="str">
        <f aca="false">IF(H1="","",TEXT(H1,"ddd"))</f>
        <v>Sat</v>
      </c>
      <c r="I2" s="27" t="str">
        <f aca="false">IF(I1="","",TEXT(I1,"ddd"))</f>
        <v>Sun</v>
      </c>
      <c r="J2" s="27" t="str">
        <f aca="false">IF(J1="","",TEXT(J1,"ddd"))</f>
        <v>Mon</v>
      </c>
      <c r="K2" s="27" t="str">
        <f aca="false">IF(K1="","",TEXT(K1,"ddd"))</f>
        <v>Tue</v>
      </c>
      <c r="L2" s="27" t="str">
        <f aca="false">IF(L1="","",TEXT(L1,"ddd"))</f>
        <v>Wed</v>
      </c>
      <c r="M2" s="27" t="str">
        <f aca="false">IF(M1="","",TEXT(M1,"ddd"))</f>
        <v>Thu</v>
      </c>
      <c r="N2" s="27" t="str">
        <f aca="false">IF(N1="","",TEXT(N1,"ddd"))</f>
        <v>Fri</v>
      </c>
      <c r="O2" s="27" t="str">
        <f aca="false">IF(O1="","",TEXT(O1,"ddd"))</f>
        <v>Sat</v>
      </c>
      <c r="P2" s="27" t="str">
        <f aca="false">IF(P1="","",TEXT(P1,"ddd"))</f>
        <v>Sun</v>
      </c>
      <c r="Q2" s="27" t="str">
        <f aca="false">IF(Q1="","",TEXT(Q1,"ddd"))</f>
        <v>Mon</v>
      </c>
      <c r="R2" s="27" t="str">
        <f aca="false">IF(R1="","",TEXT(R1,"ddd"))</f>
        <v>Tue</v>
      </c>
      <c r="S2" s="27" t="str">
        <f aca="false">IF(S1="","",TEXT(S1,"ddd"))</f>
        <v>Wed</v>
      </c>
      <c r="T2" s="27" t="str">
        <f aca="false">IF(T1="","",TEXT(T1,"ddd"))</f>
        <v>Thu</v>
      </c>
      <c r="U2" s="27" t="str">
        <f aca="false">IF(U1="","",TEXT(U1,"ddd"))</f>
        <v>Fri</v>
      </c>
      <c r="V2" s="27" t="str">
        <f aca="false">IF(V1="","",TEXT(V1,"ddd"))</f>
        <v>Sat</v>
      </c>
      <c r="W2" s="27" t="str">
        <f aca="false">IF(W1="","",TEXT(W1,"ddd"))</f>
        <v>Sun</v>
      </c>
      <c r="X2" s="27" t="str">
        <f aca="false">IF(X1="","",TEXT(X1,"ddd"))</f>
        <v>Mon</v>
      </c>
      <c r="Y2" s="27" t="str">
        <f aca="false">IF(Y1="","",TEXT(Y1,"ddd"))</f>
        <v>Tue</v>
      </c>
      <c r="Z2" s="27" t="str">
        <f aca="false">IF(Z1="","",TEXT(Z1,"ddd"))</f>
        <v>Wed</v>
      </c>
      <c r="AA2" s="27" t="str">
        <f aca="false">IF(AA1="","",TEXT(AA1,"ddd"))</f>
        <v>Thu</v>
      </c>
      <c r="AB2" s="27" t="str">
        <f aca="false">IF(AB1="","",TEXT(AB1,"ddd"))</f>
        <v>Fri</v>
      </c>
      <c r="AC2" s="27" t="str">
        <f aca="false">IF(AC1="","",TEXT(AC1,"ddd"))</f>
        <v>Sat</v>
      </c>
      <c r="AD2" s="27" t="str">
        <f aca="false">IF(AD1="","",TEXT(AD1,"ddd"))</f>
        <v>Sun</v>
      </c>
      <c r="AE2" s="27" t="str">
        <f aca="false">IF(AE1="","",TEXT(AE1,"ddd"))</f>
        <v>Mon</v>
      </c>
      <c r="AF2" s="27" t="str">
        <f aca="false">IF(AF1="","",TEXT(AF1,"ddd"))</f>
        <v>Tue</v>
      </c>
      <c r="AG2" s="27" t="str">
        <f aca="false">IF(AG1="","",TEXT(AG1,"ddd"))</f>
        <v>Wed</v>
      </c>
      <c r="AH2" s="27" t="str">
        <f aca="false">IF(AH1="","",TEXT(AH1,"ddd"))</f>
        <v>Thu</v>
      </c>
      <c r="AI2" s="27" t="str">
        <f aca="false">IF(AI1="","",TEXT(AI1,"ddd"))</f>
        <v>Fri</v>
      </c>
      <c r="AJ2" s="27" t="str">
        <f aca="false">IF(AJ1="","",TEXT(AJ1,"ddd"))</f>
        <v>Sat</v>
      </c>
      <c r="AK2" s="27" t="str">
        <f aca="false">IF(AK1="","",TEXT(AK1,"ddd"))</f>
        <v>Sun</v>
      </c>
      <c r="AL2" s="27" t="str">
        <f aca="false">IF(AL1="","",TEXT(AL1,"ddd"))</f>
        <v>Mon</v>
      </c>
      <c r="AM2" s="27" t="str">
        <f aca="false">IF(AM1="","",TEXT(AM1,"ddd"))</f>
        <v>Tue</v>
      </c>
      <c r="AN2" s="27" t="str">
        <f aca="false">IF(AN1="","",TEXT(AN1,"ddd"))</f>
        <v>Wed</v>
      </c>
      <c r="AO2" s="27" t="str">
        <f aca="false">IF(AO1="","",TEXT(AO1,"ddd"))</f>
        <v>Thu</v>
      </c>
      <c r="AP2" s="27" t="str">
        <f aca="false">IF(AP1="","",TEXT(AP1,"ddd"))</f>
        <v>Fri</v>
      </c>
      <c r="AQ2" s="27" t="str">
        <f aca="false">IF(AQ1="","",TEXT(AQ1,"ddd"))</f>
        <v>Sat</v>
      </c>
      <c r="AR2" s="27" t="str">
        <f aca="false">IF(AR1="","",TEXT(AR1,"ddd"))</f>
        <v>Sun</v>
      </c>
      <c r="AS2" s="27" t="str">
        <f aca="false">IF(AS1="","",TEXT(AS1,"ddd"))</f>
        <v>Mon</v>
      </c>
      <c r="AT2" s="27" t="str">
        <f aca="false">IF(AT1="","",TEXT(AT1,"ddd"))</f>
        <v>Tue</v>
      </c>
      <c r="AU2" s="27" t="str">
        <f aca="false">IF(AU1="","",TEXT(AU1,"ddd"))</f>
        <v>Wed</v>
      </c>
      <c r="AV2" s="27" t="str">
        <f aca="false">IF(AV1="","",TEXT(AV1,"ddd"))</f>
        <v>Thu</v>
      </c>
      <c r="AW2" s="27" t="str">
        <f aca="false">IF(AW1="","",TEXT(AW1,"ddd"))</f>
        <v>Fri</v>
      </c>
      <c r="AX2" s="27" t="str">
        <f aca="false">IF(AX1="","",TEXT(AX1,"ddd"))</f>
        <v>Sat</v>
      </c>
      <c r="AY2" s="27" t="str">
        <f aca="false">IF(AY1="","",TEXT(AY1,"ddd"))</f>
        <v>Sun</v>
      </c>
      <c r="AZ2" s="27" t="str">
        <f aca="false">IF(AZ1="","",TEXT(AZ1,"ddd"))</f>
        <v>Mon</v>
      </c>
      <c r="BA2" s="27" t="str">
        <f aca="false">IF(BA1="","",TEXT(BA1,"ddd"))</f>
        <v>Tue</v>
      </c>
      <c r="BB2" s="27" t="str">
        <f aca="false">IF(BB1="","",TEXT(BB1,"ddd"))</f>
        <v>Wed</v>
      </c>
      <c r="BC2" s="27" t="str">
        <f aca="false">IF(BC1="","",TEXT(BC1,"ddd"))</f>
        <v>Thu</v>
      </c>
      <c r="BD2" s="27" t="str">
        <f aca="false">IF(BD1="","",TEXT(BD1,"ddd"))</f>
        <v>Fri</v>
      </c>
      <c r="BE2" s="27" t="str">
        <f aca="false">IF(BE1="","",TEXT(BE1,"ddd"))</f>
        <v>Sat</v>
      </c>
      <c r="BF2" s="27" t="str">
        <f aca="false">IF(BF1="","",TEXT(BF1,"ddd"))</f>
        <v>Sun</v>
      </c>
      <c r="BG2" s="27" t="str">
        <f aca="false">IF(BG1="","",TEXT(BG1,"ddd"))</f>
        <v>Mon</v>
      </c>
      <c r="BH2" s="27" t="str">
        <f aca="false">IF(BH1="","",TEXT(BH1,"ddd"))</f>
        <v>Tue</v>
      </c>
      <c r="BI2" s="27" t="str">
        <f aca="false">IF(BI1="","",TEXT(BI1,"ddd"))</f>
        <v>Wed</v>
      </c>
      <c r="BJ2" s="27" t="str">
        <f aca="false">IF(BJ1="","",TEXT(BJ1,"ddd"))</f>
        <v>Thu</v>
      </c>
      <c r="BK2" s="27" t="str">
        <f aca="false">IF(BK1="","",TEXT(BK1,"ddd"))</f>
        <v>Fri</v>
      </c>
      <c r="BL2" s="27" t="str">
        <f aca="false">IF(BL1="","",TEXT(BL1,"ddd"))</f>
        <v>Sat</v>
      </c>
      <c r="BM2" s="27" t="str">
        <f aca="false">IF(BM1="","",TEXT(BM1,"ddd"))</f>
        <v>Sun</v>
      </c>
      <c r="BN2" s="27" t="str">
        <f aca="false">IF(BN1="","",TEXT(BN1,"ddd"))</f>
        <v>Mon</v>
      </c>
      <c r="BO2" s="27" t="str">
        <f aca="false">IF(BO1="","",TEXT(BO1,"ddd"))</f>
        <v>Tue</v>
      </c>
      <c r="BP2" s="27" t="str">
        <f aca="false">IF(BP1="","",TEXT(BP1,"ddd"))</f>
        <v>Wed</v>
      </c>
      <c r="BQ2" s="27" t="str">
        <f aca="false">IF(BQ1="","",TEXT(BQ1,"ddd"))</f>
        <v>Thu</v>
      </c>
      <c r="BR2" s="27" t="str">
        <f aca="false">IF(BR1="","",TEXT(BR1,"ddd"))</f>
        <v>Fri</v>
      </c>
      <c r="BS2" s="27" t="str">
        <f aca="false">IF(BS1="","",TEXT(BS1,"ddd"))</f>
        <v>Sat</v>
      </c>
      <c r="BT2" s="27" t="str">
        <f aca="false">IF(BT1="","",TEXT(BT1,"ddd"))</f>
        <v>Sun</v>
      </c>
      <c r="BU2" s="27" t="str">
        <f aca="false">IF(BU1="","",TEXT(BU1,"ddd"))</f>
        <v>Mon</v>
      </c>
      <c r="BV2" s="27" t="str">
        <f aca="false">IF(BV1="","",TEXT(BV1,"ddd"))</f>
        <v>Tue</v>
      </c>
      <c r="BW2" s="27" t="str">
        <f aca="false">IF(BW1="","",TEXT(BW1,"ddd"))</f>
        <v>Wed</v>
      </c>
      <c r="BX2" s="27" t="str">
        <f aca="false">IF(BX1="","",TEXT(BX1,"ddd"))</f>
        <v>Thu</v>
      </c>
      <c r="BY2" s="27" t="str">
        <f aca="false">IF(BY1="","",TEXT(BY1,"ddd"))</f>
        <v>Fri</v>
      </c>
      <c r="BZ2" s="27" t="str">
        <f aca="false">IF(BZ1="","",TEXT(BZ1,"ddd"))</f>
        <v>Sat</v>
      </c>
      <c r="CA2" s="27" t="str">
        <f aca="false">IF(CA1="","",TEXT(CA1,"ddd"))</f>
        <v>Sun</v>
      </c>
      <c r="CB2" s="27" t="str">
        <f aca="false">IF(CB1="","",TEXT(CB1,"ddd"))</f>
        <v>Mon</v>
      </c>
      <c r="CC2" s="27" t="str">
        <f aca="false">IF(CC1="","",TEXT(CC1,"ddd"))</f>
        <v>Tue</v>
      </c>
      <c r="CD2" s="27" t="str">
        <f aca="false">IF(CD1="","",TEXT(CD1,"ddd"))</f>
        <v>Wed</v>
      </c>
      <c r="CE2" s="27" t="str">
        <f aca="false">IF(CE1="","",TEXT(CE1,"ddd"))</f>
        <v>Thu</v>
      </c>
      <c r="CF2" s="27" t="str">
        <f aca="false">IF(CF1="","",TEXT(CF1,"ddd"))</f>
        <v>Fri</v>
      </c>
      <c r="CG2" s="27" t="str">
        <f aca="false">IF(CG1="","",TEXT(CG1,"ddd"))</f>
        <v>Sat</v>
      </c>
      <c r="CH2" s="27" t="str">
        <f aca="false">IF(CH1="","",TEXT(CH1,"ddd"))</f>
        <v>Sun</v>
      </c>
      <c r="CI2" s="27" t="str">
        <f aca="false">IF(CI1="","",TEXT(CI1,"ddd"))</f>
        <v>Mon</v>
      </c>
      <c r="CJ2" s="27" t="str">
        <f aca="false">IF(CJ1="","",TEXT(CJ1,"ddd"))</f>
        <v>Tue</v>
      </c>
      <c r="CK2" s="27" t="str">
        <f aca="false">IF(CK1="","",TEXT(CK1,"ddd"))</f>
        <v>Wed</v>
      </c>
      <c r="CL2" s="27" t="str">
        <f aca="false">IF(CL1="","",TEXT(CL1,"ddd"))</f>
        <v>Thu</v>
      </c>
      <c r="CM2" s="27" t="str">
        <f aca="false">IF(CM1="","",TEXT(CM1,"ddd"))</f>
        <v>Fri</v>
      </c>
      <c r="CN2" s="27" t="str">
        <f aca="false">IF(CN1="","",TEXT(CN1,"ddd"))</f>
        <v>Sat</v>
      </c>
      <c r="CO2" s="27" t="str">
        <f aca="false">IF(CO1="","",TEXT(CO1,"ddd"))</f>
        <v>Sun</v>
      </c>
      <c r="CP2" s="27" t="str">
        <f aca="false">IF(CP1="","",TEXT(CP1,"ddd"))</f>
        <v>Mon</v>
      </c>
      <c r="CQ2" s="27" t="str">
        <f aca="false">IF(CQ1="","",TEXT(CQ1,"ddd"))</f>
        <v>Tue</v>
      </c>
      <c r="CR2" s="27" t="str">
        <f aca="false">IF(CR1="","",TEXT(CR1,"ddd"))</f>
        <v>Wed</v>
      </c>
      <c r="CS2" s="27" t="str">
        <f aca="false">IF(CS1="","",TEXT(CS1,"ddd"))</f>
        <v>Thu</v>
      </c>
      <c r="CT2" s="27" t="str">
        <f aca="false">IF(CT1="","",TEXT(CT1,"ddd"))</f>
        <v>Fri</v>
      </c>
      <c r="CU2" s="27" t="str">
        <f aca="false">IF(CU1="","",TEXT(CU1,"ddd"))</f>
        <v>Sat</v>
      </c>
      <c r="CV2" s="27" t="str">
        <f aca="false">IF(CV1="","",TEXT(CV1,"ddd"))</f>
        <v>Sun</v>
      </c>
      <c r="CW2" s="27" t="str">
        <f aca="false">IF(CW1="","",TEXT(CW1,"ddd"))</f>
        <v>Mon</v>
      </c>
      <c r="CX2" s="27" t="str">
        <f aca="false">IF(CX1="","",TEXT(CX1,"ddd"))</f>
        <v>Tue</v>
      </c>
      <c r="CY2" s="27" t="str">
        <f aca="false">IF(CY1="","",TEXT(CY1,"ddd"))</f>
        <v>Wed</v>
      </c>
      <c r="CZ2" s="27" t="str">
        <f aca="false">IF(CZ1="","",TEXT(CZ1,"ddd"))</f>
        <v>Thu</v>
      </c>
      <c r="DA2" s="27" t="str">
        <f aca="false">IF(DA1="","",TEXT(DA1,"ddd"))</f>
        <v>Fri</v>
      </c>
      <c r="DB2" s="27" t="str">
        <f aca="false">IF(DB1="","",TEXT(DB1,"ddd"))</f>
        <v>Sat</v>
      </c>
      <c r="DC2" s="27" t="str">
        <f aca="false">IF(DC1="","",TEXT(DC1,"ddd"))</f>
        <v>Sun</v>
      </c>
      <c r="DD2" s="27" t="str">
        <f aca="false">IF(DD1="","",TEXT(DD1,"ddd"))</f>
        <v>Mon</v>
      </c>
      <c r="DE2" s="27" t="str">
        <f aca="false">IF(DE1="","",TEXT(DE1,"ddd"))</f>
        <v>Tue</v>
      </c>
      <c r="DF2" s="27" t="str">
        <f aca="false">IF(DF1="","",TEXT(DF1,"ddd"))</f>
        <v>Wed</v>
      </c>
      <c r="DG2" s="27" t="str">
        <f aca="false">IF(DG1="","",TEXT(DG1,"ddd"))</f>
        <v>Thu</v>
      </c>
      <c r="DH2" s="27" t="str">
        <f aca="false">IF(DH1="","",TEXT(DH1,"ddd"))</f>
        <v>Fri</v>
      </c>
      <c r="DI2" s="27" t="str">
        <f aca="false">IF(DI1="","",TEXT(DI1,"ddd"))</f>
        <v>Sat</v>
      </c>
      <c r="DJ2" s="27" t="str">
        <f aca="false">IF(DJ1="","",TEXT(DJ1,"ddd"))</f>
        <v>Sun</v>
      </c>
      <c r="DK2" s="27" t="str">
        <f aca="false">IF(DK1="","",TEXT(DK1,"ddd"))</f>
        <v>Mon</v>
      </c>
      <c r="DL2" s="27" t="str">
        <f aca="false">IF(DL1="","",TEXT(DL1,"ddd"))</f>
        <v>Tue</v>
      </c>
      <c r="DM2" s="27" t="str">
        <f aca="false">IF(DM1="","",TEXT(DM1,"ddd"))</f>
        <v>Wed</v>
      </c>
      <c r="DN2" s="27" t="str">
        <f aca="false">IF(DN1="","",TEXT(DN1,"ddd"))</f>
        <v>Thu</v>
      </c>
      <c r="DO2" s="27" t="str">
        <f aca="false">IF(DO1="","",TEXT(DO1,"ddd"))</f>
        <v>Fri</v>
      </c>
      <c r="DP2" s="27" t="str">
        <f aca="false">IF(DP1="","",TEXT(DP1,"ddd"))</f>
        <v>Sat</v>
      </c>
      <c r="DQ2" s="27" t="str">
        <f aca="false">IF(DQ1="","",TEXT(DQ1,"ddd"))</f>
        <v>Sun</v>
      </c>
      <c r="DR2" s="27" t="str">
        <f aca="false">IF(DR1="","",TEXT(DR1,"ddd"))</f>
        <v>Mon</v>
      </c>
      <c r="DS2" s="27" t="str">
        <f aca="false">IF(DS1="","",TEXT(DS1,"ddd"))</f>
        <v>Tue</v>
      </c>
      <c r="DT2" s="27" t="str">
        <f aca="false">IF(DT1="","",TEXT(DT1,"ddd"))</f>
        <v>Wed</v>
      </c>
      <c r="DU2" s="27" t="str">
        <f aca="false">IF(DU1="","",TEXT(DU1,"ddd"))</f>
        <v>Thu</v>
      </c>
      <c r="DV2" s="27" t="str">
        <f aca="false">IF(DV1="","",TEXT(DV1,"ddd"))</f>
        <v>Fri</v>
      </c>
      <c r="DW2" s="27" t="str">
        <f aca="false">IF(DW1="","",TEXT(DW1,"ddd"))</f>
        <v>Sat</v>
      </c>
      <c r="DX2" s="27" t="str">
        <f aca="false">IF(DX1="","",TEXT(DX1,"ddd"))</f>
        <v>Sun</v>
      </c>
      <c r="DY2" s="27" t="str">
        <f aca="false">IF(DY1="","",TEXT(DY1,"ddd"))</f>
        <v>Mon</v>
      </c>
      <c r="DZ2" s="27" t="str">
        <f aca="false">IF(DZ1="","",TEXT(DZ1,"ddd"))</f>
        <v>Tue</v>
      </c>
      <c r="EA2" s="27" t="str">
        <f aca="false">IF(EA1="","",TEXT(EA1,"ddd"))</f>
        <v>Wed</v>
      </c>
      <c r="EB2" s="27" t="str">
        <f aca="false">IF(EB1="","",TEXT(EB1,"ddd"))</f>
        <v>Thu</v>
      </c>
      <c r="EC2" s="27" t="str">
        <f aca="false">IF(EC1="","",TEXT(EC1,"ddd"))</f>
        <v>Fri</v>
      </c>
      <c r="ED2" s="27" t="str">
        <f aca="false">IF(ED1="","",TEXT(ED1,"ddd"))</f>
        <v>Sat</v>
      </c>
      <c r="EE2" s="27" t="str">
        <f aca="false">IF(EE1="","",TEXT(EE1,"ddd"))</f>
        <v>Sun</v>
      </c>
      <c r="EF2" s="27" t="str">
        <f aca="false">IF(EF1="","",TEXT(EF1,"ddd"))</f>
        <v>Mon</v>
      </c>
      <c r="EG2" s="27" t="str">
        <f aca="false">IF(EG1="","",TEXT(EG1,"ddd"))</f>
        <v>Tue</v>
      </c>
      <c r="EH2" s="27" t="str">
        <f aca="false">IF(EH1="","",TEXT(EH1,"ddd"))</f>
        <v>Wed</v>
      </c>
      <c r="EI2" s="27" t="str">
        <f aca="false">IF(EI1="","",TEXT(EI1,"ddd"))</f>
        <v>Thu</v>
      </c>
      <c r="EJ2" s="27" t="str">
        <f aca="false">IF(EJ1="","",TEXT(EJ1,"ddd"))</f>
        <v>Fri</v>
      </c>
      <c r="EK2" s="27" t="str">
        <f aca="false">IF(EK1="","",TEXT(EK1,"ddd"))</f>
        <v>Sat</v>
      </c>
      <c r="EL2" s="27" t="str">
        <f aca="false">IF(EL1="","",TEXT(EL1,"ddd"))</f>
        <v>Sun</v>
      </c>
      <c r="EM2" s="27" t="str">
        <f aca="false">IF(EM1="","",TEXT(EM1,"ddd"))</f>
        <v>Mon</v>
      </c>
      <c r="EN2" s="27" t="str">
        <f aca="false">IF(EN1="","",TEXT(EN1,"ddd"))</f>
        <v>Tue</v>
      </c>
      <c r="EO2" s="27" t="str">
        <f aca="false">IF(EO1="","",TEXT(EO1,"ddd"))</f>
        <v>Wed</v>
      </c>
      <c r="EP2" s="27" t="str">
        <f aca="false">IF(EP1="","",TEXT(EP1,"ddd"))</f>
        <v>Thu</v>
      </c>
      <c r="EQ2" s="27" t="str">
        <f aca="false">IF(EQ1="","",TEXT(EQ1,"ddd"))</f>
        <v>Fri</v>
      </c>
      <c r="ER2" s="27" t="str">
        <f aca="false">IF(ER1="","",TEXT(ER1,"ddd"))</f>
        <v>Sat</v>
      </c>
      <c r="ES2" s="27" t="str">
        <f aca="false">IF(ES1="","",TEXT(ES1,"ddd"))</f>
        <v>Sun</v>
      </c>
      <c r="ET2" s="27" t="str">
        <f aca="false">IF(ET1="","",TEXT(ET1,"ddd"))</f>
        <v>Mon</v>
      </c>
      <c r="EU2" s="27" t="str">
        <f aca="false">IF(EU1="","",TEXT(EU1,"ddd"))</f>
        <v>Tue</v>
      </c>
      <c r="EV2" s="27" t="str">
        <f aca="false">IF(EV1="","",TEXT(EV1,"ddd"))</f>
        <v>Wed</v>
      </c>
      <c r="EW2" s="27" t="str">
        <f aca="false">IF(EW1="","",TEXT(EW1,"ddd"))</f>
        <v>Thu</v>
      </c>
      <c r="EX2" s="27" t="str">
        <f aca="false">IF(EX1="","",TEXT(EX1,"ddd"))</f>
        <v>Fri</v>
      </c>
      <c r="EY2" s="27" t="str">
        <f aca="false">IF(EY1="","",TEXT(EY1,"ddd"))</f>
        <v>Sat</v>
      </c>
      <c r="EZ2" s="27" t="str">
        <f aca="false">IF(EZ1="","",TEXT(EZ1,"ddd"))</f>
        <v>Sun</v>
      </c>
      <c r="FA2" s="27" t="str">
        <f aca="false">IF(FA1="","",TEXT(FA1,"ddd"))</f>
        <v>Mon</v>
      </c>
      <c r="FB2" s="27" t="str">
        <f aca="false">IF(FB1="","",TEXT(FB1,"ddd"))</f>
        <v>Tue</v>
      </c>
      <c r="FC2" s="27" t="str">
        <f aca="false">IF(FC1="","",TEXT(FC1,"ddd"))</f>
        <v>Wed</v>
      </c>
      <c r="FD2" s="27" t="str">
        <f aca="false">IF(FD1="","",TEXT(FD1,"ddd"))</f>
        <v>Thu</v>
      </c>
      <c r="FE2" s="27" t="str">
        <f aca="false">IF(FE1="","",TEXT(FE1,"ddd"))</f>
        <v>Fri</v>
      </c>
      <c r="FF2" s="27" t="str">
        <f aca="false">IF(FF1="","",TEXT(FF1,"ddd"))</f>
        <v>Sat</v>
      </c>
      <c r="FG2" s="27" t="str">
        <f aca="false">IF(FG1="","",TEXT(FG1,"ddd"))</f>
        <v>Sun</v>
      </c>
      <c r="FH2" s="27" t="str">
        <f aca="false">IF(FH1="","",TEXT(FH1,"ddd"))</f>
        <v>Mon</v>
      </c>
      <c r="FI2" s="27" t="str">
        <f aca="false">IF(FI1="","",TEXT(FI1,"ddd"))</f>
        <v>Tue</v>
      </c>
      <c r="FJ2" s="27" t="str">
        <f aca="false">IF(FJ1="","",TEXT(FJ1,"ddd"))</f>
        <v>Wed</v>
      </c>
      <c r="FK2" s="27" t="str">
        <f aca="false">IF(FK1="","",TEXT(FK1,"ddd"))</f>
        <v>Thu</v>
      </c>
      <c r="FL2" s="27" t="str">
        <f aca="false">IF(FL1="","",TEXT(FL1,"ddd"))</f>
        <v>Fri</v>
      </c>
      <c r="FM2" s="27" t="str">
        <f aca="false">IF(FM1="","",TEXT(FM1,"ddd"))</f>
        <v>Sat</v>
      </c>
      <c r="FN2" s="27" t="str">
        <f aca="false">IF(FN1="","",TEXT(FN1,"ddd"))</f>
        <v>Sun</v>
      </c>
      <c r="FO2" s="27" t="str">
        <f aca="false">IF(FO1="","",TEXT(FO1,"ddd"))</f>
        <v>Mon</v>
      </c>
      <c r="FP2" s="27" t="str">
        <f aca="false">IF(FP1="","",TEXT(FP1,"ddd"))</f>
        <v>Tue</v>
      </c>
      <c r="FQ2" s="27" t="str">
        <f aca="false">IF(FQ1="","",TEXT(FQ1,"ddd"))</f>
        <v>Wed</v>
      </c>
    </row>
    <row r="3" customFormat="false" ht="15" hidden="false" customHeight="false" outlineLevel="0" collapsed="false">
      <c r="B3" s="28" t="str">
        <f aca="true">IFERROR("Today: column "&amp;SUBSTITUTE(ADDRESS(1,MATCH(TODAY(),$D$1:$FQ$1,0)+3,4),"1",""),"Today is outside the dates of this sheet")</f>
        <v>Today is outside the dates of this sheet</v>
      </c>
      <c r="C3" s="27" t="s">
        <v>132</v>
      </c>
      <c r="D3" s="27" t="n">
        <f aca="false">IF(OR(D1="",NOT(ISNUMBER(TransDate))),"",D1-TransDate)</f>
        <v>-52</v>
      </c>
      <c r="E3" s="27" t="n">
        <f aca="false">IF(OR(E1="",NOT(ISNUMBER(TransDate))),"",E1-TransDate)</f>
        <v>-51</v>
      </c>
      <c r="F3" s="27" t="n">
        <f aca="false">IF(OR(F1="",NOT(ISNUMBER(TransDate))),"",F1-TransDate)</f>
        <v>-50</v>
      </c>
      <c r="G3" s="27" t="n">
        <f aca="false">IF(OR(G1="",NOT(ISNUMBER(TransDate))),"",G1-TransDate)</f>
        <v>-49</v>
      </c>
      <c r="H3" s="27" t="n">
        <f aca="false">IF(OR(H1="",NOT(ISNUMBER(TransDate))),"",H1-TransDate)</f>
        <v>-48</v>
      </c>
      <c r="I3" s="27" t="n">
        <f aca="false">IF(OR(I1="",NOT(ISNUMBER(TransDate))),"",I1-TransDate)</f>
        <v>-47</v>
      </c>
      <c r="J3" s="27" t="n">
        <f aca="false">IF(OR(J1="",NOT(ISNUMBER(TransDate))),"",J1-TransDate)</f>
        <v>-46</v>
      </c>
      <c r="K3" s="27" t="n">
        <f aca="false">IF(OR(K1="",NOT(ISNUMBER(TransDate))),"",K1-TransDate)</f>
        <v>-45</v>
      </c>
      <c r="L3" s="27" t="n">
        <f aca="false">IF(OR(L1="",NOT(ISNUMBER(TransDate))),"",L1-TransDate)</f>
        <v>-44</v>
      </c>
      <c r="M3" s="27" t="n">
        <f aca="false">IF(OR(M1="",NOT(ISNUMBER(TransDate))),"",M1-TransDate)</f>
        <v>-43</v>
      </c>
      <c r="N3" s="27" t="n">
        <f aca="false">IF(OR(N1="",NOT(ISNUMBER(TransDate))),"",N1-TransDate)</f>
        <v>-42</v>
      </c>
      <c r="O3" s="27" t="n">
        <f aca="false">IF(OR(O1="",NOT(ISNUMBER(TransDate))),"",O1-TransDate)</f>
        <v>-41</v>
      </c>
      <c r="P3" s="27" t="n">
        <f aca="false">IF(OR(P1="",NOT(ISNUMBER(TransDate))),"",P1-TransDate)</f>
        <v>-40</v>
      </c>
      <c r="Q3" s="27" t="n">
        <f aca="false">IF(OR(Q1="",NOT(ISNUMBER(TransDate))),"",Q1-TransDate)</f>
        <v>-39</v>
      </c>
      <c r="R3" s="27" t="n">
        <f aca="false">IF(OR(R1="",NOT(ISNUMBER(TransDate))),"",R1-TransDate)</f>
        <v>-38</v>
      </c>
      <c r="S3" s="27" t="n">
        <f aca="false">IF(OR(S1="",NOT(ISNUMBER(TransDate))),"",S1-TransDate)</f>
        <v>-37</v>
      </c>
      <c r="T3" s="27" t="n">
        <f aca="false">IF(OR(T1="",NOT(ISNUMBER(TransDate))),"",T1-TransDate)</f>
        <v>-36</v>
      </c>
      <c r="U3" s="27" t="n">
        <f aca="false">IF(OR(U1="",NOT(ISNUMBER(TransDate))),"",U1-TransDate)</f>
        <v>-35</v>
      </c>
      <c r="V3" s="27" t="n">
        <f aca="false">IF(OR(V1="",NOT(ISNUMBER(TransDate))),"",V1-TransDate)</f>
        <v>-34</v>
      </c>
      <c r="W3" s="27" t="n">
        <f aca="false">IF(OR(W1="",NOT(ISNUMBER(TransDate))),"",W1-TransDate)</f>
        <v>-33</v>
      </c>
      <c r="X3" s="27" t="n">
        <f aca="false">IF(OR(X1="",NOT(ISNUMBER(TransDate))),"",X1-TransDate)</f>
        <v>-32</v>
      </c>
      <c r="Y3" s="27" t="n">
        <f aca="false">IF(OR(Y1="",NOT(ISNUMBER(TransDate))),"",Y1-TransDate)</f>
        <v>-31</v>
      </c>
      <c r="Z3" s="27" t="n">
        <f aca="false">IF(OR(Z1="",NOT(ISNUMBER(TransDate))),"",Z1-TransDate)</f>
        <v>-30</v>
      </c>
      <c r="AA3" s="27" t="n">
        <f aca="false">IF(OR(AA1="",NOT(ISNUMBER(TransDate))),"",AA1-TransDate)</f>
        <v>-29</v>
      </c>
      <c r="AB3" s="27" t="n">
        <f aca="false">IF(OR(AB1="",NOT(ISNUMBER(TransDate))),"",AB1-TransDate)</f>
        <v>-28</v>
      </c>
      <c r="AC3" s="27" t="n">
        <f aca="false">IF(OR(AC1="",NOT(ISNUMBER(TransDate))),"",AC1-TransDate)</f>
        <v>-27</v>
      </c>
      <c r="AD3" s="27" t="n">
        <f aca="false">IF(OR(AD1="",NOT(ISNUMBER(TransDate))),"",AD1-TransDate)</f>
        <v>-26</v>
      </c>
      <c r="AE3" s="27" t="n">
        <f aca="false">IF(OR(AE1="",NOT(ISNUMBER(TransDate))),"",AE1-TransDate)</f>
        <v>-25</v>
      </c>
      <c r="AF3" s="27" t="n">
        <f aca="false">IF(OR(AF1="",NOT(ISNUMBER(TransDate))),"",AF1-TransDate)</f>
        <v>-24</v>
      </c>
      <c r="AG3" s="27" t="n">
        <f aca="false">IF(OR(AG1="",NOT(ISNUMBER(TransDate))),"",AG1-TransDate)</f>
        <v>-23</v>
      </c>
      <c r="AH3" s="27" t="n">
        <f aca="false">IF(OR(AH1="",NOT(ISNUMBER(TransDate))),"",AH1-TransDate)</f>
        <v>-22</v>
      </c>
      <c r="AI3" s="27" t="n">
        <f aca="false">IF(OR(AI1="",NOT(ISNUMBER(TransDate))),"",AI1-TransDate)</f>
        <v>-21</v>
      </c>
      <c r="AJ3" s="27" t="n">
        <f aca="false">IF(OR(AJ1="",NOT(ISNUMBER(TransDate))),"",AJ1-TransDate)</f>
        <v>-20</v>
      </c>
      <c r="AK3" s="27" t="n">
        <f aca="false">IF(OR(AK1="",NOT(ISNUMBER(TransDate))),"",AK1-TransDate)</f>
        <v>-19</v>
      </c>
      <c r="AL3" s="27" t="n">
        <f aca="false">IF(OR(AL1="",NOT(ISNUMBER(TransDate))),"",AL1-TransDate)</f>
        <v>-18</v>
      </c>
      <c r="AM3" s="27" t="n">
        <f aca="false">IF(OR(AM1="",NOT(ISNUMBER(TransDate))),"",AM1-TransDate)</f>
        <v>-17</v>
      </c>
      <c r="AN3" s="27" t="n">
        <f aca="false">IF(OR(AN1="",NOT(ISNUMBER(TransDate))),"",AN1-TransDate)</f>
        <v>-16</v>
      </c>
      <c r="AO3" s="27" t="n">
        <f aca="false">IF(OR(AO1="",NOT(ISNUMBER(TransDate))),"",AO1-TransDate)</f>
        <v>-15</v>
      </c>
      <c r="AP3" s="27" t="n">
        <f aca="false">IF(OR(AP1="",NOT(ISNUMBER(TransDate))),"",AP1-TransDate)</f>
        <v>-14</v>
      </c>
      <c r="AQ3" s="27" t="n">
        <f aca="false">IF(OR(AQ1="",NOT(ISNUMBER(TransDate))),"",AQ1-TransDate)</f>
        <v>-13</v>
      </c>
      <c r="AR3" s="27" t="n">
        <f aca="false">IF(OR(AR1="",NOT(ISNUMBER(TransDate))),"",AR1-TransDate)</f>
        <v>-12</v>
      </c>
      <c r="AS3" s="27" t="n">
        <f aca="false">IF(OR(AS1="",NOT(ISNUMBER(TransDate))),"",AS1-TransDate)</f>
        <v>-11</v>
      </c>
      <c r="AT3" s="27" t="n">
        <f aca="false">IF(OR(AT1="",NOT(ISNUMBER(TransDate))),"",AT1-TransDate)</f>
        <v>-10</v>
      </c>
      <c r="AU3" s="27" t="n">
        <f aca="false">IF(OR(AU1="",NOT(ISNUMBER(TransDate))),"",AU1-TransDate)</f>
        <v>-9</v>
      </c>
      <c r="AV3" s="27" t="n">
        <f aca="false">IF(OR(AV1="",NOT(ISNUMBER(TransDate))),"",AV1-TransDate)</f>
        <v>-8</v>
      </c>
      <c r="AW3" s="27" t="n">
        <f aca="false">IF(OR(AW1="",NOT(ISNUMBER(TransDate))),"",AW1-TransDate)</f>
        <v>-7</v>
      </c>
      <c r="AX3" s="27" t="n">
        <f aca="false">IF(OR(AX1="",NOT(ISNUMBER(TransDate))),"",AX1-TransDate)</f>
        <v>-6</v>
      </c>
      <c r="AY3" s="27" t="n">
        <f aca="false">IF(OR(AY1="",NOT(ISNUMBER(TransDate))),"",AY1-TransDate)</f>
        <v>-5</v>
      </c>
      <c r="AZ3" s="27" t="n">
        <f aca="false">IF(OR(AZ1="",NOT(ISNUMBER(TransDate))),"",AZ1-TransDate)</f>
        <v>-4</v>
      </c>
      <c r="BA3" s="27" t="n">
        <f aca="false">IF(OR(BA1="",NOT(ISNUMBER(TransDate))),"",BA1-TransDate)</f>
        <v>-3</v>
      </c>
      <c r="BB3" s="27" t="n">
        <f aca="false">IF(OR(BB1="",NOT(ISNUMBER(TransDate))),"",BB1-TransDate)</f>
        <v>-2</v>
      </c>
      <c r="BC3" s="27" t="n">
        <f aca="false">IF(OR(BC1="",NOT(ISNUMBER(TransDate))),"",BC1-TransDate)</f>
        <v>-1</v>
      </c>
      <c r="BD3" s="27" t="n">
        <f aca="false">IF(OR(BD1="",NOT(ISNUMBER(TransDate))),"",BD1-TransDate)</f>
        <v>0</v>
      </c>
      <c r="BE3" s="27" t="n">
        <f aca="false">IF(OR(BE1="",NOT(ISNUMBER(TransDate))),"",BE1-TransDate)</f>
        <v>1</v>
      </c>
      <c r="BF3" s="27" t="n">
        <f aca="false">IF(OR(BF1="",NOT(ISNUMBER(TransDate))),"",BF1-TransDate)</f>
        <v>2</v>
      </c>
      <c r="BG3" s="27" t="n">
        <f aca="false">IF(OR(BG1="",NOT(ISNUMBER(TransDate))),"",BG1-TransDate)</f>
        <v>3</v>
      </c>
      <c r="BH3" s="27" t="n">
        <f aca="false">IF(OR(BH1="",NOT(ISNUMBER(TransDate))),"",BH1-TransDate)</f>
        <v>4</v>
      </c>
      <c r="BI3" s="27" t="n">
        <f aca="false">IF(OR(BI1="",NOT(ISNUMBER(TransDate))),"",BI1-TransDate)</f>
        <v>5</v>
      </c>
      <c r="BJ3" s="27" t="n">
        <f aca="false">IF(OR(BJ1="",NOT(ISNUMBER(TransDate))),"",BJ1-TransDate)</f>
        <v>6</v>
      </c>
      <c r="BK3" s="27" t="n">
        <f aca="false">IF(OR(BK1="",NOT(ISNUMBER(TransDate))),"",BK1-TransDate)</f>
        <v>7</v>
      </c>
      <c r="BL3" s="27" t="n">
        <f aca="false">IF(OR(BL1="",NOT(ISNUMBER(TransDate))),"",BL1-TransDate)</f>
        <v>8</v>
      </c>
      <c r="BM3" s="27" t="n">
        <f aca="false">IF(OR(BM1="",NOT(ISNUMBER(TransDate))),"",BM1-TransDate)</f>
        <v>9</v>
      </c>
      <c r="BN3" s="27" t="n">
        <f aca="false">IF(OR(BN1="",NOT(ISNUMBER(TransDate))),"",BN1-TransDate)</f>
        <v>10</v>
      </c>
      <c r="BO3" s="27" t="n">
        <f aca="false">IF(OR(BO1="",NOT(ISNUMBER(TransDate))),"",BO1-TransDate)</f>
        <v>11</v>
      </c>
      <c r="BP3" s="27" t="n">
        <f aca="false">IF(OR(BP1="",NOT(ISNUMBER(TransDate))),"",BP1-TransDate)</f>
        <v>12</v>
      </c>
      <c r="BQ3" s="27" t="n">
        <f aca="false">IF(OR(BQ1="",NOT(ISNUMBER(TransDate))),"",BQ1-TransDate)</f>
        <v>13</v>
      </c>
      <c r="BR3" s="27" t="n">
        <f aca="false">IF(OR(BR1="",NOT(ISNUMBER(TransDate))),"",BR1-TransDate)</f>
        <v>14</v>
      </c>
      <c r="BS3" s="27" t="n">
        <f aca="false">IF(OR(BS1="",NOT(ISNUMBER(TransDate))),"",BS1-TransDate)</f>
        <v>15</v>
      </c>
      <c r="BT3" s="27" t="n">
        <f aca="false">IF(OR(BT1="",NOT(ISNUMBER(TransDate))),"",BT1-TransDate)</f>
        <v>16</v>
      </c>
      <c r="BU3" s="27" t="n">
        <f aca="false">IF(OR(BU1="",NOT(ISNUMBER(TransDate))),"",BU1-TransDate)</f>
        <v>17</v>
      </c>
      <c r="BV3" s="27" t="n">
        <f aca="false">IF(OR(BV1="",NOT(ISNUMBER(TransDate))),"",BV1-TransDate)</f>
        <v>18</v>
      </c>
      <c r="BW3" s="27" t="n">
        <f aca="false">IF(OR(BW1="",NOT(ISNUMBER(TransDate))),"",BW1-TransDate)</f>
        <v>19</v>
      </c>
      <c r="BX3" s="27" t="n">
        <f aca="false">IF(OR(BX1="",NOT(ISNUMBER(TransDate))),"",BX1-TransDate)</f>
        <v>20</v>
      </c>
      <c r="BY3" s="27" t="n">
        <f aca="false">IF(OR(BY1="",NOT(ISNUMBER(TransDate))),"",BY1-TransDate)</f>
        <v>21</v>
      </c>
      <c r="BZ3" s="27" t="n">
        <f aca="false">IF(OR(BZ1="",NOT(ISNUMBER(TransDate))),"",BZ1-TransDate)</f>
        <v>22</v>
      </c>
      <c r="CA3" s="27" t="n">
        <f aca="false">IF(OR(CA1="",NOT(ISNUMBER(TransDate))),"",CA1-TransDate)</f>
        <v>23</v>
      </c>
      <c r="CB3" s="27" t="n">
        <f aca="false">IF(OR(CB1="",NOT(ISNUMBER(TransDate))),"",CB1-TransDate)</f>
        <v>24</v>
      </c>
      <c r="CC3" s="27" t="n">
        <f aca="false">IF(OR(CC1="",NOT(ISNUMBER(TransDate))),"",CC1-TransDate)</f>
        <v>25</v>
      </c>
      <c r="CD3" s="27" t="n">
        <f aca="false">IF(OR(CD1="",NOT(ISNUMBER(TransDate))),"",CD1-TransDate)</f>
        <v>26</v>
      </c>
      <c r="CE3" s="27" t="n">
        <f aca="false">IF(OR(CE1="",NOT(ISNUMBER(TransDate))),"",CE1-TransDate)</f>
        <v>27</v>
      </c>
      <c r="CF3" s="27" t="n">
        <f aca="false">IF(OR(CF1="",NOT(ISNUMBER(TransDate))),"",CF1-TransDate)</f>
        <v>28</v>
      </c>
      <c r="CG3" s="27" t="n">
        <f aca="false">IF(OR(CG1="",NOT(ISNUMBER(TransDate))),"",CG1-TransDate)</f>
        <v>29</v>
      </c>
      <c r="CH3" s="27" t="n">
        <f aca="false">IF(OR(CH1="",NOT(ISNUMBER(TransDate))),"",CH1-TransDate)</f>
        <v>30</v>
      </c>
      <c r="CI3" s="27" t="n">
        <f aca="false">IF(OR(CI1="",NOT(ISNUMBER(TransDate))),"",CI1-TransDate)</f>
        <v>31</v>
      </c>
      <c r="CJ3" s="27" t="n">
        <f aca="false">IF(OR(CJ1="",NOT(ISNUMBER(TransDate))),"",CJ1-TransDate)</f>
        <v>32</v>
      </c>
      <c r="CK3" s="27" t="n">
        <f aca="false">IF(OR(CK1="",NOT(ISNUMBER(TransDate))),"",CK1-TransDate)</f>
        <v>33</v>
      </c>
      <c r="CL3" s="27" t="n">
        <f aca="false">IF(OR(CL1="",NOT(ISNUMBER(TransDate))),"",CL1-TransDate)</f>
        <v>34</v>
      </c>
      <c r="CM3" s="27" t="n">
        <f aca="false">IF(OR(CM1="",NOT(ISNUMBER(TransDate))),"",CM1-TransDate)</f>
        <v>35</v>
      </c>
      <c r="CN3" s="27" t="n">
        <f aca="false">IF(OR(CN1="",NOT(ISNUMBER(TransDate))),"",CN1-TransDate)</f>
        <v>36</v>
      </c>
      <c r="CO3" s="27" t="n">
        <f aca="false">IF(OR(CO1="",NOT(ISNUMBER(TransDate))),"",CO1-TransDate)</f>
        <v>37</v>
      </c>
      <c r="CP3" s="27" t="n">
        <f aca="false">IF(OR(CP1="",NOT(ISNUMBER(TransDate))),"",CP1-TransDate)</f>
        <v>38</v>
      </c>
      <c r="CQ3" s="27" t="n">
        <f aca="false">IF(OR(CQ1="",NOT(ISNUMBER(TransDate))),"",CQ1-TransDate)</f>
        <v>39</v>
      </c>
      <c r="CR3" s="27" t="n">
        <f aca="false">IF(OR(CR1="",NOT(ISNUMBER(TransDate))),"",CR1-TransDate)</f>
        <v>40</v>
      </c>
      <c r="CS3" s="27" t="n">
        <f aca="false">IF(OR(CS1="",NOT(ISNUMBER(TransDate))),"",CS1-TransDate)</f>
        <v>41</v>
      </c>
      <c r="CT3" s="27" t="n">
        <f aca="false">IF(OR(CT1="",NOT(ISNUMBER(TransDate))),"",CT1-TransDate)</f>
        <v>42</v>
      </c>
      <c r="CU3" s="27" t="n">
        <f aca="false">IF(OR(CU1="",NOT(ISNUMBER(TransDate))),"",CU1-TransDate)</f>
        <v>43</v>
      </c>
      <c r="CV3" s="27" t="n">
        <f aca="false">IF(OR(CV1="",NOT(ISNUMBER(TransDate))),"",CV1-TransDate)</f>
        <v>44</v>
      </c>
      <c r="CW3" s="27" t="n">
        <f aca="false">IF(OR(CW1="",NOT(ISNUMBER(TransDate))),"",CW1-TransDate)</f>
        <v>45</v>
      </c>
      <c r="CX3" s="27" t="n">
        <f aca="false">IF(OR(CX1="",NOT(ISNUMBER(TransDate))),"",CX1-TransDate)</f>
        <v>46</v>
      </c>
      <c r="CY3" s="27" t="n">
        <f aca="false">IF(OR(CY1="",NOT(ISNUMBER(TransDate))),"",CY1-TransDate)</f>
        <v>47</v>
      </c>
      <c r="CZ3" s="27" t="n">
        <f aca="false">IF(OR(CZ1="",NOT(ISNUMBER(TransDate))),"",CZ1-TransDate)</f>
        <v>48</v>
      </c>
      <c r="DA3" s="27" t="n">
        <f aca="false">IF(OR(DA1="",NOT(ISNUMBER(TransDate))),"",DA1-TransDate)</f>
        <v>49</v>
      </c>
      <c r="DB3" s="27" t="n">
        <f aca="false">IF(OR(DB1="",NOT(ISNUMBER(TransDate))),"",DB1-TransDate)</f>
        <v>50</v>
      </c>
      <c r="DC3" s="27" t="n">
        <f aca="false">IF(OR(DC1="",NOT(ISNUMBER(TransDate))),"",DC1-TransDate)</f>
        <v>51</v>
      </c>
      <c r="DD3" s="27" t="n">
        <f aca="false">IF(OR(DD1="",NOT(ISNUMBER(TransDate))),"",DD1-TransDate)</f>
        <v>52</v>
      </c>
      <c r="DE3" s="27" t="n">
        <f aca="false">IF(OR(DE1="",NOT(ISNUMBER(TransDate))),"",DE1-TransDate)</f>
        <v>53</v>
      </c>
      <c r="DF3" s="27" t="n">
        <f aca="false">IF(OR(DF1="",NOT(ISNUMBER(TransDate))),"",DF1-TransDate)</f>
        <v>54</v>
      </c>
      <c r="DG3" s="27" t="n">
        <f aca="false">IF(OR(DG1="",NOT(ISNUMBER(TransDate))),"",DG1-TransDate)</f>
        <v>55</v>
      </c>
      <c r="DH3" s="27" t="n">
        <f aca="false">IF(OR(DH1="",NOT(ISNUMBER(TransDate))),"",DH1-TransDate)</f>
        <v>56</v>
      </c>
      <c r="DI3" s="27" t="n">
        <f aca="false">IF(OR(DI1="",NOT(ISNUMBER(TransDate))),"",DI1-TransDate)</f>
        <v>57</v>
      </c>
      <c r="DJ3" s="27" t="n">
        <f aca="false">IF(OR(DJ1="",NOT(ISNUMBER(TransDate))),"",DJ1-TransDate)</f>
        <v>58</v>
      </c>
      <c r="DK3" s="27" t="n">
        <f aca="false">IF(OR(DK1="",NOT(ISNUMBER(TransDate))),"",DK1-TransDate)</f>
        <v>59</v>
      </c>
      <c r="DL3" s="27" t="n">
        <f aca="false">IF(OR(DL1="",NOT(ISNUMBER(TransDate))),"",DL1-TransDate)</f>
        <v>60</v>
      </c>
      <c r="DM3" s="27" t="n">
        <f aca="false">IF(OR(DM1="",NOT(ISNUMBER(TransDate))),"",DM1-TransDate)</f>
        <v>61</v>
      </c>
      <c r="DN3" s="27" t="n">
        <f aca="false">IF(OR(DN1="",NOT(ISNUMBER(TransDate))),"",DN1-TransDate)</f>
        <v>62</v>
      </c>
      <c r="DO3" s="27" t="n">
        <f aca="false">IF(OR(DO1="",NOT(ISNUMBER(TransDate))),"",DO1-TransDate)</f>
        <v>63</v>
      </c>
      <c r="DP3" s="27" t="n">
        <f aca="false">IF(OR(DP1="",NOT(ISNUMBER(TransDate))),"",DP1-TransDate)</f>
        <v>64</v>
      </c>
      <c r="DQ3" s="27" t="n">
        <f aca="false">IF(OR(DQ1="",NOT(ISNUMBER(TransDate))),"",DQ1-TransDate)</f>
        <v>65</v>
      </c>
      <c r="DR3" s="27" t="n">
        <f aca="false">IF(OR(DR1="",NOT(ISNUMBER(TransDate))),"",DR1-TransDate)</f>
        <v>66</v>
      </c>
      <c r="DS3" s="27" t="n">
        <f aca="false">IF(OR(DS1="",NOT(ISNUMBER(TransDate))),"",DS1-TransDate)</f>
        <v>67</v>
      </c>
      <c r="DT3" s="27" t="n">
        <f aca="false">IF(OR(DT1="",NOT(ISNUMBER(TransDate))),"",DT1-TransDate)</f>
        <v>68</v>
      </c>
      <c r="DU3" s="27" t="n">
        <f aca="false">IF(OR(DU1="",NOT(ISNUMBER(TransDate))),"",DU1-TransDate)</f>
        <v>69</v>
      </c>
      <c r="DV3" s="27" t="n">
        <f aca="false">IF(OR(DV1="",NOT(ISNUMBER(TransDate))),"",DV1-TransDate)</f>
        <v>70</v>
      </c>
      <c r="DW3" s="27" t="n">
        <f aca="false">IF(OR(DW1="",NOT(ISNUMBER(TransDate))),"",DW1-TransDate)</f>
        <v>71</v>
      </c>
      <c r="DX3" s="27" t="n">
        <f aca="false">IF(OR(DX1="",NOT(ISNUMBER(TransDate))),"",DX1-TransDate)</f>
        <v>72</v>
      </c>
      <c r="DY3" s="27" t="n">
        <f aca="false">IF(OR(DY1="",NOT(ISNUMBER(TransDate))),"",DY1-TransDate)</f>
        <v>73</v>
      </c>
      <c r="DZ3" s="27" t="n">
        <f aca="false">IF(OR(DZ1="",NOT(ISNUMBER(TransDate))),"",DZ1-TransDate)</f>
        <v>74</v>
      </c>
      <c r="EA3" s="27" t="n">
        <f aca="false">IF(OR(EA1="",NOT(ISNUMBER(TransDate))),"",EA1-TransDate)</f>
        <v>75</v>
      </c>
      <c r="EB3" s="27" t="n">
        <f aca="false">IF(OR(EB1="",NOT(ISNUMBER(TransDate))),"",EB1-TransDate)</f>
        <v>76</v>
      </c>
      <c r="EC3" s="27" t="n">
        <f aca="false">IF(OR(EC1="",NOT(ISNUMBER(TransDate))),"",EC1-TransDate)</f>
        <v>77</v>
      </c>
      <c r="ED3" s="27" t="n">
        <f aca="false">IF(OR(ED1="",NOT(ISNUMBER(TransDate))),"",ED1-TransDate)</f>
        <v>78</v>
      </c>
      <c r="EE3" s="27" t="n">
        <f aca="false">IF(OR(EE1="",NOT(ISNUMBER(TransDate))),"",EE1-TransDate)</f>
        <v>79</v>
      </c>
      <c r="EF3" s="27" t="n">
        <f aca="false">IF(OR(EF1="",NOT(ISNUMBER(TransDate))),"",EF1-TransDate)</f>
        <v>80</v>
      </c>
      <c r="EG3" s="27" t="n">
        <f aca="false">IF(OR(EG1="",NOT(ISNUMBER(TransDate))),"",EG1-TransDate)</f>
        <v>81</v>
      </c>
      <c r="EH3" s="27" t="n">
        <f aca="false">IF(OR(EH1="",NOT(ISNUMBER(TransDate))),"",EH1-TransDate)</f>
        <v>82</v>
      </c>
      <c r="EI3" s="27" t="n">
        <f aca="false">IF(OR(EI1="",NOT(ISNUMBER(TransDate))),"",EI1-TransDate)</f>
        <v>83</v>
      </c>
      <c r="EJ3" s="27" t="n">
        <f aca="false">IF(OR(EJ1="",NOT(ISNUMBER(TransDate))),"",EJ1-TransDate)</f>
        <v>84</v>
      </c>
      <c r="EK3" s="27" t="n">
        <f aca="false">IF(OR(EK1="",NOT(ISNUMBER(TransDate))),"",EK1-TransDate)</f>
        <v>85</v>
      </c>
      <c r="EL3" s="27" t="n">
        <f aca="false">IF(OR(EL1="",NOT(ISNUMBER(TransDate))),"",EL1-TransDate)</f>
        <v>86</v>
      </c>
      <c r="EM3" s="27" t="n">
        <f aca="false">IF(OR(EM1="",NOT(ISNUMBER(TransDate))),"",EM1-TransDate)</f>
        <v>87</v>
      </c>
      <c r="EN3" s="27" t="n">
        <f aca="false">IF(OR(EN1="",NOT(ISNUMBER(TransDate))),"",EN1-TransDate)</f>
        <v>88</v>
      </c>
      <c r="EO3" s="27" t="n">
        <f aca="false">IF(OR(EO1="",NOT(ISNUMBER(TransDate))),"",EO1-TransDate)</f>
        <v>89</v>
      </c>
      <c r="EP3" s="27" t="n">
        <f aca="false">IF(OR(EP1="",NOT(ISNUMBER(TransDate))),"",EP1-TransDate)</f>
        <v>90</v>
      </c>
      <c r="EQ3" s="27" t="n">
        <f aca="false">IF(OR(EQ1="",NOT(ISNUMBER(TransDate))),"",EQ1-TransDate)</f>
        <v>91</v>
      </c>
      <c r="ER3" s="27" t="n">
        <f aca="false">IF(OR(ER1="",NOT(ISNUMBER(TransDate))),"",ER1-TransDate)</f>
        <v>92</v>
      </c>
      <c r="ES3" s="27" t="n">
        <f aca="false">IF(OR(ES1="",NOT(ISNUMBER(TransDate))),"",ES1-TransDate)</f>
        <v>93</v>
      </c>
      <c r="ET3" s="27" t="n">
        <f aca="false">IF(OR(ET1="",NOT(ISNUMBER(TransDate))),"",ET1-TransDate)</f>
        <v>94</v>
      </c>
      <c r="EU3" s="27" t="n">
        <f aca="false">IF(OR(EU1="",NOT(ISNUMBER(TransDate))),"",EU1-TransDate)</f>
        <v>95</v>
      </c>
      <c r="EV3" s="27" t="n">
        <f aca="false">IF(OR(EV1="",NOT(ISNUMBER(TransDate))),"",EV1-TransDate)</f>
        <v>96</v>
      </c>
      <c r="EW3" s="27" t="n">
        <f aca="false">IF(OR(EW1="",NOT(ISNUMBER(TransDate))),"",EW1-TransDate)</f>
        <v>97</v>
      </c>
      <c r="EX3" s="27" t="n">
        <f aca="false">IF(OR(EX1="",NOT(ISNUMBER(TransDate))),"",EX1-TransDate)</f>
        <v>98</v>
      </c>
      <c r="EY3" s="27" t="n">
        <f aca="false">IF(OR(EY1="",NOT(ISNUMBER(TransDate))),"",EY1-TransDate)</f>
        <v>99</v>
      </c>
      <c r="EZ3" s="27" t="n">
        <f aca="false">IF(OR(EZ1="",NOT(ISNUMBER(TransDate))),"",EZ1-TransDate)</f>
        <v>100</v>
      </c>
      <c r="FA3" s="27" t="n">
        <f aca="false">IF(OR(FA1="",NOT(ISNUMBER(TransDate))),"",FA1-TransDate)</f>
        <v>101</v>
      </c>
      <c r="FB3" s="27" t="n">
        <f aca="false">IF(OR(FB1="",NOT(ISNUMBER(TransDate))),"",FB1-TransDate)</f>
        <v>102</v>
      </c>
      <c r="FC3" s="27" t="n">
        <f aca="false">IF(OR(FC1="",NOT(ISNUMBER(TransDate))),"",FC1-TransDate)</f>
        <v>103</v>
      </c>
      <c r="FD3" s="27" t="n">
        <f aca="false">IF(OR(FD1="",NOT(ISNUMBER(TransDate))),"",FD1-TransDate)</f>
        <v>104</v>
      </c>
      <c r="FE3" s="27" t="n">
        <f aca="false">IF(OR(FE1="",NOT(ISNUMBER(TransDate))),"",FE1-TransDate)</f>
        <v>105</v>
      </c>
      <c r="FF3" s="27" t="n">
        <f aca="false">IF(OR(FF1="",NOT(ISNUMBER(TransDate))),"",FF1-TransDate)</f>
        <v>106</v>
      </c>
      <c r="FG3" s="27" t="n">
        <f aca="false">IF(OR(FG1="",NOT(ISNUMBER(TransDate))),"",FG1-TransDate)</f>
        <v>107</v>
      </c>
      <c r="FH3" s="27" t="n">
        <f aca="false">IF(OR(FH1="",NOT(ISNUMBER(TransDate))),"",FH1-TransDate)</f>
        <v>108</v>
      </c>
      <c r="FI3" s="27" t="n">
        <f aca="false">IF(OR(FI1="",NOT(ISNUMBER(TransDate))),"",FI1-TransDate)</f>
        <v>109</v>
      </c>
      <c r="FJ3" s="27" t="n">
        <f aca="false">IF(OR(FJ1="",NOT(ISNUMBER(TransDate))),"",FJ1-TransDate)</f>
        <v>110</v>
      </c>
      <c r="FK3" s="27" t="n">
        <f aca="false">IF(OR(FK1="",NOT(ISNUMBER(TransDate))),"",FK1-TransDate)</f>
        <v>111</v>
      </c>
      <c r="FL3" s="27" t="n">
        <f aca="false">IF(OR(FL1="",NOT(ISNUMBER(TransDate))),"",FL1-TransDate)</f>
        <v>112</v>
      </c>
      <c r="FM3" s="27" t="n">
        <f aca="false">IF(OR(FM1="",NOT(ISNUMBER(TransDate))),"",FM1-TransDate)</f>
        <v>113</v>
      </c>
      <c r="FN3" s="27" t="n">
        <f aca="false">IF(OR(FN1="",NOT(ISNUMBER(TransDate))),"",FN1-TransDate)</f>
        <v>114</v>
      </c>
      <c r="FO3" s="27" t="n">
        <f aca="false">IF(OR(FO1="",NOT(ISNUMBER(TransDate))),"",FO1-TransDate)</f>
        <v>115</v>
      </c>
      <c r="FP3" s="27" t="n">
        <f aca="false">IF(OR(FP1="",NOT(ISNUMBER(TransDate))),"",FP1-TransDate)</f>
        <v>116</v>
      </c>
      <c r="FQ3" s="27" t="n">
        <f aca="false">IF(OR(FQ1="",NOT(ISNUMBER(TransDate))),"",FQ1-TransDate)</f>
        <v>117</v>
      </c>
    </row>
    <row r="4" customFormat="false" ht="15" hidden="false" customHeight="false" outlineLevel="0" collapsed="false">
      <c r="B4" s="26" t="s">
        <v>133</v>
      </c>
      <c r="C4" s="27" t="s">
        <v>134</v>
      </c>
      <c r="D4" s="29" t="str">
        <f aca="false">Data_Farmer!D6</f>
        <v/>
      </c>
      <c r="E4" s="29" t="str">
        <f aca="false">Data_Farmer!E6</f>
        <v/>
      </c>
      <c r="F4" s="29" t="str">
        <f aca="false">Data_Farmer!F6</f>
        <v/>
      </c>
      <c r="G4" s="29" t="str">
        <f aca="false">Data_Farmer!G6</f>
        <v/>
      </c>
      <c r="H4" s="29" t="str">
        <f aca="false">Data_Farmer!H6</f>
        <v/>
      </c>
      <c r="I4" s="29" t="str">
        <f aca="false">Data_Farmer!I6</f>
        <v/>
      </c>
      <c r="J4" s="29" t="str">
        <f aca="false">Data_Farmer!J6</f>
        <v/>
      </c>
      <c r="K4" s="29" t="str">
        <f aca="false">Data_Farmer!K6</f>
        <v/>
      </c>
      <c r="L4" s="29" t="str">
        <f aca="false">Data_Farmer!L6</f>
        <v/>
      </c>
      <c r="M4" s="29" t="str">
        <f aca="false">Data_Farmer!M6</f>
        <v/>
      </c>
      <c r="N4" s="29" t="str">
        <f aca="false">Data_Farmer!N6</f>
        <v/>
      </c>
      <c r="O4" s="29" t="str">
        <f aca="false">Data_Farmer!O6</f>
        <v/>
      </c>
      <c r="P4" s="29" t="str">
        <f aca="false">Data_Farmer!P6</f>
        <v/>
      </c>
      <c r="Q4" s="29" t="str">
        <f aca="false">Data_Farmer!Q6</f>
        <v/>
      </c>
      <c r="R4" s="29" t="str">
        <f aca="false">Data_Farmer!R6</f>
        <v/>
      </c>
      <c r="S4" s="29" t="str">
        <f aca="false">Data_Farmer!S6</f>
        <v/>
      </c>
      <c r="T4" s="29" t="str">
        <f aca="false">Data_Farmer!T6</f>
        <v/>
      </c>
      <c r="U4" s="29" t="str">
        <f aca="false">Data_Farmer!U6</f>
        <v/>
      </c>
      <c r="V4" s="29" t="str">
        <f aca="false">Data_Farmer!V6</f>
        <v/>
      </c>
      <c r="W4" s="29" t="str">
        <f aca="false">Data_Farmer!W6</f>
        <v/>
      </c>
      <c r="X4" s="29" t="str">
        <f aca="false">Data_Farmer!X6</f>
        <v/>
      </c>
      <c r="Y4" s="29" t="str">
        <f aca="false">Data_Farmer!Y6</f>
        <v/>
      </c>
      <c r="Z4" s="29" t="str">
        <f aca="false">Data_Farmer!Z6</f>
        <v/>
      </c>
      <c r="AA4" s="29" t="str">
        <f aca="false">Data_Farmer!AA6</f>
        <v/>
      </c>
      <c r="AB4" s="29" t="str">
        <f aca="false">Data_Farmer!AB6</f>
        <v/>
      </c>
      <c r="AC4" s="29" t="str">
        <f aca="false">Data_Farmer!AC6</f>
        <v/>
      </c>
      <c r="AD4" s="29" t="str">
        <f aca="false">Data_Farmer!AD6</f>
        <v/>
      </c>
      <c r="AE4" s="29" t="str">
        <f aca="false">Data_Farmer!AE6</f>
        <v/>
      </c>
      <c r="AF4" s="29" t="str">
        <f aca="false">Data_Farmer!AF6</f>
        <v/>
      </c>
      <c r="AG4" s="29" t="str">
        <f aca="false">Data_Farmer!AG6</f>
        <v/>
      </c>
      <c r="AH4" s="29" t="str">
        <f aca="false">Data_Farmer!AH6</f>
        <v/>
      </c>
      <c r="AI4" s="29" t="str">
        <f aca="false">Data_Farmer!AI6</f>
        <v/>
      </c>
      <c r="AJ4" s="29" t="str">
        <f aca="false">Data_Farmer!AJ6</f>
        <v/>
      </c>
      <c r="AK4" s="29" t="str">
        <f aca="false">Data_Farmer!AK6</f>
        <v/>
      </c>
      <c r="AL4" s="29" t="str">
        <f aca="false">Data_Farmer!AL6</f>
        <v/>
      </c>
      <c r="AM4" s="29" t="str">
        <f aca="false">Data_Farmer!AM6</f>
        <v/>
      </c>
      <c r="AN4" s="29" t="str">
        <f aca="false">Data_Farmer!AN6</f>
        <v/>
      </c>
      <c r="AO4" s="29" t="str">
        <f aca="false">Data_Farmer!AO6</f>
        <v/>
      </c>
      <c r="AP4" s="29" t="str">
        <f aca="false">Data_Farmer!AP6</f>
        <v/>
      </c>
      <c r="AQ4" s="29" t="str">
        <f aca="false">Data_Farmer!AQ6</f>
        <v/>
      </c>
      <c r="AR4" s="29" t="str">
        <f aca="false">Data_Farmer!AR6</f>
        <v/>
      </c>
      <c r="AS4" s="29" t="str">
        <f aca="false">Data_Farmer!AS6</f>
        <v/>
      </c>
      <c r="AT4" s="29" t="str">
        <f aca="false">Data_Farmer!AT6</f>
        <v/>
      </c>
      <c r="AU4" s="29" t="str">
        <f aca="false">Data_Farmer!AU6</f>
        <v/>
      </c>
      <c r="AV4" s="29" t="str">
        <f aca="false">Data_Farmer!AV6</f>
        <v/>
      </c>
      <c r="AW4" s="29" t="str">
        <f aca="false">Data_Farmer!AW6</f>
        <v/>
      </c>
      <c r="AX4" s="29" t="str">
        <f aca="false">Data_Farmer!AX6</f>
        <v/>
      </c>
      <c r="AY4" s="29" t="str">
        <f aca="false">Data_Farmer!AY6</f>
        <v/>
      </c>
      <c r="AZ4" s="29" t="str">
        <f aca="false">Data_Farmer!AZ6</f>
        <v/>
      </c>
      <c r="BA4" s="29" t="str">
        <f aca="false">Data_Farmer!BA6</f>
        <v/>
      </c>
      <c r="BB4" s="29" t="str">
        <f aca="false">Data_Farmer!BB6</f>
        <v/>
      </c>
      <c r="BC4" s="29" t="str">
        <f aca="false">Data_Farmer!BC6</f>
        <v/>
      </c>
      <c r="BD4" s="29" t="str">
        <f aca="false">Data_Farmer!BD6</f>
        <v/>
      </c>
      <c r="BE4" s="29" t="str">
        <f aca="false">Data_Farmer!BE6</f>
        <v/>
      </c>
      <c r="BF4" s="29" t="str">
        <f aca="false">Data_Farmer!BF6</f>
        <v/>
      </c>
      <c r="BG4" s="29" t="str">
        <f aca="false">Data_Farmer!BG6</f>
        <v/>
      </c>
      <c r="BH4" s="29" t="str">
        <f aca="false">Data_Farmer!BH6</f>
        <v/>
      </c>
      <c r="BI4" s="29" t="str">
        <f aca="false">Data_Farmer!BI6</f>
        <v/>
      </c>
      <c r="BJ4" s="29" t="str">
        <f aca="false">Data_Farmer!BJ6</f>
        <v/>
      </c>
      <c r="BK4" s="29" t="str">
        <f aca="false">Data_Farmer!BK6</f>
        <v/>
      </c>
      <c r="BL4" s="29" t="str">
        <f aca="false">Data_Farmer!BL6</f>
        <v/>
      </c>
      <c r="BM4" s="29" t="str">
        <f aca="false">Data_Farmer!BM6</f>
        <v/>
      </c>
      <c r="BN4" s="29" t="str">
        <f aca="false">Data_Farmer!BN6</f>
        <v/>
      </c>
      <c r="BO4" s="29" t="str">
        <f aca="false">Data_Farmer!BO6</f>
        <v/>
      </c>
      <c r="BP4" s="29" t="str">
        <f aca="false">Data_Farmer!BP6</f>
        <v/>
      </c>
      <c r="BQ4" s="29" t="str">
        <f aca="false">Data_Farmer!BQ6</f>
        <v/>
      </c>
      <c r="BR4" s="29" t="str">
        <f aca="false">Data_Farmer!BR6</f>
        <v/>
      </c>
      <c r="BS4" s="29" t="str">
        <f aca="false">Data_Farmer!BS6</f>
        <v/>
      </c>
      <c r="BT4" s="29" t="str">
        <f aca="false">Data_Farmer!BT6</f>
        <v/>
      </c>
      <c r="BU4" s="29" t="str">
        <f aca="false">Data_Farmer!BU6</f>
        <v/>
      </c>
      <c r="BV4" s="29" t="str">
        <f aca="false">Data_Farmer!BV6</f>
        <v/>
      </c>
      <c r="BW4" s="29" t="str">
        <f aca="false">Data_Farmer!BW6</f>
        <v/>
      </c>
      <c r="BX4" s="29" t="str">
        <f aca="false">Data_Farmer!BX6</f>
        <v/>
      </c>
      <c r="BY4" s="29" t="str">
        <f aca="false">Data_Farmer!BY6</f>
        <v/>
      </c>
      <c r="BZ4" s="29" t="str">
        <f aca="false">Data_Farmer!BZ6</f>
        <v/>
      </c>
      <c r="CA4" s="29" t="str">
        <f aca="false">Data_Farmer!CA6</f>
        <v/>
      </c>
      <c r="CB4" s="29" t="str">
        <f aca="false">Data_Farmer!CB6</f>
        <v/>
      </c>
      <c r="CC4" s="29" t="str">
        <f aca="false">Data_Farmer!CC6</f>
        <v/>
      </c>
      <c r="CD4" s="29" t="str">
        <f aca="false">Data_Farmer!CD6</f>
        <v/>
      </c>
      <c r="CE4" s="29" t="str">
        <f aca="false">Data_Farmer!CE6</f>
        <v/>
      </c>
      <c r="CF4" s="29" t="str">
        <f aca="false">Data_Farmer!CF6</f>
        <v/>
      </c>
      <c r="CG4" s="29" t="str">
        <f aca="false">Data_Farmer!CG6</f>
        <v/>
      </c>
      <c r="CH4" s="29" t="str">
        <f aca="false">Data_Farmer!CH6</f>
        <v>Pitan</v>
      </c>
      <c r="CI4" s="29" t="str">
        <f aca="false">Data_Farmer!CI6</f>
        <v>Pitan MD</v>
      </c>
      <c r="CJ4" s="29" t="str">
        <f aca="false">Data_Farmer!CJ6</f>
        <v>Pitan MD</v>
      </c>
      <c r="CK4" s="29" t="str">
        <f aca="false">Data_Farmer!CK6</f>
        <v>Pitan MD</v>
      </c>
      <c r="CL4" s="29" t="str">
        <f aca="false">Data_Farmer!CL6</f>
        <v>MD</v>
      </c>
      <c r="CM4" s="29" t="str">
        <f aca="false">Data_Farmer!CM6</f>
        <v>MD</v>
      </c>
      <c r="CN4" s="29" t="str">
        <f aca="false">Data_Farmer!CN6</f>
        <v>MD</v>
      </c>
      <c r="CO4" s="29" t="str">
        <f aca="false">Data_Farmer!CO6</f>
        <v>MD</v>
      </c>
      <c r="CP4" s="29" t="str">
        <f aca="false">Data_Farmer!CP6</f>
        <v>MD</v>
      </c>
      <c r="CQ4" s="29" t="str">
        <f aca="false">Data_Farmer!CQ6</f>
        <v>MD</v>
      </c>
      <c r="CR4" s="29" t="str">
        <f aca="false">Data_Farmer!CR6</f>
        <v/>
      </c>
      <c r="CS4" s="29" t="str">
        <f aca="false">Data_Farmer!CS6</f>
        <v/>
      </c>
      <c r="CT4" s="29" t="str">
        <f aca="false">Data_Farmer!CT6</f>
        <v/>
      </c>
      <c r="CU4" s="29" t="str">
        <f aca="false">Data_Farmer!CU6</f>
        <v/>
      </c>
      <c r="CV4" s="29" t="str">
        <f aca="false">Data_Farmer!CV6</f>
        <v/>
      </c>
      <c r="CW4" s="29" t="str">
        <f aca="false">Data_Farmer!CW6</f>
        <v/>
      </c>
      <c r="CX4" s="29" t="str">
        <f aca="false">Data_Farmer!CX6</f>
        <v/>
      </c>
      <c r="CY4" s="29" t="str">
        <f aca="false">Data_Farmer!CY6</f>
        <v/>
      </c>
      <c r="CZ4" s="29" t="str">
        <f aca="false">Data_Farmer!CZ6</f>
        <v/>
      </c>
      <c r="DA4" s="29" t="str">
        <f aca="false">Data_Farmer!DA6</f>
        <v/>
      </c>
      <c r="DB4" s="29" t="str">
        <f aca="false">Data_Farmer!DB6</f>
        <v/>
      </c>
      <c r="DC4" s="29" t="str">
        <f aca="false">Data_Farmer!DC6</f>
        <v>PI-flood</v>
      </c>
      <c r="DD4" s="29" t="str">
        <f aca="false">Data_Farmer!DD6</f>
        <v>PI-flood</v>
      </c>
      <c r="DE4" s="29" t="str">
        <f aca="false">Data_Farmer!DE6</f>
        <v>PI-flood</v>
      </c>
      <c r="DF4" s="29" t="str">
        <f aca="false">Data_Farmer!DF6</f>
        <v>PI-flood</v>
      </c>
      <c r="DG4" s="29" t="str">
        <f aca="false">Data_Farmer!DG6</f>
        <v>3F4D-1</v>
      </c>
      <c r="DH4" s="29" t="str">
        <f aca="false">Data_Farmer!DH6</f>
        <v>3F4D-1</v>
      </c>
      <c r="DI4" s="29" t="str">
        <f aca="false">Data_Farmer!DI6</f>
        <v>3F4D-1</v>
      </c>
      <c r="DJ4" s="29" t="str">
        <f aca="false">Data_Farmer!DJ6</f>
        <v>3F4D-1</v>
      </c>
      <c r="DK4" s="29" t="str">
        <f aca="false">Data_Farmer!DK6</f>
        <v>3F4D-1</v>
      </c>
      <c r="DL4" s="29" t="str">
        <f aca="false">Data_Farmer!DL6</f>
        <v>3F4D-1</v>
      </c>
      <c r="DM4" s="29" t="str">
        <f aca="false">Data_Farmer!DM6</f>
        <v>3F4D-1</v>
      </c>
      <c r="DN4" s="29" t="str">
        <f aca="false">Data_Farmer!DN6</f>
        <v>3F4D-2</v>
      </c>
      <c r="DO4" s="29" t="str">
        <f aca="false">Data_Farmer!DO6</f>
        <v>3F4D-2</v>
      </c>
      <c r="DP4" s="29" t="str">
        <f aca="false">Data_Farmer!DP6</f>
        <v>3F4D-2</v>
      </c>
      <c r="DQ4" s="29" t="str">
        <f aca="false">Data_Farmer!DQ6</f>
        <v>3F4D-2</v>
      </c>
      <c r="DR4" s="29" t="str">
        <f aca="false">Data_Farmer!DR6</f>
        <v>3F4D-2</v>
      </c>
      <c r="DS4" s="29" t="str">
        <f aca="false">Data_Farmer!DS6</f>
        <v>3F4D-2</v>
      </c>
      <c r="DT4" s="29" t="str">
        <f aca="false">Data_Farmer!DT6</f>
        <v>3F4D-2</v>
      </c>
      <c r="DU4" s="29" t="str">
        <f aca="false">Data_Farmer!DU6</f>
        <v>3F4D-3</v>
      </c>
      <c r="DV4" s="29" t="str">
        <f aca="false">Data_Farmer!DV6</f>
        <v>3F4D-3</v>
      </c>
      <c r="DW4" s="29" t="str">
        <f aca="false">Data_Farmer!DW6</f>
        <v>3F4D-3</v>
      </c>
      <c r="DX4" s="29" t="str">
        <f aca="false">Data_Farmer!DX6</f>
        <v>3F4D-3</v>
      </c>
      <c r="DY4" s="29" t="str">
        <f aca="false">Data_Farmer!DY6</f>
        <v>3F4D-3</v>
      </c>
      <c r="DZ4" s="29" t="str">
        <f aca="false">Data_Farmer!DZ6</f>
        <v>3F4D-3</v>
      </c>
      <c r="EA4" s="29" t="str">
        <f aca="false">Data_Farmer!EA6</f>
        <v>3F4D-3</v>
      </c>
      <c r="EB4" s="29" t="str">
        <f aca="false">Data_Farmer!EB6</f>
        <v>3F4D-4 Heading</v>
      </c>
      <c r="EC4" s="29" t="str">
        <f aca="false">Data_Farmer!EC6</f>
        <v>3F4D-4</v>
      </c>
      <c r="ED4" s="29" t="str">
        <f aca="false">Data_Farmer!ED6</f>
        <v>3F4D-4</v>
      </c>
      <c r="EE4" s="29" t="str">
        <f aca="false">Data_Farmer!EE6</f>
        <v>3F4D-4</v>
      </c>
      <c r="EF4" s="29" t="str">
        <f aca="false">Data_Farmer!EF6</f>
        <v>3F4D-4</v>
      </c>
      <c r="EG4" s="29" t="str">
        <f aca="false">Data_Farmer!EG6</f>
        <v>3F4D-4</v>
      </c>
      <c r="EH4" s="29" t="str">
        <f aca="false">Data_Farmer!EH6</f>
        <v>3F4D-4</v>
      </c>
      <c r="EI4" s="29" t="str">
        <f aca="false">Data_Farmer!EI6</f>
        <v>3F4D-5</v>
      </c>
      <c r="EJ4" s="29" t="str">
        <f aca="false">Data_Farmer!EJ6</f>
        <v>3F4D-5</v>
      </c>
      <c r="EK4" s="29" t="str">
        <f aca="false">Data_Farmer!EK6</f>
        <v>3F4D-5</v>
      </c>
      <c r="EL4" s="29" t="str">
        <f aca="false">Data_Farmer!EL6</f>
        <v>3F4D-5</v>
      </c>
      <c r="EM4" s="29" t="str">
        <f aca="false">Data_Farmer!EM6</f>
        <v>3F4D-5</v>
      </c>
      <c r="EN4" s="29" t="str">
        <f aca="false">Data_Farmer!EN6</f>
        <v>3F4D-5</v>
      </c>
      <c r="EO4" s="29" t="str">
        <f aca="false">Data_Farmer!EO6</f>
        <v>3F4D-5</v>
      </c>
      <c r="EP4" s="29" t="str">
        <f aca="false">Data_Farmer!EP6</f>
        <v>3F4D-6</v>
      </c>
      <c r="EQ4" s="29" t="str">
        <f aca="false">Data_Farmer!EQ6</f>
        <v>3F4D-6</v>
      </c>
      <c r="ER4" s="29" t="str">
        <f aca="false">Data_Farmer!ER6</f>
        <v>3F4D-6</v>
      </c>
      <c r="ES4" s="29" t="str">
        <f aca="false">Data_Farmer!ES6</f>
        <v>3F4D-6</v>
      </c>
      <c r="ET4" s="29" t="str">
        <f aca="false">Data_Farmer!ET6</f>
        <v>3F4D-6</v>
      </c>
      <c r="EU4" s="29" t="str">
        <f aca="false">Data_Farmer!EU6</f>
        <v>3F4D-6</v>
      </c>
      <c r="EV4" s="29" t="str">
        <f aca="false">Data_Farmer!EV6</f>
        <v>3F4D-6</v>
      </c>
      <c r="EW4" s="29" t="str">
        <f aca="false">Data_Farmer!EW6</f>
        <v>3F4D-6</v>
      </c>
      <c r="EX4" s="29" t="str">
        <f aca="false">Data_Farmer!EX6</f>
        <v>3F4D-6</v>
      </c>
      <c r="EY4" s="29" t="str">
        <f aca="false">Data_Farmer!EY6</f>
        <v/>
      </c>
      <c r="EZ4" s="29" t="str">
        <f aca="false">Data_Farmer!EZ6</f>
        <v/>
      </c>
      <c r="FA4" s="29" t="str">
        <f aca="false">Data_Farmer!FA6</f>
        <v/>
      </c>
      <c r="FB4" s="29" t="str">
        <f aca="false">Data_Farmer!FB6</f>
        <v/>
      </c>
      <c r="FC4" s="29" t="str">
        <f aca="false">Data_Farmer!FC6</f>
        <v/>
      </c>
      <c r="FD4" s="29" t="str">
        <f aca="false">Data_Farmer!FD6</f>
        <v/>
      </c>
      <c r="FE4" s="29" t="str">
        <f aca="false">Data_Farmer!FE6</f>
        <v/>
      </c>
      <c r="FF4" s="29" t="str">
        <f aca="false">Data_Farmer!FF6</f>
        <v/>
      </c>
      <c r="FG4" s="29" t="str">
        <f aca="false">Data_Farmer!FG6</f>
        <v/>
      </c>
      <c r="FH4" s="29" t="str">
        <f aca="false">Data_Farmer!FH6</f>
        <v/>
      </c>
      <c r="FI4" s="29" t="str">
        <f aca="false">Data_Farmer!FI6</f>
        <v/>
      </c>
      <c r="FJ4" s="29" t="str">
        <f aca="false">Data_Farmer!FJ6</f>
        <v/>
      </c>
      <c r="FK4" s="29" t="str">
        <f aca="false">Data_Farmer!FK6</f>
        <v/>
      </c>
      <c r="FL4" s="29" t="str">
        <f aca="false">Data_Farmer!FL6</f>
        <v/>
      </c>
      <c r="FM4" s="29" t="str">
        <f aca="false">Data_Farmer!FM6</f>
        <v/>
      </c>
      <c r="FN4" s="29" t="str">
        <f aca="false">Data_Farmer!FN6</f>
        <v/>
      </c>
      <c r="FO4" s="29" t="str">
        <f aca="false">Data_Farmer!FO6</f>
        <v/>
      </c>
      <c r="FP4" s="29" t="str">
        <f aca="false">Data_Farmer!FP6</f>
        <v/>
      </c>
      <c r="FQ4" s="29" t="str">
        <f aca="false">Data_Farmer!FQ6</f>
        <v/>
      </c>
    </row>
    <row r="6" customFormat="false" ht="15" hidden="false" customHeight="false" outlineLevel="0" collapsed="false">
      <c r="A6" s="8"/>
      <c r="B6" s="30" t="s">
        <v>135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</row>
    <row r="7" customFormat="false" ht="15" hidden="false" customHeight="false" outlineLevel="0" collapsed="false">
      <c r="A7" s="31"/>
      <c r="B7" s="17" t="s">
        <v>136</v>
      </c>
      <c r="C7" s="32" t="s">
        <v>137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n">
        <v>280</v>
      </c>
      <c r="BE7" s="18" t="n">
        <v>279.9</v>
      </c>
      <c r="BF7" s="18" t="n">
        <v>280.5</v>
      </c>
      <c r="BG7" s="18" t="n">
        <v>280</v>
      </c>
      <c r="BH7" s="18" t="n">
        <v>282.1</v>
      </c>
      <c r="BI7" s="18" t="n">
        <v>281.4</v>
      </c>
      <c r="BJ7" s="18" t="n">
        <v>281.2</v>
      </c>
      <c r="BK7" s="18" t="n">
        <v>280.5</v>
      </c>
      <c r="BL7" s="18" t="n">
        <v>281.8</v>
      </c>
      <c r="BM7" s="18" t="n">
        <v>281.5</v>
      </c>
      <c r="BN7" s="18" t="n">
        <v>281.1</v>
      </c>
      <c r="BO7" s="18" t="n">
        <v>280.5</v>
      </c>
      <c r="BP7" s="18" t="n">
        <v>280.3</v>
      </c>
      <c r="BQ7" s="18" t="n">
        <v>281.5</v>
      </c>
      <c r="BR7" s="18" t="n">
        <v>281.1</v>
      </c>
      <c r="BS7" s="18" t="n">
        <v>280.4</v>
      </c>
      <c r="BT7" s="18" t="n">
        <v>280.2</v>
      </c>
      <c r="BU7" s="18" t="n">
        <v>280</v>
      </c>
      <c r="BV7" s="18" t="n">
        <v>279.9</v>
      </c>
      <c r="BW7" s="18" t="n">
        <v>279.7</v>
      </c>
      <c r="BX7" s="18" t="n">
        <v>281.6</v>
      </c>
      <c r="BY7" s="18" t="n">
        <v>281.4</v>
      </c>
      <c r="BZ7" s="18" t="n">
        <v>280.9</v>
      </c>
      <c r="CA7" s="18"/>
      <c r="CB7" s="18" t="n">
        <v>280.1</v>
      </c>
      <c r="CC7" s="18" t="n">
        <v>279.5</v>
      </c>
      <c r="CD7" s="18" t="n">
        <v>278.5</v>
      </c>
      <c r="CE7" s="18" t="n">
        <v>281</v>
      </c>
      <c r="CF7" s="18" t="n">
        <v>280.5</v>
      </c>
      <c r="CG7" s="18" t="n">
        <v>280.3</v>
      </c>
      <c r="CH7" s="18" t="n">
        <v>279.9</v>
      </c>
      <c r="CI7" s="18" t="n">
        <v>282.8</v>
      </c>
      <c r="CJ7" s="18" t="n">
        <v>282.3</v>
      </c>
      <c r="CK7" s="18" t="n">
        <v>281.5</v>
      </c>
      <c r="CL7" s="18" t="n">
        <v>280</v>
      </c>
      <c r="CM7" s="18" t="n">
        <v>279.7</v>
      </c>
      <c r="CN7" s="18" t="n">
        <v>279</v>
      </c>
      <c r="CO7" s="18" t="n">
        <v>277</v>
      </c>
      <c r="CP7" s="18" t="n">
        <v>275</v>
      </c>
      <c r="CQ7" s="18" t="n">
        <v>272</v>
      </c>
      <c r="CR7" s="18" t="n">
        <v>265</v>
      </c>
      <c r="CS7" s="18" t="n">
        <v>265</v>
      </c>
      <c r="CT7" s="18" t="n">
        <v>265</v>
      </c>
      <c r="CU7" s="18" t="n">
        <v>265</v>
      </c>
      <c r="CV7" s="18" t="n">
        <v>265</v>
      </c>
      <c r="CW7" s="18" t="n">
        <v>265</v>
      </c>
      <c r="CX7" s="18" t="n">
        <v>281</v>
      </c>
      <c r="CY7" s="18" t="n">
        <v>280.7</v>
      </c>
      <c r="CZ7" s="18" t="n">
        <v>280.2</v>
      </c>
      <c r="DA7" s="18" t="n">
        <v>281.7</v>
      </c>
      <c r="DB7" s="18" t="n">
        <v>281</v>
      </c>
      <c r="DC7" s="18" t="n">
        <v>280.5</v>
      </c>
      <c r="DD7" s="18" t="n">
        <v>282.5</v>
      </c>
      <c r="DE7" s="18" t="n">
        <v>282</v>
      </c>
      <c r="DF7" s="18" t="n">
        <v>281.5</v>
      </c>
      <c r="DG7" s="18" t="n">
        <v>281</v>
      </c>
      <c r="DH7" s="18" t="n">
        <v>280.7</v>
      </c>
      <c r="DI7" s="18" t="n">
        <v>280.1</v>
      </c>
      <c r="DJ7" s="18" t="n">
        <v>280</v>
      </c>
      <c r="DK7" s="18" t="n">
        <v>281</v>
      </c>
      <c r="DL7" s="18"/>
      <c r="DM7" s="18" t="n">
        <v>280.2</v>
      </c>
      <c r="DN7" s="18" t="n">
        <v>280.9</v>
      </c>
      <c r="DO7" s="18" t="n">
        <v>280</v>
      </c>
      <c r="DP7" s="18" t="n">
        <v>281</v>
      </c>
      <c r="DQ7" s="18" t="n">
        <v>280.7</v>
      </c>
      <c r="DR7" s="18" t="n">
        <v>280.3</v>
      </c>
      <c r="DS7" s="18" t="n">
        <v>280.5</v>
      </c>
      <c r="DT7" s="18" t="n">
        <v>280</v>
      </c>
      <c r="DU7" s="18" t="n">
        <v>281</v>
      </c>
      <c r="DV7" s="18" t="n">
        <v>280.7</v>
      </c>
      <c r="DW7" s="18" t="n">
        <v>280.5</v>
      </c>
      <c r="DX7" s="18" t="n">
        <v>281</v>
      </c>
      <c r="DY7" s="18" t="n">
        <v>280.7</v>
      </c>
      <c r="DZ7" s="18" t="n">
        <v>280.5</v>
      </c>
      <c r="EA7" s="18" t="n">
        <v>280.1</v>
      </c>
      <c r="EB7" s="18" t="n">
        <v>281.5</v>
      </c>
      <c r="EC7" s="18" t="n">
        <v>281</v>
      </c>
      <c r="ED7" s="18" t="n">
        <v>280.7</v>
      </c>
      <c r="EE7" s="18" t="n">
        <v>282</v>
      </c>
      <c r="EF7" s="18" t="n">
        <v>281.7</v>
      </c>
      <c r="EG7" s="18" t="n">
        <v>281</v>
      </c>
      <c r="EH7" s="18" t="n">
        <v>280.6</v>
      </c>
      <c r="EI7" s="18" t="n">
        <v>281.5</v>
      </c>
      <c r="EJ7" s="18" t="n">
        <v>281</v>
      </c>
      <c r="EK7" s="18" t="n">
        <v>282.5</v>
      </c>
      <c r="EL7" s="18" t="n">
        <v>281.5</v>
      </c>
      <c r="EM7" s="18" t="n">
        <v>282.5</v>
      </c>
      <c r="EN7" s="18" t="n">
        <v>282</v>
      </c>
      <c r="EO7" s="18" t="n">
        <v>281.5</v>
      </c>
      <c r="EP7" s="18" t="n">
        <v>280.5</v>
      </c>
      <c r="EQ7" s="18" t="n">
        <v>281.5</v>
      </c>
      <c r="ER7" s="18" t="n">
        <v>280</v>
      </c>
      <c r="ES7" s="18" t="n">
        <v>273.5</v>
      </c>
      <c r="ET7" s="18" t="n">
        <v>265</v>
      </c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</row>
    <row r="8" customFormat="false" ht="15" hidden="false" customHeight="false" outlineLevel="0" collapsed="false">
      <c r="A8" s="33"/>
      <c r="B8" s="20" t="s">
        <v>138</v>
      </c>
      <c r="C8" s="34" t="s">
        <v>137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n">
        <v>400.3</v>
      </c>
      <c r="BE8" s="18" t="n">
        <v>400</v>
      </c>
      <c r="BF8" s="18" t="n">
        <v>400.3</v>
      </c>
      <c r="BG8" s="18" t="n">
        <v>400</v>
      </c>
      <c r="BH8" s="18" t="n">
        <v>402.2</v>
      </c>
      <c r="BI8" s="18" t="n">
        <v>401.3</v>
      </c>
      <c r="BJ8" s="18" t="n">
        <v>401.1</v>
      </c>
      <c r="BK8" s="18" t="n">
        <v>400.5</v>
      </c>
      <c r="BL8" s="18" t="n">
        <v>402</v>
      </c>
      <c r="BM8" s="18" t="n">
        <v>401.5</v>
      </c>
      <c r="BN8" s="18" t="n">
        <v>401</v>
      </c>
      <c r="BO8" s="18" t="n">
        <v>400.5</v>
      </c>
      <c r="BP8" s="18" t="n">
        <v>400.3</v>
      </c>
      <c r="BQ8" s="18" t="n">
        <v>401.5</v>
      </c>
      <c r="BR8" s="18" t="n">
        <v>401</v>
      </c>
      <c r="BS8" s="18" t="n">
        <v>400.5</v>
      </c>
      <c r="BT8" s="18" t="n">
        <v>400.3</v>
      </c>
      <c r="BU8" s="18" t="n">
        <v>400.1</v>
      </c>
      <c r="BV8" s="18" t="n">
        <v>400</v>
      </c>
      <c r="BW8" s="18" t="n">
        <v>399.5</v>
      </c>
      <c r="BX8" s="18" t="n">
        <v>401.3</v>
      </c>
      <c r="BY8" s="18" t="n">
        <v>401</v>
      </c>
      <c r="BZ8" s="18" t="n">
        <v>400.5</v>
      </c>
      <c r="CA8" s="18"/>
      <c r="CB8" s="18" t="n">
        <v>400</v>
      </c>
      <c r="CC8" s="18" t="n">
        <v>398.8</v>
      </c>
      <c r="CD8" s="18" t="n">
        <v>398.3</v>
      </c>
      <c r="CE8" s="18" t="n">
        <v>401</v>
      </c>
      <c r="CF8" s="18" t="n">
        <v>400.7</v>
      </c>
      <c r="CG8" s="18" t="n">
        <v>400.5</v>
      </c>
      <c r="CH8" s="18" t="n">
        <v>400</v>
      </c>
      <c r="CI8" s="18" t="n">
        <v>402.8</v>
      </c>
      <c r="CJ8" s="18" t="n">
        <v>402.2</v>
      </c>
      <c r="CK8" s="18" t="n">
        <v>401.5</v>
      </c>
      <c r="CL8" s="18" t="n">
        <v>400</v>
      </c>
      <c r="CM8" s="18" t="n">
        <v>399.7</v>
      </c>
      <c r="CN8" s="18" t="n">
        <v>399</v>
      </c>
      <c r="CO8" s="18" t="n">
        <v>395</v>
      </c>
      <c r="CP8" s="18" t="n">
        <v>392</v>
      </c>
      <c r="CQ8" s="18" t="n">
        <v>385</v>
      </c>
      <c r="CR8" s="18" t="n">
        <v>385</v>
      </c>
      <c r="CS8" s="18" t="n">
        <v>385</v>
      </c>
      <c r="CT8" s="18" t="n">
        <v>385</v>
      </c>
      <c r="CU8" s="18" t="n">
        <v>385</v>
      </c>
      <c r="CV8" s="18" t="n">
        <v>385</v>
      </c>
      <c r="CW8" s="18" t="n">
        <v>385</v>
      </c>
      <c r="CX8" s="18" t="n">
        <v>401</v>
      </c>
      <c r="CY8" s="18" t="n">
        <v>400.7</v>
      </c>
      <c r="CZ8" s="18" t="n">
        <v>400.2</v>
      </c>
      <c r="DA8" s="18" t="n">
        <v>401.7</v>
      </c>
      <c r="DB8" s="18" t="n">
        <v>401</v>
      </c>
      <c r="DC8" s="18" t="n">
        <v>400.5</v>
      </c>
      <c r="DD8" s="18" t="n">
        <v>401.6</v>
      </c>
      <c r="DE8" s="18" t="n">
        <v>401</v>
      </c>
      <c r="DF8" s="18" t="n">
        <v>400.7</v>
      </c>
      <c r="DG8" s="18" t="n">
        <v>400.3</v>
      </c>
      <c r="DH8" s="18" t="n">
        <v>400.8</v>
      </c>
      <c r="DI8" s="18" t="n">
        <v>400.4</v>
      </c>
      <c r="DJ8" s="18" t="n">
        <v>397</v>
      </c>
      <c r="DK8" s="18" t="n">
        <v>394</v>
      </c>
      <c r="DL8" s="18"/>
      <c r="DM8" s="18" t="n">
        <v>389</v>
      </c>
      <c r="DN8" s="18" t="n">
        <v>388</v>
      </c>
      <c r="DO8" s="18" t="n">
        <v>401</v>
      </c>
      <c r="DP8" s="18" t="n">
        <v>400.5</v>
      </c>
      <c r="DQ8" s="18" t="n">
        <v>396</v>
      </c>
      <c r="DR8" s="18" t="n">
        <v>391</v>
      </c>
      <c r="DS8" s="18" t="n">
        <v>388</v>
      </c>
      <c r="DT8" s="18" t="n">
        <v>385</v>
      </c>
      <c r="DU8" s="18" t="n">
        <v>385</v>
      </c>
      <c r="DV8" s="18" t="n">
        <v>401</v>
      </c>
      <c r="DW8" s="18" t="n">
        <v>400.5</v>
      </c>
      <c r="DX8" s="18" t="n">
        <v>398</v>
      </c>
      <c r="DY8" s="18" t="n">
        <v>393</v>
      </c>
      <c r="DZ8" s="18" t="n">
        <v>388</v>
      </c>
      <c r="EA8" s="18" t="n">
        <v>385</v>
      </c>
      <c r="EB8" s="18" t="n">
        <v>385</v>
      </c>
      <c r="EC8" s="18" t="n">
        <v>401.5</v>
      </c>
      <c r="ED8" s="18" t="n">
        <v>400.3</v>
      </c>
      <c r="EE8" s="18" t="n">
        <v>402</v>
      </c>
      <c r="EF8" s="18" t="n">
        <v>399</v>
      </c>
      <c r="EG8" s="18" t="n">
        <v>394.3</v>
      </c>
      <c r="EH8" s="18" t="n">
        <v>389</v>
      </c>
      <c r="EI8" s="18" t="n">
        <v>386</v>
      </c>
      <c r="EJ8" s="18" t="n">
        <v>385</v>
      </c>
      <c r="EK8" s="18" t="n">
        <v>403</v>
      </c>
      <c r="EL8" s="18" t="n">
        <v>402</v>
      </c>
      <c r="EM8" s="18" t="n">
        <v>403</v>
      </c>
      <c r="EN8" s="18" t="n">
        <v>402</v>
      </c>
      <c r="EO8" s="18" t="n">
        <v>400</v>
      </c>
      <c r="EP8" s="18" t="n">
        <v>397</v>
      </c>
      <c r="EQ8" s="18" t="n">
        <v>390</v>
      </c>
      <c r="ER8" s="18" t="n">
        <v>385</v>
      </c>
      <c r="ES8" s="18" t="n">
        <v>385</v>
      </c>
      <c r="ET8" s="18" t="n">
        <v>385</v>
      </c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</row>
    <row r="9" customFormat="false" ht="15" hidden="false" customHeight="false" outlineLevel="0" collapsed="false">
      <c r="A9" s="31"/>
      <c r="B9" s="17" t="s">
        <v>139</v>
      </c>
      <c r="C9" s="32" t="s">
        <v>140</v>
      </c>
      <c r="D9" s="35" t="str">
        <f aca="false">IF(Data_Farmer!D13="","",Data_Farmer!D13)</f>
        <v/>
      </c>
      <c r="E9" s="35" t="str">
        <f aca="false">IF(Data_Farmer!E13="","",Data_Farmer!E13)</f>
        <v/>
      </c>
      <c r="F9" s="35" t="str">
        <f aca="false">IF(Data_Farmer!F13="","",Data_Farmer!F13)</f>
        <v/>
      </c>
      <c r="G9" s="35" t="str">
        <f aca="false">IF(Data_Farmer!G13="","",Data_Farmer!G13)</f>
        <v/>
      </c>
      <c r="H9" s="35" t="str">
        <f aca="false">IF(Data_Farmer!H13="","",Data_Farmer!H13)</f>
        <v/>
      </c>
      <c r="I9" s="35" t="str">
        <f aca="false">IF(Data_Farmer!I13="","",Data_Farmer!I13)</f>
        <v/>
      </c>
      <c r="J9" s="35" t="str">
        <f aca="false">IF(Data_Farmer!J13="","",Data_Farmer!J13)</f>
        <v/>
      </c>
      <c r="K9" s="35" t="str">
        <f aca="false">IF(Data_Farmer!K13="","",Data_Farmer!K13)</f>
        <v/>
      </c>
      <c r="L9" s="35" t="str">
        <f aca="false">IF(Data_Farmer!L13="","",Data_Farmer!L13)</f>
        <v/>
      </c>
      <c r="M9" s="35" t="str">
        <f aca="false">IF(Data_Farmer!M13="","",Data_Farmer!M13)</f>
        <v/>
      </c>
      <c r="N9" s="35" t="str">
        <f aca="false">IF(Data_Farmer!N13="","",Data_Farmer!N13)</f>
        <v/>
      </c>
      <c r="O9" s="35" t="str">
        <f aca="false">IF(Data_Farmer!O13="","",Data_Farmer!O13)</f>
        <v/>
      </c>
      <c r="P9" s="35" t="str">
        <f aca="false">IF(Data_Farmer!P13="","",Data_Farmer!P13)</f>
        <v/>
      </c>
      <c r="Q9" s="35" t="str">
        <f aca="false">IF(Data_Farmer!Q13="","",Data_Farmer!Q13)</f>
        <v/>
      </c>
      <c r="R9" s="35" t="str">
        <f aca="false">IF(Data_Farmer!R13="","",Data_Farmer!R13)</f>
        <v/>
      </c>
      <c r="S9" s="35" t="str">
        <f aca="false">IF(Data_Farmer!S13="","",Data_Farmer!S13)</f>
        <v/>
      </c>
      <c r="T9" s="35" t="str">
        <f aca="false">IF(Data_Farmer!T13="","",Data_Farmer!T13)</f>
        <v/>
      </c>
      <c r="U9" s="35" t="str">
        <f aca="false">IF(Data_Farmer!U13="","",Data_Farmer!U13)</f>
        <v/>
      </c>
      <c r="V9" s="35" t="str">
        <f aca="false">IF(Data_Farmer!V13="","",Data_Farmer!V13)</f>
        <v/>
      </c>
      <c r="W9" s="35" t="str">
        <f aca="false">IF(Data_Farmer!W13="","",Data_Farmer!W13)</f>
        <v/>
      </c>
      <c r="X9" s="35" t="str">
        <f aca="false">IF(Data_Farmer!X13="","",Data_Farmer!X13)</f>
        <v/>
      </c>
      <c r="Y9" s="35" t="str">
        <f aca="false">IF(Data_Farmer!Y13="","",Data_Farmer!Y13)</f>
        <v/>
      </c>
      <c r="Z9" s="35" t="str">
        <f aca="false">IF(Data_Farmer!Z13="","",Data_Farmer!Z13)</f>
        <v/>
      </c>
      <c r="AA9" s="35" t="str">
        <f aca="false">IF(Data_Farmer!AA13="","",Data_Farmer!AA13)</f>
        <v/>
      </c>
      <c r="AB9" s="35" t="str">
        <f aca="false">IF(Data_Farmer!AB13="","",Data_Farmer!AB13)</f>
        <v/>
      </c>
      <c r="AC9" s="35" t="str">
        <f aca="false">IF(Data_Farmer!AC13="","",Data_Farmer!AC13)</f>
        <v/>
      </c>
      <c r="AD9" s="35" t="str">
        <f aca="false">IF(Data_Farmer!AD13="","",Data_Farmer!AD13)</f>
        <v/>
      </c>
      <c r="AE9" s="35" t="str">
        <f aca="false">IF(Data_Farmer!AE13="","",Data_Farmer!AE13)</f>
        <v/>
      </c>
      <c r="AF9" s="35" t="str">
        <f aca="false">IF(Data_Farmer!AF13="","",Data_Farmer!AF13)</f>
        <v/>
      </c>
      <c r="AG9" s="35" t="str">
        <f aca="false">IF(Data_Farmer!AG13="","",Data_Farmer!AG13)</f>
        <v/>
      </c>
      <c r="AH9" s="35" t="str">
        <f aca="false">IF(Data_Farmer!AH13="","",Data_Farmer!AH13)</f>
        <v/>
      </c>
      <c r="AI9" s="35" t="str">
        <f aca="false">IF(Data_Farmer!AI13="","",Data_Farmer!AI13)</f>
        <v/>
      </c>
      <c r="AJ9" s="35" t="str">
        <f aca="false">IF(Data_Farmer!AJ13="","",Data_Farmer!AJ13)</f>
        <v/>
      </c>
      <c r="AK9" s="35" t="str">
        <f aca="false">IF(Data_Farmer!AK13="","",Data_Farmer!AK13)</f>
        <v/>
      </c>
      <c r="AL9" s="35" t="str">
        <f aca="false">IF(Data_Farmer!AL13="","",Data_Farmer!AL13)</f>
        <v/>
      </c>
      <c r="AM9" s="35" t="str">
        <f aca="false">IF(Data_Farmer!AM13="","",Data_Farmer!AM13)</f>
        <v/>
      </c>
      <c r="AN9" s="35" t="str">
        <f aca="false">IF(Data_Farmer!AN13="","",Data_Farmer!AN13)</f>
        <v/>
      </c>
      <c r="AO9" s="35" t="str">
        <f aca="false">IF(Data_Farmer!AO13="","",Data_Farmer!AO13)</f>
        <v/>
      </c>
      <c r="AP9" s="35" t="str">
        <f aca="false">IF(Data_Farmer!AP13="","",Data_Farmer!AP13)</f>
        <v/>
      </c>
      <c r="AQ9" s="35" t="str">
        <f aca="false">IF(Data_Farmer!AQ13="","",Data_Farmer!AQ13)</f>
        <v/>
      </c>
      <c r="AR9" s="35" t="str">
        <f aca="false">IF(Data_Farmer!AR13="","",Data_Farmer!AR13)</f>
        <v/>
      </c>
      <c r="AS9" s="35" t="str">
        <f aca="false">IF(Data_Farmer!AS13="","",Data_Farmer!AS13)</f>
        <v/>
      </c>
      <c r="AT9" s="35" t="str">
        <f aca="false">IF(Data_Farmer!AT13="","",Data_Farmer!AT13)</f>
        <v/>
      </c>
      <c r="AU9" s="35" t="str">
        <f aca="false">IF(Data_Farmer!AU13="","",Data_Farmer!AU13)</f>
        <v/>
      </c>
      <c r="AV9" s="35" t="str">
        <f aca="false">IF(Data_Farmer!AV13="","",Data_Farmer!AV13)</f>
        <v/>
      </c>
      <c r="AW9" s="35" t="str">
        <f aca="false">IF(Data_Farmer!AW13="","",Data_Farmer!AW13)</f>
        <v/>
      </c>
      <c r="AX9" s="35" t="str">
        <f aca="false">IF(Data_Farmer!AX13="","",Data_Farmer!AX13)</f>
        <v/>
      </c>
      <c r="AY9" s="35" t="str">
        <f aca="false">IF(Data_Farmer!AY13="","",Data_Farmer!AY13)</f>
        <v/>
      </c>
      <c r="AZ9" s="35" t="str">
        <f aca="false">IF(Data_Farmer!AZ13="","",Data_Farmer!AZ13)</f>
        <v/>
      </c>
      <c r="BA9" s="35" t="str">
        <f aca="false">IF(Data_Farmer!BA13="","",Data_Farmer!BA13)</f>
        <v/>
      </c>
      <c r="BB9" s="35" t="str">
        <f aca="false">IF(Data_Farmer!BB13="","",Data_Farmer!BB13)</f>
        <v/>
      </c>
      <c r="BC9" s="35" t="str">
        <f aca="false">IF(Data_Farmer!BC13="","",Data_Farmer!BC13)</f>
        <v/>
      </c>
      <c r="BD9" s="35" t="n">
        <f aca="false">IF(Data_Farmer!BD13="","",Data_Farmer!BD13)</f>
        <v>1</v>
      </c>
      <c r="BE9" s="35" t="n">
        <f aca="false">IF(Data_Farmer!BE13="","",Data_Farmer!BE13)</f>
        <v>0.9</v>
      </c>
      <c r="BF9" s="35" t="n">
        <f aca="false">IF(Data_Farmer!BF13="","",Data_Farmer!BF13)</f>
        <v>1.5</v>
      </c>
      <c r="BG9" s="35" t="n">
        <f aca="false">IF(Data_Farmer!BG13="","",Data_Farmer!BG13)</f>
        <v>1</v>
      </c>
      <c r="BH9" s="35" t="n">
        <f aca="false">IF(Data_Farmer!BH13="","",Data_Farmer!BH13)</f>
        <v>3.1</v>
      </c>
      <c r="BI9" s="35" t="n">
        <f aca="false">IF(Data_Farmer!BI13="","",Data_Farmer!BI13)</f>
        <v>2.4</v>
      </c>
      <c r="BJ9" s="35" t="n">
        <f aca="false">IF(Data_Farmer!BJ13="","",Data_Farmer!BJ13)</f>
        <v>2.2</v>
      </c>
      <c r="BK9" s="35" t="n">
        <f aca="false">IF(Data_Farmer!BK13="","",Data_Farmer!BK13)</f>
        <v>1.5</v>
      </c>
      <c r="BL9" s="35" t="n">
        <f aca="false">IF(Data_Farmer!BL13="","",Data_Farmer!BL13)</f>
        <v>2.8</v>
      </c>
      <c r="BM9" s="35" t="n">
        <f aca="false">IF(Data_Farmer!BM13="","",Data_Farmer!BM13)</f>
        <v>2.5</v>
      </c>
      <c r="BN9" s="35" t="n">
        <f aca="false">IF(Data_Farmer!BN13="","",Data_Farmer!BN13)</f>
        <v>2.1</v>
      </c>
      <c r="BO9" s="35" t="n">
        <f aca="false">IF(Data_Farmer!BO13="","",Data_Farmer!BO13)</f>
        <v>1.5</v>
      </c>
      <c r="BP9" s="35" t="n">
        <f aca="false">IF(Data_Farmer!BP13="","",Data_Farmer!BP13)</f>
        <v>1.3</v>
      </c>
      <c r="BQ9" s="35" t="n">
        <f aca="false">IF(Data_Farmer!BQ13="","",Data_Farmer!BQ13)</f>
        <v>2.5</v>
      </c>
      <c r="BR9" s="35" t="n">
        <f aca="false">IF(Data_Farmer!BR13="","",Data_Farmer!BR13)</f>
        <v>2.1</v>
      </c>
      <c r="BS9" s="35" t="n">
        <f aca="false">IF(Data_Farmer!BS13="","",Data_Farmer!BS13)</f>
        <v>1.4</v>
      </c>
      <c r="BT9" s="35" t="n">
        <f aca="false">IF(Data_Farmer!BT13="","",Data_Farmer!BT13)</f>
        <v>1.2</v>
      </c>
      <c r="BU9" s="35" t="n">
        <f aca="false">IF(Data_Farmer!BU13="","",Data_Farmer!BU13)</f>
        <v>1</v>
      </c>
      <c r="BV9" s="35" t="n">
        <f aca="false">IF(Data_Farmer!BV13="","",Data_Farmer!BV13)</f>
        <v>0.9</v>
      </c>
      <c r="BW9" s="35" t="n">
        <f aca="false">IF(Data_Farmer!BW13="","",Data_Farmer!BW13)</f>
        <v>0.7</v>
      </c>
      <c r="BX9" s="35" t="n">
        <f aca="false">IF(Data_Farmer!BX13="","",Data_Farmer!BX13)</f>
        <v>2.6</v>
      </c>
      <c r="BY9" s="35" t="n">
        <f aca="false">IF(Data_Farmer!BY13="","",Data_Farmer!BY13)</f>
        <v>2.4</v>
      </c>
      <c r="BZ9" s="35" t="n">
        <f aca="false">IF(Data_Farmer!BZ13="","",Data_Farmer!BZ13)</f>
        <v>1.9</v>
      </c>
      <c r="CA9" s="35" t="str">
        <f aca="false">IF(Data_Farmer!CA13="","",Data_Farmer!CA13)</f>
        <v/>
      </c>
      <c r="CB9" s="35" t="n">
        <f aca="false">IF(Data_Farmer!CB13="","",Data_Farmer!CB13)</f>
        <v>1.1</v>
      </c>
      <c r="CC9" s="35" t="n">
        <f aca="false">IF(Data_Farmer!CC13="","",Data_Farmer!CC13)</f>
        <v>0.5</v>
      </c>
      <c r="CD9" s="35" t="n">
        <f aca="false">IF(Data_Farmer!CD13="","",Data_Farmer!CD13)</f>
        <v>-0.5</v>
      </c>
      <c r="CE9" s="35" t="n">
        <f aca="false">IF(Data_Farmer!CE13="","",Data_Farmer!CE13)</f>
        <v>2</v>
      </c>
      <c r="CF9" s="35" t="n">
        <f aca="false">IF(Data_Farmer!CF13="","",Data_Farmer!CF13)</f>
        <v>1.5</v>
      </c>
      <c r="CG9" s="35" t="n">
        <f aca="false">IF(Data_Farmer!CG13="","",Data_Farmer!CG13)</f>
        <v>1.3</v>
      </c>
      <c r="CH9" s="35" t="n">
        <f aca="false">IF(Data_Farmer!CH13="","",Data_Farmer!CH13)</f>
        <v>0.9</v>
      </c>
      <c r="CI9" s="35" t="n">
        <f aca="false">IF(Data_Farmer!CI13="","",Data_Farmer!CI13)</f>
        <v>3.8</v>
      </c>
      <c r="CJ9" s="35" t="n">
        <f aca="false">IF(Data_Farmer!CJ13="","",Data_Farmer!CJ13)</f>
        <v>3.3</v>
      </c>
      <c r="CK9" s="35" t="n">
        <f aca="false">IF(Data_Farmer!CK13="","",Data_Farmer!CK13)</f>
        <v>1.5</v>
      </c>
      <c r="CL9" s="35" t="n">
        <f aca="false">IF(Data_Farmer!CL13="","",Data_Farmer!CL13)</f>
        <v>0</v>
      </c>
      <c r="CM9" s="35" t="n">
        <f aca="false">IF(Data_Farmer!CM13="","",Data_Farmer!CM13)</f>
        <v>-0.3</v>
      </c>
      <c r="CN9" s="35" t="n">
        <f aca="false">IF(Data_Farmer!CN13="","",Data_Farmer!CN13)</f>
        <v>-1</v>
      </c>
      <c r="CO9" s="35" t="n">
        <f aca="false">IF(Data_Farmer!CO13="","",Data_Farmer!CO13)</f>
        <v>-3</v>
      </c>
      <c r="CP9" s="35" t="n">
        <f aca="false">IF(Data_Farmer!CP13="","",Data_Farmer!CP13)</f>
        <v>-5</v>
      </c>
      <c r="CQ9" s="35" t="n">
        <f aca="false">IF(Data_Farmer!CQ13="","",Data_Farmer!CQ13)</f>
        <v>-8</v>
      </c>
      <c r="CR9" s="35" t="n">
        <f aca="false">IF(Data_Farmer!CR13="","",Data_Farmer!CR13)</f>
        <v>-15</v>
      </c>
      <c r="CS9" s="35" t="n">
        <f aca="false">IF(Data_Farmer!CS13="","",Data_Farmer!CS13)</f>
        <v>-15</v>
      </c>
      <c r="CT9" s="35" t="n">
        <f aca="false">IF(Data_Farmer!CT13="","",Data_Farmer!CT13)</f>
        <v>-15</v>
      </c>
      <c r="CU9" s="35" t="n">
        <f aca="false">IF(Data_Farmer!CU13="","",Data_Farmer!CU13)</f>
        <v>-15</v>
      </c>
      <c r="CV9" s="35" t="n">
        <f aca="false">IF(Data_Farmer!CV13="","",Data_Farmer!CV13)</f>
        <v>-15</v>
      </c>
      <c r="CW9" s="35" t="n">
        <f aca="false">IF(Data_Farmer!CW13="","",Data_Farmer!CW13)</f>
        <v>-15</v>
      </c>
      <c r="CX9" s="35" t="n">
        <f aca="false">IF(Data_Farmer!CX13="","",Data_Farmer!CX13)</f>
        <v>1</v>
      </c>
      <c r="CY9" s="35" t="n">
        <f aca="false">IF(Data_Farmer!CY13="","",Data_Farmer!CY13)</f>
        <v>0.7</v>
      </c>
      <c r="CZ9" s="35" t="n">
        <f aca="false">IF(Data_Farmer!CZ13="","",Data_Farmer!CZ13)</f>
        <v>0.2</v>
      </c>
      <c r="DA9" s="35" t="n">
        <f aca="false">IF(Data_Farmer!DA13="","",Data_Farmer!DA13)</f>
        <v>1.7</v>
      </c>
      <c r="DB9" s="35" t="n">
        <f aca="false">IF(Data_Farmer!DB13="","",Data_Farmer!DB13)</f>
        <v>1</v>
      </c>
      <c r="DC9" s="35" t="n">
        <f aca="false">IF(Data_Farmer!DC13="","",Data_Farmer!DC13)</f>
        <v>0.5</v>
      </c>
      <c r="DD9" s="35" t="n">
        <f aca="false">IF(Data_Farmer!DD13="","",Data_Farmer!DD13)</f>
        <v>2.5</v>
      </c>
      <c r="DE9" s="35" t="n">
        <f aca="false">IF(Data_Farmer!DE13="","",Data_Farmer!DE13)</f>
        <v>2</v>
      </c>
      <c r="DF9" s="35" t="n">
        <f aca="false">IF(Data_Farmer!DF13="","",Data_Farmer!DF13)</f>
        <v>1.5</v>
      </c>
      <c r="DG9" s="35" t="n">
        <f aca="false">IF(Data_Farmer!DG13="","",Data_Farmer!DG13)</f>
        <v>1</v>
      </c>
      <c r="DH9" s="35" t="n">
        <f aca="false">IF(Data_Farmer!DH13="","",Data_Farmer!DH13)</f>
        <v>0.7</v>
      </c>
      <c r="DI9" s="35" t="n">
        <f aca="false">IF(Data_Farmer!DI13="","",Data_Farmer!DI13)</f>
        <v>0.1</v>
      </c>
      <c r="DJ9" s="35" t="n">
        <f aca="false">IF(Data_Farmer!DJ13="","",Data_Farmer!DJ13)</f>
        <v>0</v>
      </c>
      <c r="DK9" s="35" t="n">
        <f aca="false">IF(Data_Farmer!DK13="","",Data_Farmer!DK13)</f>
        <v>1</v>
      </c>
      <c r="DL9" s="35" t="str">
        <f aca="false">IF(Data_Farmer!DL13="","",Data_Farmer!DL13)</f>
        <v/>
      </c>
      <c r="DM9" s="35" t="n">
        <f aca="false">IF(Data_Farmer!DM13="","",Data_Farmer!DM13)</f>
        <v>0.2</v>
      </c>
      <c r="DN9" s="35" t="n">
        <f aca="false">IF(Data_Farmer!DN13="","",Data_Farmer!DN13)</f>
        <v>0.9</v>
      </c>
      <c r="DO9" s="35" t="n">
        <f aca="false">IF(Data_Farmer!DO13="","",Data_Farmer!DO13)</f>
        <v>0</v>
      </c>
      <c r="DP9" s="35" t="n">
        <f aca="false">IF(Data_Farmer!DP13="","",Data_Farmer!DP13)</f>
        <v>1</v>
      </c>
      <c r="DQ9" s="35" t="n">
        <f aca="false">IF(Data_Farmer!DQ13="","",Data_Farmer!DQ13)</f>
        <v>0.7</v>
      </c>
      <c r="DR9" s="35" t="n">
        <f aca="false">IF(Data_Farmer!DR13="","",Data_Farmer!DR13)</f>
        <v>0.3</v>
      </c>
      <c r="DS9" s="35" t="n">
        <f aca="false">IF(Data_Farmer!DS13="","",Data_Farmer!DS13)</f>
        <v>0.5</v>
      </c>
      <c r="DT9" s="35" t="n">
        <f aca="false">IF(Data_Farmer!DT13="","",Data_Farmer!DT13)</f>
        <v>0</v>
      </c>
      <c r="DU9" s="35" t="n">
        <f aca="false">IF(Data_Farmer!DU13="","",Data_Farmer!DU13)</f>
        <v>1</v>
      </c>
      <c r="DV9" s="35" t="n">
        <f aca="false">IF(Data_Farmer!DV13="","",Data_Farmer!DV13)</f>
        <v>0.7</v>
      </c>
      <c r="DW9" s="35" t="n">
        <f aca="false">IF(Data_Farmer!DW13="","",Data_Farmer!DW13)</f>
        <v>0.5</v>
      </c>
      <c r="DX9" s="35" t="n">
        <f aca="false">IF(Data_Farmer!DX13="","",Data_Farmer!DX13)</f>
        <v>1</v>
      </c>
      <c r="DY9" s="35" t="n">
        <f aca="false">IF(Data_Farmer!DY13="","",Data_Farmer!DY13)</f>
        <v>0.7</v>
      </c>
      <c r="DZ9" s="35" t="n">
        <f aca="false">IF(Data_Farmer!DZ13="","",Data_Farmer!DZ13)</f>
        <v>0.5</v>
      </c>
      <c r="EA9" s="35" t="n">
        <f aca="false">IF(Data_Farmer!EA13="","",Data_Farmer!EA13)</f>
        <v>0.1</v>
      </c>
      <c r="EB9" s="35" t="n">
        <f aca="false">IF(Data_Farmer!EB13="","",Data_Farmer!EB13)</f>
        <v>1.5</v>
      </c>
      <c r="EC9" s="35" t="n">
        <f aca="false">IF(Data_Farmer!EC13="","",Data_Farmer!EC13)</f>
        <v>1</v>
      </c>
      <c r="ED9" s="35" t="n">
        <f aca="false">IF(Data_Farmer!ED13="","",Data_Farmer!ED13)</f>
        <v>0.7</v>
      </c>
      <c r="EE9" s="35" t="n">
        <f aca="false">IF(Data_Farmer!EE13="","",Data_Farmer!EE13)</f>
        <v>2</v>
      </c>
      <c r="EF9" s="35" t="n">
        <f aca="false">IF(Data_Farmer!EF13="","",Data_Farmer!EF13)</f>
        <v>1.7</v>
      </c>
      <c r="EG9" s="35" t="n">
        <f aca="false">IF(Data_Farmer!EG13="","",Data_Farmer!EG13)</f>
        <v>1</v>
      </c>
      <c r="EH9" s="35" t="n">
        <f aca="false">IF(Data_Farmer!EH13="","",Data_Farmer!EH13)</f>
        <v>0.6</v>
      </c>
      <c r="EI9" s="35" t="n">
        <f aca="false">IF(Data_Farmer!EI13="","",Data_Farmer!EI13)</f>
        <v>1.5</v>
      </c>
      <c r="EJ9" s="35" t="n">
        <f aca="false">IF(Data_Farmer!EJ13="","",Data_Farmer!EJ13)</f>
        <v>1</v>
      </c>
      <c r="EK9" s="35" t="n">
        <f aca="false">IF(Data_Farmer!EK13="","",Data_Farmer!EK13)</f>
        <v>2.5</v>
      </c>
      <c r="EL9" s="35" t="n">
        <f aca="false">IF(Data_Farmer!EL13="","",Data_Farmer!EL13)</f>
        <v>1.5</v>
      </c>
      <c r="EM9" s="35" t="n">
        <f aca="false">IF(Data_Farmer!EM13="","",Data_Farmer!EM13)</f>
        <v>2.5</v>
      </c>
      <c r="EN9" s="35" t="n">
        <f aca="false">IF(Data_Farmer!EN13="","",Data_Farmer!EN13)</f>
        <v>2</v>
      </c>
      <c r="EO9" s="35" t="n">
        <f aca="false">IF(Data_Farmer!EO13="","",Data_Farmer!EO13)</f>
        <v>1.5</v>
      </c>
      <c r="EP9" s="35" t="n">
        <f aca="false">IF(Data_Farmer!EP13="","",Data_Farmer!EP13)</f>
        <v>0.5</v>
      </c>
      <c r="EQ9" s="35" t="n">
        <f aca="false">IF(Data_Farmer!EQ13="","",Data_Farmer!EQ13)</f>
        <v>1.5</v>
      </c>
      <c r="ER9" s="35" t="n">
        <f aca="false">IF(Data_Farmer!ER13="","",Data_Farmer!ER13)</f>
        <v>0</v>
      </c>
      <c r="ES9" s="35" t="n">
        <f aca="false">IF(Data_Farmer!ES13="","",Data_Farmer!ES13)</f>
        <v>-6.5</v>
      </c>
      <c r="ET9" s="35" t="n">
        <f aca="false">IF(Data_Farmer!ET13="","",Data_Farmer!ET13)</f>
        <v>-15</v>
      </c>
      <c r="EU9" s="35" t="str">
        <f aca="false">IF(Data_Farmer!EU13="","",Data_Farmer!EU13)</f>
        <v/>
      </c>
      <c r="EV9" s="35" t="str">
        <f aca="false">IF(Data_Farmer!EV13="","",Data_Farmer!EV13)</f>
        <v/>
      </c>
      <c r="EW9" s="35" t="str">
        <f aca="false">IF(Data_Farmer!EW13="","",Data_Farmer!EW13)</f>
        <v/>
      </c>
      <c r="EX9" s="35" t="str">
        <f aca="false">IF(Data_Farmer!EX13="","",Data_Farmer!EX13)</f>
        <v/>
      </c>
      <c r="EY9" s="35" t="str">
        <f aca="false">IF(Data_Farmer!EY13="","",Data_Farmer!EY13)</f>
        <v/>
      </c>
      <c r="EZ9" s="35" t="str">
        <f aca="false">IF(Data_Farmer!EZ13="","",Data_Farmer!EZ13)</f>
        <v/>
      </c>
      <c r="FA9" s="35" t="str">
        <f aca="false">IF(Data_Farmer!FA13="","",Data_Farmer!FA13)</f>
        <v/>
      </c>
      <c r="FB9" s="35" t="str">
        <f aca="false">IF(Data_Farmer!FB13="","",Data_Farmer!FB13)</f>
        <v/>
      </c>
      <c r="FC9" s="35" t="str">
        <f aca="false">IF(Data_Farmer!FC13="","",Data_Farmer!FC13)</f>
        <v/>
      </c>
      <c r="FD9" s="35" t="str">
        <f aca="false">IF(Data_Farmer!FD13="","",Data_Farmer!FD13)</f>
        <v/>
      </c>
      <c r="FE9" s="35" t="str">
        <f aca="false">IF(Data_Farmer!FE13="","",Data_Farmer!FE13)</f>
        <v/>
      </c>
      <c r="FF9" s="35" t="str">
        <f aca="false">IF(Data_Farmer!FF13="","",Data_Farmer!FF13)</f>
        <v/>
      </c>
      <c r="FG9" s="35" t="str">
        <f aca="false">IF(Data_Farmer!FG13="","",Data_Farmer!FG13)</f>
        <v/>
      </c>
      <c r="FH9" s="35" t="str">
        <f aca="false">IF(Data_Farmer!FH13="","",Data_Farmer!FH13)</f>
        <v/>
      </c>
      <c r="FI9" s="35" t="str">
        <f aca="false">IF(Data_Farmer!FI13="","",Data_Farmer!FI13)</f>
        <v/>
      </c>
      <c r="FJ9" s="35" t="str">
        <f aca="false">IF(Data_Farmer!FJ13="","",Data_Farmer!FJ13)</f>
        <v/>
      </c>
      <c r="FK9" s="35" t="str">
        <f aca="false">IF(Data_Farmer!FK13="","",Data_Farmer!FK13)</f>
        <v/>
      </c>
      <c r="FL9" s="35" t="str">
        <f aca="false">IF(Data_Farmer!FL13="","",Data_Farmer!FL13)</f>
        <v/>
      </c>
      <c r="FM9" s="35" t="str">
        <f aca="false">IF(Data_Farmer!FM13="","",Data_Farmer!FM13)</f>
        <v/>
      </c>
      <c r="FN9" s="35" t="str">
        <f aca="false">IF(Data_Farmer!FN13="","",Data_Farmer!FN13)</f>
        <v/>
      </c>
      <c r="FO9" s="35" t="str">
        <f aca="false">IF(Data_Farmer!FO13="","",Data_Farmer!FO13)</f>
        <v/>
      </c>
      <c r="FP9" s="35" t="str">
        <f aca="false">IF(Data_Farmer!FP13="","",Data_Farmer!FP13)</f>
        <v/>
      </c>
      <c r="FQ9" s="35" t="str">
        <f aca="false">IF(Data_Farmer!FQ13="","",Data_Farmer!FQ13)</f>
        <v/>
      </c>
    </row>
    <row r="10" customFormat="false" ht="15" hidden="false" customHeight="false" outlineLevel="0" collapsed="false">
      <c r="A10" s="33"/>
      <c r="B10" s="20" t="s">
        <v>141</v>
      </c>
      <c r="C10" s="34" t="s">
        <v>140</v>
      </c>
      <c r="D10" s="35" t="str">
        <f aca="false">IF(Data_Farmer!D38="","",Data_Farmer!D38)</f>
        <v/>
      </c>
      <c r="E10" s="35" t="str">
        <f aca="false">IF(Data_Farmer!E38="","",Data_Farmer!E38)</f>
        <v/>
      </c>
      <c r="F10" s="35" t="str">
        <f aca="false">IF(Data_Farmer!F38="","",Data_Farmer!F38)</f>
        <v/>
      </c>
      <c r="G10" s="35" t="str">
        <f aca="false">IF(Data_Farmer!G38="","",Data_Farmer!G38)</f>
        <v/>
      </c>
      <c r="H10" s="35" t="str">
        <f aca="false">IF(Data_Farmer!H38="","",Data_Farmer!H38)</f>
        <v/>
      </c>
      <c r="I10" s="35" t="str">
        <f aca="false">IF(Data_Farmer!I38="","",Data_Farmer!I38)</f>
        <v/>
      </c>
      <c r="J10" s="35" t="str">
        <f aca="false">IF(Data_Farmer!J38="","",Data_Farmer!J38)</f>
        <v/>
      </c>
      <c r="K10" s="35" t="str">
        <f aca="false">IF(Data_Farmer!K38="","",Data_Farmer!K38)</f>
        <v/>
      </c>
      <c r="L10" s="35" t="str">
        <f aca="false">IF(Data_Farmer!L38="","",Data_Farmer!L38)</f>
        <v/>
      </c>
      <c r="M10" s="35" t="str">
        <f aca="false">IF(Data_Farmer!M38="","",Data_Farmer!M38)</f>
        <v/>
      </c>
      <c r="N10" s="35" t="str">
        <f aca="false">IF(Data_Farmer!N38="","",Data_Farmer!N38)</f>
        <v/>
      </c>
      <c r="O10" s="35" t="str">
        <f aca="false">IF(Data_Farmer!O38="","",Data_Farmer!O38)</f>
        <v/>
      </c>
      <c r="P10" s="35" t="str">
        <f aca="false">IF(Data_Farmer!P38="","",Data_Farmer!P38)</f>
        <v/>
      </c>
      <c r="Q10" s="35" t="str">
        <f aca="false">IF(Data_Farmer!Q38="","",Data_Farmer!Q38)</f>
        <v/>
      </c>
      <c r="R10" s="35" t="str">
        <f aca="false">IF(Data_Farmer!R38="","",Data_Farmer!R38)</f>
        <v/>
      </c>
      <c r="S10" s="35" t="str">
        <f aca="false">IF(Data_Farmer!S38="","",Data_Farmer!S38)</f>
        <v/>
      </c>
      <c r="T10" s="35" t="str">
        <f aca="false">IF(Data_Farmer!T38="","",Data_Farmer!T38)</f>
        <v/>
      </c>
      <c r="U10" s="35" t="str">
        <f aca="false">IF(Data_Farmer!U38="","",Data_Farmer!U38)</f>
        <v/>
      </c>
      <c r="V10" s="35" t="str">
        <f aca="false">IF(Data_Farmer!V38="","",Data_Farmer!V38)</f>
        <v/>
      </c>
      <c r="W10" s="35" t="str">
        <f aca="false">IF(Data_Farmer!W38="","",Data_Farmer!W38)</f>
        <v/>
      </c>
      <c r="X10" s="35" t="str">
        <f aca="false">IF(Data_Farmer!X38="","",Data_Farmer!X38)</f>
        <v/>
      </c>
      <c r="Y10" s="35" t="str">
        <f aca="false">IF(Data_Farmer!Y38="","",Data_Farmer!Y38)</f>
        <v/>
      </c>
      <c r="Z10" s="35" t="str">
        <f aca="false">IF(Data_Farmer!Z38="","",Data_Farmer!Z38)</f>
        <v/>
      </c>
      <c r="AA10" s="35" t="str">
        <f aca="false">IF(Data_Farmer!AA38="","",Data_Farmer!AA38)</f>
        <v/>
      </c>
      <c r="AB10" s="35" t="str">
        <f aca="false">IF(Data_Farmer!AB38="","",Data_Farmer!AB38)</f>
        <v/>
      </c>
      <c r="AC10" s="35" t="str">
        <f aca="false">IF(Data_Farmer!AC38="","",Data_Farmer!AC38)</f>
        <v/>
      </c>
      <c r="AD10" s="35" t="str">
        <f aca="false">IF(Data_Farmer!AD38="","",Data_Farmer!AD38)</f>
        <v/>
      </c>
      <c r="AE10" s="35" t="str">
        <f aca="false">IF(Data_Farmer!AE38="","",Data_Farmer!AE38)</f>
        <v/>
      </c>
      <c r="AF10" s="35" t="str">
        <f aca="false">IF(Data_Farmer!AF38="","",Data_Farmer!AF38)</f>
        <v/>
      </c>
      <c r="AG10" s="35" t="str">
        <f aca="false">IF(Data_Farmer!AG38="","",Data_Farmer!AG38)</f>
        <v/>
      </c>
      <c r="AH10" s="35" t="str">
        <f aca="false">IF(Data_Farmer!AH38="","",Data_Farmer!AH38)</f>
        <v/>
      </c>
      <c r="AI10" s="35" t="str">
        <f aca="false">IF(Data_Farmer!AI38="","",Data_Farmer!AI38)</f>
        <v/>
      </c>
      <c r="AJ10" s="35" t="str">
        <f aca="false">IF(Data_Farmer!AJ38="","",Data_Farmer!AJ38)</f>
        <v/>
      </c>
      <c r="AK10" s="35" t="str">
        <f aca="false">IF(Data_Farmer!AK38="","",Data_Farmer!AK38)</f>
        <v/>
      </c>
      <c r="AL10" s="35" t="str">
        <f aca="false">IF(Data_Farmer!AL38="","",Data_Farmer!AL38)</f>
        <v/>
      </c>
      <c r="AM10" s="35" t="str">
        <f aca="false">IF(Data_Farmer!AM38="","",Data_Farmer!AM38)</f>
        <v/>
      </c>
      <c r="AN10" s="35" t="str">
        <f aca="false">IF(Data_Farmer!AN38="","",Data_Farmer!AN38)</f>
        <v/>
      </c>
      <c r="AO10" s="35" t="str">
        <f aca="false">IF(Data_Farmer!AO38="","",Data_Farmer!AO38)</f>
        <v/>
      </c>
      <c r="AP10" s="35" t="str">
        <f aca="false">IF(Data_Farmer!AP38="","",Data_Farmer!AP38)</f>
        <v/>
      </c>
      <c r="AQ10" s="35" t="str">
        <f aca="false">IF(Data_Farmer!AQ38="","",Data_Farmer!AQ38)</f>
        <v/>
      </c>
      <c r="AR10" s="35" t="str">
        <f aca="false">IF(Data_Farmer!AR38="","",Data_Farmer!AR38)</f>
        <v/>
      </c>
      <c r="AS10" s="35" t="str">
        <f aca="false">IF(Data_Farmer!AS38="","",Data_Farmer!AS38)</f>
        <v/>
      </c>
      <c r="AT10" s="35" t="str">
        <f aca="false">IF(Data_Farmer!AT38="","",Data_Farmer!AT38)</f>
        <v/>
      </c>
      <c r="AU10" s="35" t="str">
        <f aca="false">IF(Data_Farmer!AU38="","",Data_Farmer!AU38)</f>
        <v/>
      </c>
      <c r="AV10" s="35" t="str">
        <f aca="false">IF(Data_Farmer!AV38="","",Data_Farmer!AV38)</f>
        <v/>
      </c>
      <c r="AW10" s="35" t="str">
        <f aca="false">IF(Data_Farmer!AW38="","",Data_Farmer!AW38)</f>
        <v/>
      </c>
      <c r="AX10" s="35" t="str">
        <f aca="false">IF(Data_Farmer!AX38="","",Data_Farmer!AX38)</f>
        <v/>
      </c>
      <c r="AY10" s="35" t="str">
        <f aca="false">IF(Data_Farmer!AY38="","",Data_Farmer!AY38)</f>
        <v/>
      </c>
      <c r="AZ10" s="35" t="str">
        <f aca="false">IF(Data_Farmer!AZ38="","",Data_Farmer!AZ38)</f>
        <v/>
      </c>
      <c r="BA10" s="35" t="str">
        <f aca="false">IF(Data_Farmer!BA38="","",Data_Farmer!BA38)</f>
        <v/>
      </c>
      <c r="BB10" s="35" t="str">
        <f aca="false">IF(Data_Farmer!BB38="","",Data_Farmer!BB38)</f>
        <v/>
      </c>
      <c r="BC10" s="35" t="str">
        <f aca="false">IF(Data_Farmer!BC38="","",Data_Farmer!BC38)</f>
        <v/>
      </c>
      <c r="BD10" s="35" t="n">
        <f aca="false">IF(Data_Farmer!BD38="","",Data_Farmer!BD38)</f>
        <v>1.3</v>
      </c>
      <c r="BE10" s="35" t="n">
        <f aca="false">IF(Data_Farmer!BE38="","",Data_Farmer!BE38)</f>
        <v>1</v>
      </c>
      <c r="BF10" s="35" t="n">
        <f aca="false">IF(Data_Farmer!BF38="","",Data_Farmer!BF38)</f>
        <v>1.3</v>
      </c>
      <c r="BG10" s="35" t="n">
        <f aca="false">IF(Data_Farmer!BG38="","",Data_Farmer!BG38)</f>
        <v>1</v>
      </c>
      <c r="BH10" s="35" t="n">
        <f aca="false">IF(Data_Farmer!BH38="","",Data_Farmer!BH38)</f>
        <v>3.2</v>
      </c>
      <c r="BI10" s="35" t="n">
        <f aca="false">IF(Data_Farmer!BI38="","",Data_Farmer!BI38)</f>
        <v>2.3</v>
      </c>
      <c r="BJ10" s="35" t="n">
        <f aca="false">IF(Data_Farmer!BJ38="","",Data_Farmer!BJ38)</f>
        <v>2.1</v>
      </c>
      <c r="BK10" s="35" t="n">
        <f aca="false">IF(Data_Farmer!BK38="","",Data_Farmer!BK38)</f>
        <v>1.5</v>
      </c>
      <c r="BL10" s="35" t="n">
        <f aca="false">IF(Data_Farmer!BL38="","",Data_Farmer!BL38)</f>
        <v>3</v>
      </c>
      <c r="BM10" s="35" t="n">
        <f aca="false">IF(Data_Farmer!BM38="","",Data_Farmer!BM38)</f>
        <v>2.5</v>
      </c>
      <c r="BN10" s="35" t="n">
        <f aca="false">IF(Data_Farmer!BN38="","",Data_Farmer!BN38)</f>
        <v>2</v>
      </c>
      <c r="BO10" s="35" t="n">
        <f aca="false">IF(Data_Farmer!BO38="","",Data_Farmer!BO38)</f>
        <v>1.5</v>
      </c>
      <c r="BP10" s="35" t="n">
        <f aca="false">IF(Data_Farmer!BP38="","",Data_Farmer!BP38)</f>
        <v>1.3</v>
      </c>
      <c r="BQ10" s="35" t="n">
        <f aca="false">IF(Data_Farmer!BQ38="","",Data_Farmer!BQ38)</f>
        <v>2.5</v>
      </c>
      <c r="BR10" s="35" t="n">
        <f aca="false">IF(Data_Farmer!BR38="","",Data_Farmer!BR38)</f>
        <v>2</v>
      </c>
      <c r="BS10" s="35" t="n">
        <f aca="false">IF(Data_Farmer!BS38="","",Data_Farmer!BS38)</f>
        <v>1.5</v>
      </c>
      <c r="BT10" s="35" t="n">
        <f aca="false">IF(Data_Farmer!BT38="","",Data_Farmer!BT38)</f>
        <v>1.3</v>
      </c>
      <c r="BU10" s="35" t="n">
        <f aca="false">IF(Data_Farmer!BU38="","",Data_Farmer!BU38)</f>
        <v>1.1</v>
      </c>
      <c r="BV10" s="35" t="n">
        <f aca="false">IF(Data_Farmer!BV38="","",Data_Farmer!BV38)</f>
        <v>1</v>
      </c>
      <c r="BW10" s="35" t="n">
        <f aca="false">IF(Data_Farmer!BW38="","",Data_Farmer!BW38)</f>
        <v>0.5</v>
      </c>
      <c r="BX10" s="35" t="n">
        <f aca="false">IF(Data_Farmer!BX38="","",Data_Farmer!BX38)</f>
        <v>2.3</v>
      </c>
      <c r="BY10" s="35" t="n">
        <f aca="false">IF(Data_Farmer!BY38="","",Data_Farmer!BY38)</f>
        <v>2</v>
      </c>
      <c r="BZ10" s="35" t="n">
        <f aca="false">IF(Data_Farmer!BZ38="","",Data_Farmer!BZ38)</f>
        <v>1.5</v>
      </c>
      <c r="CA10" s="35" t="str">
        <f aca="false">IF(Data_Farmer!CA38="","",Data_Farmer!CA38)</f>
        <v/>
      </c>
      <c r="CB10" s="35" t="n">
        <f aca="false">IF(Data_Farmer!CB38="","",Data_Farmer!CB38)</f>
        <v>1</v>
      </c>
      <c r="CC10" s="35" t="n">
        <f aca="false">IF(Data_Farmer!CC38="","",Data_Farmer!CC38)</f>
        <v>-0.2</v>
      </c>
      <c r="CD10" s="35" t="n">
        <f aca="false">IF(Data_Farmer!CD38="","",Data_Farmer!CD38)</f>
        <v>-0.7</v>
      </c>
      <c r="CE10" s="35" t="n">
        <f aca="false">IF(Data_Farmer!CE38="","",Data_Farmer!CE38)</f>
        <v>2</v>
      </c>
      <c r="CF10" s="35" t="n">
        <f aca="false">IF(Data_Farmer!CF38="","",Data_Farmer!CF38)</f>
        <v>1.7</v>
      </c>
      <c r="CG10" s="35" t="n">
        <f aca="false">IF(Data_Farmer!CG38="","",Data_Farmer!CG38)</f>
        <v>1.5</v>
      </c>
      <c r="CH10" s="35" t="n">
        <f aca="false">IF(Data_Farmer!CH38="","",Data_Farmer!CH38)</f>
        <v>1</v>
      </c>
      <c r="CI10" s="35" t="n">
        <f aca="false">IF(Data_Farmer!CI38="","",Data_Farmer!CI38)</f>
        <v>3.8</v>
      </c>
      <c r="CJ10" s="35" t="n">
        <f aca="false">IF(Data_Farmer!CJ38="","",Data_Farmer!CJ38)</f>
        <v>3.2</v>
      </c>
      <c r="CK10" s="35" t="n">
        <f aca="false">IF(Data_Farmer!CK38="","",Data_Farmer!CK38)</f>
        <v>1.5</v>
      </c>
      <c r="CL10" s="35" t="n">
        <f aca="false">IF(Data_Farmer!CL38="","",Data_Farmer!CL38)</f>
        <v>0</v>
      </c>
      <c r="CM10" s="35" t="n">
        <f aca="false">IF(Data_Farmer!CM38="","",Data_Farmer!CM38)</f>
        <v>-0.3</v>
      </c>
      <c r="CN10" s="35" t="n">
        <f aca="false">IF(Data_Farmer!CN38="","",Data_Farmer!CN38)</f>
        <v>-1</v>
      </c>
      <c r="CO10" s="35" t="n">
        <f aca="false">IF(Data_Farmer!CO38="","",Data_Farmer!CO38)</f>
        <v>-5</v>
      </c>
      <c r="CP10" s="35" t="n">
        <f aca="false">IF(Data_Farmer!CP38="","",Data_Farmer!CP38)</f>
        <v>-8</v>
      </c>
      <c r="CQ10" s="35" t="n">
        <f aca="false">IF(Data_Farmer!CQ38="","",Data_Farmer!CQ38)</f>
        <v>-15</v>
      </c>
      <c r="CR10" s="35" t="n">
        <f aca="false">IF(Data_Farmer!CR38="","",Data_Farmer!CR38)</f>
        <v>-15</v>
      </c>
      <c r="CS10" s="35" t="n">
        <f aca="false">IF(Data_Farmer!CS38="","",Data_Farmer!CS38)</f>
        <v>-15</v>
      </c>
      <c r="CT10" s="35" t="n">
        <f aca="false">IF(Data_Farmer!CT38="","",Data_Farmer!CT38)</f>
        <v>-15</v>
      </c>
      <c r="CU10" s="35" t="n">
        <f aca="false">IF(Data_Farmer!CU38="","",Data_Farmer!CU38)</f>
        <v>-15</v>
      </c>
      <c r="CV10" s="35" t="n">
        <f aca="false">IF(Data_Farmer!CV38="","",Data_Farmer!CV38)</f>
        <v>-15</v>
      </c>
      <c r="CW10" s="35" t="n">
        <f aca="false">IF(Data_Farmer!CW38="","",Data_Farmer!CW38)</f>
        <v>-15</v>
      </c>
      <c r="CX10" s="35" t="n">
        <f aca="false">IF(Data_Farmer!CX38="","",Data_Farmer!CX38)</f>
        <v>1</v>
      </c>
      <c r="CY10" s="35" t="n">
        <f aca="false">IF(Data_Farmer!CY38="","",Data_Farmer!CY38)</f>
        <v>0.7</v>
      </c>
      <c r="CZ10" s="35" t="n">
        <f aca="false">IF(Data_Farmer!CZ38="","",Data_Farmer!CZ38)</f>
        <v>0.2</v>
      </c>
      <c r="DA10" s="35" t="n">
        <f aca="false">IF(Data_Farmer!DA38="","",Data_Farmer!DA38)</f>
        <v>1.7</v>
      </c>
      <c r="DB10" s="35" t="n">
        <f aca="false">IF(Data_Farmer!DB38="","",Data_Farmer!DB38)</f>
        <v>1</v>
      </c>
      <c r="DC10" s="35" t="n">
        <f aca="false">IF(Data_Farmer!DC38="","",Data_Farmer!DC38)</f>
        <v>0.5</v>
      </c>
      <c r="DD10" s="35" t="n">
        <f aca="false">IF(Data_Farmer!DD38="","",Data_Farmer!DD38)</f>
        <v>1.6</v>
      </c>
      <c r="DE10" s="35" t="n">
        <f aca="false">IF(Data_Farmer!DE38="","",Data_Farmer!DE38)</f>
        <v>1</v>
      </c>
      <c r="DF10" s="35" t="n">
        <f aca="false">IF(Data_Farmer!DF38="","",Data_Farmer!DF38)</f>
        <v>0.7</v>
      </c>
      <c r="DG10" s="35" t="n">
        <f aca="false">IF(Data_Farmer!DG38="","",Data_Farmer!DG38)</f>
        <v>0.3</v>
      </c>
      <c r="DH10" s="35" t="n">
        <f aca="false">IF(Data_Farmer!DH38="","",Data_Farmer!DH38)</f>
        <v>0.8</v>
      </c>
      <c r="DI10" s="35" t="n">
        <f aca="false">IF(Data_Farmer!DI38="","",Data_Farmer!DI38)</f>
        <v>0.4</v>
      </c>
      <c r="DJ10" s="35" t="n">
        <f aca="false">IF(Data_Farmer!DJ38="","",Data_Farmer!DJ38)</f>
        <v>-3</v>
      </c>
      <c r="DK10" s="35" t="n">
        <f aca="false">IF(Data_Farmer!DK38="","",Data_Farmer!DK38)</f>
        <v>-6</v>
      </c>
      <c r="DL10" s="35" t="str">
        <f aca="false">IF(Data_Farmer!DL38="","",Data_Farmer!DL38)</f>
        <v/>
      </c>
      <c r="DM10" s="35" t="n">
        <f aca="false">IF(Data_Farmer!DM38="","",Data_Farmer!DM38)</f>
        <v>-11</v>
      </c>
      <c r="DN10" s="35" t="n">
        <f aca="false">IF(Data_Farmer!DN38="","",Data_Farmer!DN38)</f>
        <v>-12</v>
      </c>
      <c r="DO10" s="35" t="n">
        <f aca="false">IF(Data_Farmer!DO38="","",Data_Farmer!DO38)</f>
        <v>1</v>
      </c>
      <c r="DP10" s="35" t="n">
        <f aca="false">IF(Data_Farmer!DP38="","",Data_Farmer!DP38)</f>
        <v>0.5</v>
      </c>
      <c r="DQ10" s="35" t="n">
        <f aca="false">IF(Data_Farmer!DQ38="","",Data_Farmer!DQ38)</f>
        <v>-4</v>
      </c>
      <c r="DR10" s="35" t="n">
        <f aca="false">IF(Data_Farmer!DR38="","",Data_Farmer!DR38)</f>
        <v>-9</v>
      </c>
      <c r="DS10" s="35" t="n">
        <f aca="false">IF(Data_Farmer!DS38="","",Data_Farmer!DS38)</f>
        <v>-12</v>
      </c>
      <c r="DT10" s="35" t="n">
        <f aca="false">IF(Data_Farmer!DT38="","",Data_Farmer!DT38)</f>
        <v>-15</v>
      </c>
      <c r="DU10" s="35" t="n">
        <f aca="false">IF(Data_Farmer!DU38="","",Data_Farmer!DU38)</f>
        <v>-15</v>
      </c>
      <c r="DV10" s="35" t="n">
        <f aca="false">IF(Data_Farmer!DV38="","",Data_Farmer!DV38)</f>
        <v>1</v>
      </c>
      <c r="DW10" s="35" t="n">
        <f aca="false">IF(Data_Farmer!DW38="","",Data_Farmer!DW38)</f>
        <v>0.5</v>
      </c>
      <c r="DX10" s="35" t="n">
        <f aca="false">IF(Data_Farmer!DX38="","",Data_Farmer!DX38)</f>
        <v>-2</v>
      </c>
      <c r="DY10" s="35" t="n">
        <f aca="false">IF(Data_Farmer!DY38="","",Data_Farmer!DY38)</f>
        <v>-7</v>
      </c>
      <c r="DZ10" s="35" t="n">
        <f aca="false">IF(Data_Farmer!DZ38="","",Data_Farmer!DZ38)</f>
        <v>-12</v>
      </c>
      <c r="EA10" s="35" t="n">
        <f aca="false">IF(Data_Farmer!EA38="","",Data_Farmer!EA38)</f>
        <v>-15</v>
      </c>
      <c r="EB10" s="35" t="n">
        <f aca="false">IF(Data_Farmer!EB38="","",Data_Farmer!EB38)</f>
        <v>-15</v>
      </c>
      <c r="EC10" s="35" t="n">
        <f aca="false">IF(Data_Farmer!EC38="","",Data_Farmer!EC38)</f>
        <v>1.5</v>
      </c>
      <c r="ED10" s="35" t="n">
        <f aca="false">IF(Data_Farmer!ED38="","",Data_Farmer!ED38)</f>
        <v>0.3</v>
      </c>
      <c r="EE10" s="35" t="n">
        <f aca="false">IF(Data_Farmer!EE38="","",Data_Farmer!EE38)</f>
        <v>2</v>
      </c>
      <c r="EF10" s="35" t="n">
        <f aca="false">IF(Data_Farmer!EF38="","",Data_Farmer!EF38)</f>
        <v>-1</v>
      </c>
      <c r="EG10" s="35" t="n">
        <f aca="false">IF(Data_Farmer!EG38="","",Data_Farmer!EG38)</f>
        <v>-5.7</v>
      </c>
      <c r="EH10" s="35" t="n">
        <f aca="false">IF(Data_Farmer!EH38="","",Data_Farmer!EH38)</f>
        <v>-11</v>
      </c>
      <c r="EI10" s="35" t="n">
        <f aca="false">IF(Data_Farmer!EI38="","",Data_Farmer!EI38)</f>
        <v>-14</v>
      </c>
      <c r="EJ10" s="35" t="n">
        <f aca="false">IF(Data_Farmer!EJ38="","",Data_Farmer!EJ38)</f>
        <v>-15</v>
      </c>
      <c r="EK10" s="35" t="n">
        <f aca="false">IF(Data_Farmer!EK38="","",Data_Farmer!EK38)</f>
        <v>3</v>
      </c>
      <c r="EL10" s="35" t="n">
        <f aca="false">IF(Data_Farmer!EL38="","",Data_Farmer!EL38)</f>
        <v>2</v>
      </c>
      <c r="EM10" s="35" t="n">
        <f aca="false">IF(Data_Farmer!EM38="","",Data_Farmer!EM38)</f>
        <v>3</v>
      </c>
      <c r="EN10" s="35" t="n">
        <f aca="false">IF(Data_Farmer!EN38="","",Data_Farmer!EN38)</f>
        <v>2</v>
      </c>
      <c r="EO10" s="35" t="n">
        <f aca="false">IF(Data_Farmer!EO38="","",Data_Farmer!EO38)</f>
        <v>0</v>
      </c>
      <c r="EP10" s="35" t="n">
        <f aca="false">IF(Data_Farmer!EP38="","",Data_Farmer!EP38)</f>
        <v>-3</v>
      </c>
      <c r="EQ10" s="35" t="n">
        <f aca="false">IF(Data_Farmer!EQ38="","",Data_Farmer!EQ38)</f>
        <v>-10</v>
      </c>
      <c r="ER10" s="35" t="n">
        <f aca="false">IF(Data_Farmer!ER38="","",Data_Farmer!ER38)</f>
        <v>-15</v>
      </c>
      <c r="ES10" s="35" t="n">
        <f aca="false">IF(Data_Farmer!ES38="","",Data_Farmer!ES38)</f>
        <v>-15</v>
      </c>
      <c r="ET10" s="35" t="n">
        <f aca="false">IF(Data_Farmer!ET38="","",Data_Farmer!ET38)</f>
        <v>-15</v>
      </c>
      <c r="EU10" s="35" t="str">
        <f aca="false">IF(Data_Farmer!EU38="","",Data_Farmer!EU38)</f>
        <v/>
      </c>
      <c r="EV10" s="35" t="str">
        <f aca="false">IF(Data_Farmer!EV38="","",Data_Farmer!EV38)</f>
        <v/>
      </c>
      <c r="EW10" s="35" t="str">
        <f aca="false">IF(Data_Farmer!EW38="","",Data_Farmer!EW38)</f>
        <v/>
      </c>
      <c r="EX10" s="35" t="str">
        <f aca="false">IF(Data_Farmer!EX38="","",Data_Farmer!EX38)</f>
        <v/>
      </c>
      <c r="EY10" s="35" t="str">
        <f aca="false">IF(Data_Farmer!EY38="","",Data_Farmer!EY38)</f>
        <v/>
      </c>
      <c r="EZ10" s="35" t="str">
        <f aca="false">IF(Data_Farmer!EZ38="","",Data_Farmer!EZ38)</f>
        <v/>
      </c>
      <c r="FA10" s="35" t="str">
        <f aca="false">IF(Data_Farmer!FA38="","",Data_Farmer!FA38)</f>
        <v/>
      </c>
      <c r="FB10" s="35" t="str">
        <f aca="false">IF(Data_Farmer!FB38="","",Data_Farmer!FB38)</f>
        <v/>
      </c>
      <c r="FC10" s="35" t="str">
        <f aca="false">IF(Data_Farmer!FC38="","",Data_Farmer!FC38)</f>
        <v/>
      </c>
      <c r="FD10" s="35" t="str">
        <f aca="false">IF(Data_Farmer!FD38="","",Data_Farmer!FD38)</f>
        <v/>
      </c>
      <c r="FE10" s="35" t="str">
        <f aca="false">IF(Data_Farmer!FE38="","",Data_Farmer!FE38)</f>
        <v/>
      </c>
      <c r="FF10" s="35" t="str">
        <f aca="false">IF(Data_Farmer!FF38="","",Data_Farmer!FF38)</f>
        <v/>
      </c>
      <c r="FG10" s="35" t="str">
        <f aca="false">IF(Data_Farmer!FG38="","",Data_Farmer!FG38)</f>
        <v/>
      </c>
      <c r="FH10" s="35" t="str">
        <f aca="false">IF(Data_Farmer!FH38="","",Data_Farmer!FH38)</f>
        <v/>
      </c>
      <c r="FI10" s="35" t="str">
        <f aca="false">IF(Data_Farmer!FI38="","",Data_Farmer!FI38)</f>
        <v/>
      </c>
      <c r="FJ10" s="35" t="str">
        <f aca="false">IF(Data_Farmer!FJ38="","",Data_Farmer!FJ38)</f>
        <v/>
      </c>
      <c r="FK10" s="35" t="str">
        <f aca="false">IF(Data_Farmer!FK38="","",Data_Farmer!FK38)</f>
        <v/>
      </c>
      <c r="FL10" s="35" t="str">
        <f aca="false">IF(Data_Farmer!FL38="","",Data_Farmer!FL38)</f>
        <v/>
      </c>
      <c r="FM10" s="35" t="str">
        <f aca="false">IF(Data_Farmer!FM38="","",Data_Farmer!FM38)</f>
        <v/>
      </c>
      <c r="FN10" s="35" t="str">
        <f aca="false">IF(Data_Farmer!FN38="","",Data_Farmer!FN38)</f>
        <v/>
      </c>
      <c r="FO10" s="35" t="str">
        <f aca="false">IF(Data_Farmer!FO38="","",Data_Farmer!FO38)</f>
        <v/>
      </c>
      <c r="FP10" s="35" t="str">
        <f aca="false">IF(Data_Farmer!FP38="","",Data_Farmer!FP38)</f>
        <v/>
      </c>
      <c r="FQ10" s="35" t="str">
        <f aca="false">IF(Data_Farmer!FQ38="","",Data_Farmer!FQ38)</f>
        <v/>
      </c>
    </row>
    <row r="11" customFormat="false" ht="15" hidden="false" customHeight="false" outlineLevel="0" collapsed="false">
      <c r="A11" s="31"/>
      <c r="B11" s="17" t="s">
        <v>142</v>
      </c>
      <c r="C11" s="32" t="s">
        <v>143</v>
      </c>
      <c r="D11" s="36" t="str">
        <f aca="false">IF(Data_Farmer!D30="","",Data_Farmer!D30)</f>
        <v/>
      </c>
      <c r="E11" s="36" t="str">
        <f aca="false">IF(Data_Farmer!E30="","",Data_Farmer!E30)</f>
        <v/>
      </c>
      <c r="F11" s="36" t="str">
        <f aca="false">IF(Data_Farmer!F30="","",Data_Farmer!F30)</f>
        <v/>
      </c>
      <c r="G11" s="36" t="str">
        <f aca="false">IF(Data_Farmer!G30="","",Data_Farmer!G30)</f>
        <v/>
      </c>
      <c r="H11" s="36" t="str">
        <f aca="false">IF(Data_Farmer!H30="","",Data_Farmer!H30)</f>
        <v/>
      </c>
      <c r="I11" s="36" t="str">
        <f aca="false">IF(Data_Farmer!I30="","",Data_Farmer!I30)</f>
        <v/>
      </c>
      <c r="J11" s="36" t="str">
        <f aca="false">IF(Data_Farmer!J30="","",Data_Farmer!J30)</f>
        <v/>
      </c>
      <c r="K11" s="36" t="str">
        <f aca="false">IF(Data_Farmer!K30="","",Data_Farmer!K30)</f>
        <v/>
      </c>
      <c r="L11" s="36" t="str">
        <f aca="false">IF(Data_Farmer!L30="","",Data_Farmer!L30)</f>
        <v/>
      </c>
      <c r="M11" s="36" t="str">
        <f aca="false">IF(Data_Farmer!M30="","",Data_Farmer!M30)</f>
        <v/>
      </c>
      <c r="N11" s="36" t="str">
        <f aca="false">IF(Data_Farmer!N30="","",Data_Farmer!N30)</f>
        <v/>
      </c>
      <c r="O11" s="36" t="str">
        <f aca="false">IF(Data_Farmer!O30="","",Data_Farmer!O30)</f>
        <v/>
      </c>
      <c r="P11" s="36" t="str">
        <f aca="false">IF(Data_Farmer!P30="","",Data_Farmer!P30)</f>
        <v/>
      </c>
      <c r="Q11" s="36" t="str">
        <f aca="false">IF(Data_Farmer!Q30="","",Data_Farmer!Q30)</f>
        <v/>
      </c>
      <c r="R11" s="36" t="str">
        <f aca="false">IF(Data_Farmer!R30="","",Data_Farmer!R30)</f>
        <v/>
      </c>
      <c r="S11" s="36" t="str">
        <f aca="false">IF(Data_Farmer!S30="","",Data_Farmer!S30)</f>
        <v/>
      </c>
      <c r="T11" s="36" t="str">
        <f aca="false">IF(Data_Farmer!T30="","",Data_Farmer!T30)</f>
        <v/>
      </c>
      <c r="U11" s="36" t="str">
        <f aca="false">IF(Data_Farmer!U30="","",Data_Farmer!U30)</f>
        <v/>
      </c>
      <c r="V11" s="36" t="str">
        <f aca="false">IF(Data_Farmer!V30="","",Data_Farmer!V30)</f>
        <v/>
      </c>
      <c r="W11" s="36" t="str">
        <f aca="false">IF(Data_Farmer!W30="","",Data_Farmer!W30)</f>
        <v/>
      </c>
      <c r="X11" s="36" t="str">
        <f aca="false">IF(Data_Farmer!X30="","",Data_Farmer!X30)</f>
        <v/>
      </c>
      <c r="Y11" s="36" t="str">
        <f aca="false">IF(Data_Farmer!Y30="","",Data_Farmer!Y30)</f>
        <v/>
      </c>
      <c r="Z11" s="36" t="str">
        <f aca="false">IF(Data_Farmer!Z30="","",Data_Farmer!Z30)</f>
        <v/>
      </c>
      <c r="AA11" s="36" t="str">
        <f aca="false">IF(Data_Farmer!AA30="","",Data_Farmer!AA30)</f>
        <v/>
      </c>
      <c r="AB11" s="36" t="str">
        <f aca="false">IF(Data_Farmer!AB30="","",Data_Farmer!AB30)</f>
        <v/>
      </c>
      <c r="AC11" s="36" t="str">
        <f aca="false">IF(Data_Farmer!AC30="","",Data_Farmer!AC30)</f>
        <v/>
      </c>
      <c r="AD11" s="36" t="str">
        <f aca="false">IF(Data_Farmer!AD30="","",Data_Farmer!AD30)</f>
        <v/>
      </c>
      <c r="AE11" s="36" t="str">
        <f aca="false">IF(Data_Farmer!AE30="","",Data_Farmer!AE30)</f>
        <v/>
      </c>
      <c r="AF11" s="36" t="str">
        <f aca="false">IF(Data_Farmer!AF30="","",Data_Farmer!AF30)</f>
        <v/>
      </c>
      <c r="AG11" s="36" t="str">
        <f aca="false">IF(Data_Farmer!AG30="","",Data_Farmer!AG30)</f>
        <v/>
      </c>
      <c r="AH11" s="36" t="str">
        <f aca="false">IF(Data_Farmer!AH30="","",Data_Farmer!AH30)</f>
        <v/>
      </c>
      <c r="AI11" s="36" t="str">
        <f aca="false">IF(Data_Farmer!AI30="","",Data_Farmer!AI30)</f>
        <v/>
      </c>
      <c r="AJ11" s="36" t="str">
        <f aca="false">IF(Data_Farmer!AJ30="","",Data_Farmer!AJ30)</f>
        <v/>
      </c>
      <c r="AK11" s="36" t="str">
        <f aca="false">IF(Data_Farmer!AK30="","",Data_Farmer!AK30)</f>
        <v/>
      </c>
      <c r="AL11" s="36" t="str">
        <f aca="false">IF(Data_Farmer!AL30="","",Data_Farmer!AL30)</f>
        <v/>
      </c>
      <c r="AM11" s="36" t="str">
        <f aca="false">IF(Data_Farmer!AM30="","",Data_Farmer!AM30)</f>
        <v/>
      </c>
      <c r="AN11" s="36" t="str">
        <f aca="false">IF(Data_Farmer!AN30="","",Data_Farmer!AN30)</f>
        <v/>
      </c>
      <c r="AO11" s="36" t="str">
        <f aca="false">IF(Data_Farmer!AO30="","",Data_Farmer!AO30)</f>
        <v/>
      </c>
      <c r="AP11" s="36" t="str">
        <f aca="false">IF(Data_Farmer!AP30="","",Data_Farmer!AP30)</f>
        <v/>
      </c>
      <c r="AQ11" s="36" t="str">
        <f aca="false">IF(Data_Farmer!AQ30="","",Data_Farmer!AQ30)</f>
        <v/>
      </c>
      <c r="AR11" s="36" t="str">
        <f aca="false">IF(Data_Farmer!AR30="","",Data_Farmer!AR30)</f>
        <v/>
      </c>
      <c r="AS11" s="36" t="str">
        <f aca="false">IF(Data_Farmer!AS30="","",Data_Farmer!AS30)</f>
        <v/>
      </c>
      <c r="AT11" s="36" t="str">
        <f aca="false">IF(Data_Farmer!AT30="","",Data_Farmer!AT30)</f>
        <v/>
      </c>
      <c r="AU11" s="36" t="str">
        <f aca="false">IF(Data_Farmer!AU30="","",Data_Farmer!AU30)</f>
        <v/>
      </c>
      <c r="AV11" s="36" t="str">
        <f aca="false">IF(Data_Farmer!AV30="","",Data_Farmer!AV30)</f>
        <v/>
      </c>
      <c r="AW11" s="36" t="str">
        <f aca="false">IF(Data_Farmer!AW30="","",Data_Farmer!AW30)</f>
        <v/>
      </c>
      <c r="AX11" s="36" t="str">
        <f aca="false">IF(Data_Farmer!AX30="","",Data_Farmer!AX30)</f>
        <v/>
      </c>
      <c r="AY11" s="36" t="str">
        <f aca="false">IF(Data_Farmer!AY30="","",Data_Farmer!AY30)</f>
        <v/>
      </c>
      <c r="AZ11" s="36" t="str">
        <f aca="false">IF(Data_Farmer!AZ30="","",Data_Farmer!AZ30)</f>
        <v/>
      </c>
      <c r="BA11" s="36" t="str">
        <f aca="false">IF(Data_Farmer!BA30="","",Data_Farmer!BA30)</f>
        <v/>
      </c>
      <c r="BB11" s="36" t="str">
        <f aca="false">IF(Data_Farmer!BB30="","",Data_Farmer!BB30)</f>
        <v/>
      </c>
      <c r="BC11" s="36" t="str">
        <f aca="false">IF(Data_Farmer!BC30="","",Data_Farmer!BC30)</f>
        <v/>
      </c>
      <c r="BD11" s="36" t="str">
        <f aca="false">IF(Data_Farmer!BD30="","",Data_Farmer!BD30)</f>
        <v/>
      </c>
      <c r="BE11" s="36" t="str">
        <f aca="false">IF(Data_Farmer!BE30="","",Data_Farmer!BE30)</f>
        <v/>
      </c>
      <c r="BF11" s="36" t="str">
        <f aca="false">IF(Data_Farmer!BF30="","",Data_Farmer!BF30)</f>
        <v/>
      </c>
      <c r="BG11" s="36" t="str">
        <f aca="false">IF(Data_Farmer!BG30="","",Data_Farmer!BG30)</f>
        <v/>
      </c>
      <c r="BH11" s="36" t="str">
        <f aca="false">IF(Data_Farmer!BH30="","",Data_Farmer!BH30)</f>
        <v/>
      </c>
      <c r="BI11" s="36" t="str">
        <f aca="false">IF(Data_Farmer!BI30="","",Data_Farmer!BI30)</f>
        <v/>
      </c>
      <c r="BJ11" s="36" t="str">
        <f aca="false">IF(Data_Farmer!BJ30="","",Data_Farmer!BJ30)</f>
        <v/>
      </c>
      <c r="BK11" s="36" t="str">
        <f aca="false">IF(Data_Farmer!BK30="","",Data_Farmer!BK30)</f>
        <v/>
      </c>
      <c r="BL11" s="36" t="str">
        <f aca="false">IF(Data_Farmer!BL30="","",Data_Farmer!BL30)</f>
        <v/>
      </c>
      <c r="BM11" s="36" t="str">
        <f aca="false">IF(Data_Farmer!BM30="","",Data_Farmer!BM30)</f>
        <v/>
      </c>
      <c r="BN11" s="36" t="str">
        <f aca="false">IF(Data_Farmer!BN30="","",Data_Farmer!BN30)</f>
        <v/>
      </c>
      <c r="BO11" s="36" t="str">
        <f aca="false">IF(Data_Farmer!BO30="","",Data_Farmer!BO30)</f>
        <v/>
      </c>
      <c r="BP11" s="36" t="str">
        <f aca="false">IF(Data_Farmer!BP30="","",Data_Farmer!BP30)</f>
        <v/>
      </c>
      <c r="BQ11" s="36" t="str">
        <f aca="false">IF(Data_Farmer!BQ30="","",Data_Farmer!BQ30)</f>
        <v/>
      </c>
      <c r="BR11" s="36" t="str">
        <f aca="false">IF(Data_Farmer!BR30="","",Data_Farmer!BR30)</f>
        <v/>
      </c>
      <c r="BS11" s="36" t="str">
        <f aca="false">IF(Data_Farmer!BS30="","",Data_Farmer!BS30)</f>
        <v/>
      </c>
      <c r="BT11" s="36" t="str">
        <f aca="false">IF(Data_Farmer!BT30="","",Data_Farmer!BT30)</f>
        <v/>
      </c>
      <c r="BU11" s="36" t="str">
        <f aca="false">IF(Data_Farmer!BU30="","",Data_Farmer!BU30)</f>
        <v/>
      </c>
      <c r="BV11" s="36" t="str">
        <f aca="false">IF(Data_Farmer!BV30="","",Data_Farmer!BV30)</f>
        <v/>
      </c>
      <c r="BW11" s="36" t="str">
        <f aca="false">IF(Data_Farmer!BW30="","",Data_Farmer!BW30)</f>
        <v/>
      </c>
      <c r="BX11" s="36" t="str">
        <f aca="false">IF(Data_Farmer!BX30="","",Data_Farmer!BX30)</f>
        <v/>
      </c>
      <c r="BY11" s="36" t="str">
        <f aca="false">IF(Data_Farmer!BY30="","",Data_Farmer!BY30)</f>
        <v/>
      </c>
      <c r="BZ11" s="36" t="str">
        <f aca="false">IF(Data_Farmer!BZ30="","",Data_Farmer!BZ30)</f>
        <v/>
      </c>
      <c r="CA11" s="36" t="str">
        <f aca="false">IF(Data_Farmer!CA30="","",Data_Farmer!CA30)</f>
        <v/>
      </c>
      <c r="CB11" s="36" t="str">
        <f aca="false">IF(Data_Farmer!CB30="","",Data_Farmer!CB30)</f>
        <v/>
      </c>
      <c r="CC11" s="36" t="str">
        <f aca="false">IF(Data_Farmer!CC30="","",Data_Farmer!CC30)</f>
        <v/>
      </c>
      <c r="CD11" s="36" t="str">
        <f aca="false">IF(Data_Farmer!CD30="","",Data_Farmer!CD30)</f>
        <v/>
      </c>
      <c r="CE11" s="36" t="str">
        <f aca="false">IF(Data_Farmer!CE30="","",Data_Farmer!CE30)</f>
        <v/>
      </c>
      <c r="CF11" s="36" t="str">
        <f aca="false">IF(Data_Farmer!CF30="","",Data_Farmer!CF30)</f>
        <v/>
      </c>
      <c r="CG11" s="36" t="str">
        <f aca="false">IF(Data_Farmer!CG30="","",Data_Farmer!CG30)</f>
        <v/>
      </c>
      <c r="CH11" s="36" t="str">
        <f aca="false">IF(Data_Farmer!CH30="","",Data_Farmer!CH30)</f>
        <v/>
      </c>
      <c r="CI11" s="36" t="str">
        <f aca="false">IF(Data_Farmer!CI30="","",Data_Farmer!CI30)</f>
        <v/>
      </c>
      <c r="CJ11" s="36" t="str">
        <f aca="false">IF(Data_Farmer!CJ30="","",Data_Farmer!CJ30)</f>
        <v/>
      </c>
      <c r="CK11" s="36" t="str">
        <f aca="false">IF(Data_Farmer!CK30="","",Data_Farmer!CK30)</f>
        <v/>
      </c>
      <c r="CL11" s="36" t="str">
        <f aca="false">IF(Data_Farmer!CL30="","",Data_Farmer!CL30)</f>
        <v/>
      </c>
      <c r="CM11" s="36" t="str">
        <f aca="false">IF(Data_Farmer!CM30="","",Data_Farmer!CM30)</f>
        <v/>
      </c>
      <c r="CN11" s="36" t="str">
        <f aca="false">IF(Data_Farmer!CN30="","",Data_Farmer!CN30)</f>
        <v/>
      </c>
      <c r="CO11" s="36" t="str">
        <f aca="false">IF(Data_Farmer!CO30="","",Data_Farmer!CO30)</f>
        <v/>
      </c>
      <c r="CP11" s="36" t="str">
        <f aca="false">IF(Data_Farmer!CP30="","",Data_Farmer!CP30)</f>
        <v/>
      </c>
      <c r="CQ11" s="36" t="str">
        <f aca="false">IF(Data_Farmer!CQ30="","",Data_Farmer!CQ30)</f>
        <v/>
      </c>
      <c r="CR11" s="36" t="str">
        <f aca="false">IF(Data_Farmer!CR30="","",Data_Farmer!CR30)</f>
        <v>WL jump &gt;5 cm; </v>
      </c>
      <c r="CS11" s="36" t="str">
        <f aca="false">IF(Data_Farmer!CS30="","",Data_Farmer!CS30)</f>
        <v/>
      </c>
      <c r="CT11" s="36" t="str">
        <f aca="false">IF(Data_Farmer!CT30="","",Data_Farmer!CT30)</f>
        <v/>
      </c>
      <c r="CU11" s="36" t="str">
        <f aca="false">IF(Data_Farmer!CU30="","",Data_Farmer!CU30)</f>
        <v/>
      </c>
      <c r="CV11" s="36" t="str">
        <f aca="false">IF(Data_Farmer!CV30="","",Data_Farmer!CV30)</f>
        <v/>
      </c>
      <c r="CW11" s="36" t="str">
        <f aca="false">IF(Data_Farmer!CW30="","",Data_Farmer!CW30)</f>
        <v/>
      </c>
      <c r="CX11" s="36" t="str">
        <f aca="false">IF(Data_Farmer!CX30="","",Data_Farmer!CX30)</f>
        <v/>
      </c>
      <c r="CY11" s="36" t="str">
        <f aca="false">IF(Data_Farmer!CY30="","",Data_Farmer!CY30)</f>
        <v/>
      </c>
      <c r="CZ11" s="36" t="str">
        <f aca="false">IF(Data_Farmer!CZ30="","",Data_Farmer!CZ30)</f>
        <v/>
      </c>
      <c r="DA11" s="36" t="str">
        <f aca="false">IF(Data_Farmer!DA30="","",Data_Farmer!DA30)</f>
        <v/>
      </c>
      <c r="DB11" s="36" t="str">
        <f aca="false">IF(Data_Farmer!DB30="","",Data_Farmer!DB30)</f>
        <v/>
      </c>
      <c r="DC11" s="36" t="str">
        <f aca="false">IF(Data_Farmer!DC30="","",Data_Farmer!DC30)</f>
        <v/>
      </c>
      <c r="DD11" s="36" t="str">
        <f aca="false">IF(Data_Farmer!DD30="","",Data_Farmer!DD30)</f>
        <v/>
      </c>
      <c r="DE11" s="36" t="str">
        <f aca="false">IF(Data_Farmer!DE30="","",Data_Farmer!DE30)</f>
        <v/>
      </c>
      <c r="DF11" s="36" t="str">
        <f aca="false">IF(Data_Farmer!DF30="","",Data_Farmer!DF30)</f>
        <v/>
      </c>
      <c r="DG11" s="36" t="str">
        <f aca="false">IF(Data_Farmer!DG30="","",Data_Farmer!DG30)</f>
        <v/>
      </c>
      <c r="DH11" s="36" t="str">
        <f aca="false">IF(Data_Farmer!DH30="","",Data_Farmer!DH30)</f>
        <v/>
      </c>
      <c r="DI11" s="36" t="str">
        <f aca="false">IF(Data_Farmer!DI30="","",Data_Farmer!DI30)</f>
        <v/>
      </c>
      <c r="DJ11" s="36" t="str">
        <f aca="false">IF(Data_Farmer!DJ30="","",Data_Farmer!DJ30)</f>
        <v/>
      </c>
      <c r="DK11" s="36" t="str">
        <f aca="false">IF(Data_Farmer!DK30="","",Data_Farmer!DK30)</f>
        <v/>
      </c>
      <c r="DL11" s="36" t="str">
        <f aca="false">IF(Data_Farmer!DL30="","",Data_Farmer!DL30)</f>
        <v/>
      </c>
      <c r="DM11" s="36" t="str">
        <f aca="false">IF(Data_Farmer!DM30="","",Data_Farmer!DM30)</f>
        <v/>
      </c>
      <c r="DN11" s="36" t="str">
        <f aca="false">IF(Data_Farmer!DN30="","",Data_Farmer!DN30)</f>
        <v/>
      </c>
      <c r="DO11" s="36" t="str">
        <f aca="false">IF(Data_Farmer!DO30="","",Data_Farmer!DO30)</f>
        <v/>
      </c>
      <c r="DP11" s="36" t="str">
        <f aca="false">IF(Data_Farmer!DP30="","",Data_Farmer!DP30)</f>
        <v/>
      </c>
      <c r="DQ11" s="36" t="str">
        <f aca="false">IF(Data_Farmer!DQ30="","",Data_Farmer!DQ30)</f>
        <v/>
      </c>
      <c r="DR11" s="36" t="str">
        <f aca="false">IF(Data_Farmer!DR30="","",Data_Farmer!DR30)</f>
        <v/>
      </c>
      <c r="DS11" s="36" t="str">
        <f aca="false">IF(Data_Farmer!DS30="","",Data_Farmer!DS30)</f>
        <v/>
      </c>
      <c r="DT11" s="36" t="str">
        <f aca="false">IF(Data_Farmer!DT30="","",Data_Farmer!DT30)</f>
        <v/>
      </c>
      <c r="DU11" s="36" t="str">
        <f aca="false">IF(Data_Farmer!DU30="","",Data_Farmer!DU30)</f>
        <v/>
      </c>
      <c r="DV11" s="36" t="str">
        <f aca="false">IF(Data_Farmer!DV30="","",Data_Farmer!DV30)</f>
        <v/>
      </c>
      <c r="DW11" s="36" t="str">
        <f aca="false">IF(Data_Farmer!DW30="","",Data_Farmer!DW30)</f>
        <v/>
      </c>
      <c r="DX11" s="36" t="str">
        <f aca="false">IF(Data_Farmer!DX30="","",Data_Farmer!DX30)</f>
        <v/>
      </c>
      <c r="DY11" s="36" t="str">
        <f aca="false">IF(Data_Farmer!DY30="","",Data_Farmer!DY30)</f>
        <v/>
      </c>
      <c r="DZ11" s="36" t="str">
        <f aca="false">IF(Data_Farmer!DZ30="","",Data_Farmer!DZ30)</f>
        <v/>
      </c>
      <c r="EA11" s="36" t="str">
        <f aca="false">IF(Data_Farmer!EA30="","",Data_Farmer!EA30)</f>
        <v/>
      </c>
      <c r="EB11" s="36" t="str">
        <f aca="false">IF(Data_Farmer!EB30="","",Data_Farmer!EB30)</f>
        <v/>
      </c>
      <c r="EC11" s="36" t="str">
        <f aca="false">IF(Data_Farmer!EC30="","",Data_Farmer!EC30)</f>
        <v/>
      </c>
      <c r="ED11" s="36" t="str">
        <f aca="false">IF(Data_Farmer!ED30="","",Data_Farmer!ED30)</f>
        <v/>
      </c>
      <c r="EE11" s="36" t="str">
        <f aca="false">IF(Data_Farmer!EE30="","",Data_Farmer!EE30)</f>
        <v/>
      </c>
      <c r="EF11" s="36" t="str">
        <f aca="false">IF(Data_Farmer!EF30="","",Data_Farmer!EF30)</f>
        <v/>
      </c>
      <c r="EG11" s="36" t="str">
        <f aca="false">IF(Data_Farmer!EG30="","",Data_Farmer!EG30)</f>
        <v/>
      </c>
      <c r="EH11" s="36" t="str">
        <f aca="false">IF(Data_Farmer!EH30="","",Data_Farmer!EH30)</f>
        <v/>
      </c>
      <c r="EI11" s="36" t="str">
        <f aca="false">IF(Data_Farmer!EI30="","",Data_Farmer!EI30)</f>
        <v/>
      </c>
      <c r="EJ11" s="36" t="str">
        <f aca="false">IF(Data_Farmer!EJ30="","",Data_Farmer!EJ30)</f>
        <v/>
      </c>
      <c r="EK11" s="36" t="str">
        <f aca="false">IF(Data_Farmer!EK30="","",Data_Farmer!EK30)</f>
        <v/>
      </c>
      <c r="EL11" s="36" t="str">
        <f aca="false">IF(Data_Farmer!EL30="","",Data_Farmer!EL30)</f>
        <v/>
      </c>
      <c r="EM11" s="36" t="str">
        <f aca="false">IF(Data_Farmer!EM30="","",Data_Farmer!EM30)</f>
        <v/>
      </c>
      <c r="EN11" s="36" t="str">
        <f aca="false">IF(Data_Farmer!EN30="","",Data_Farmer!EN30)</f>
        <v/>
      </c>
      <c r="EO11" s="36" t="str">
        <f aca="false">IF(Data_Farmer!EO30="","",Data_Farmer!EO30)</f>
        <v/>
      </c>
      <c r="EP11" s="36" t="str">
        <f aca="false">IF(Data_Farmer!EP30="","",Data_Farmer!EP30)</f>
        <v/>
      </c>
      <c r="EQ11" s="36" t="str">
        <f aca="false">IF(Data_Farmer!EQ30="","",Data_Farmer!EQ30)</f>
        <v/>
      </c>
      <c r="ER11" s="36" t="str">
        <f aca="false">IF(Data_Farmer!ER30="","",Data_Farmer!ER30)</f>
        <v/>
      </c>
      <c r="ES11" s="36" t="str">
        <f aca="false">IF(Data_Farmer!ES30="","",Data_Farmer!ES30)</f>
        <v>WL jump &gt;5 cm; </v>
      </c>
      <c r="ET11" s="36" t="str">
        <f aca="false">IF(Data_Farmer!ET30="","",Data_Farmer!ET30)</f>
        <v>WL jump &gt;5 cm; </v>
      </c>
      <c r="EU11" s="36" t="str">
        <f aca="false">IF(Data_Farmer!EU30="","",Data_Farmer!EU30)</f>
        <v/>
      </c>
      <c r="EV11" s="36" t="str">
        <f aca="false">IF(Data_Farmer!EV30="","",Data_Farmer!EV30)</f>
        <v/>
      </c>
      <c r="EW11" s="36" t="str">
        <f aca="false">IF(Data_Farmer!EW30="","",Data_Farmer!EW30)</f>
        <v/>
      </c>
      <c r="EX11" s="36" t="str">
        <f aca="false">IF(Data_Farmer!EX30="","",Data_Farmer!EX30)</f>
        <v/>
      </c>
      <c r="EY11" s="36" t="str">
        <f aca="false">IF(Data_Farmer!EY30="","",Data_Farmer!EY30)</f>
        <v/>
      </c>
      <c r="EZ11" s="36" t="str">
        <f aca="false">IF(Data_Farmer!EZ30="","",Data_Farmer!EZ30)</f>
        <v/>
      </c>
      <c r="FA11" s="36" t="str">
        <f aca="false">IF(Data_Farmer!FA30="","",Data_Farmer!FA30)</f>
        <v/>
      </c>
      <c r="FB11" s="36" t="str">
        <f aca="false">IF(Data_Farmer!FB30="","",Data_Farmer!FB30)</f>
        <v/>
      </c>
      <c r="FC11" s="36" t="str">
        <f aca="false">IF(Data_Farmer!FC30="","",Data_Farmer!FC30)</f>
        <v/>
      </c>
      <c r="FD11" s="36" t="str">
        <f aca="false">IF(Data_Farmer!FD30="","",Data_Farmer!FD30)</f>
        <v/>
      </c>
      <c r="FE11" s="36" t="str">
        <f aca="false">IF(Data_Farmer!FE30="","",Data_Farmer!FE30)</f>
        <v/>
      </c>
      <c r="FF11" s="36" t="str">
        <f aca="false">IF(Data_Farmer!FF30="","",Data_Farmer!FF30)</f>
        <v/>
      </c>
      <c r="FG11" s="36" t="str">
        <f aca="false">IF(Data_Farmer!FG30="","",Data_Farmer!FG30)</f>
        <v/>
      </c>
      <c r="FH11" s="36" t="str">
        <f aca="false">IF(Data_Farmer!FH30="","",Data_Farmer!FH30)</f>
        <v/>
      </c>
      <c r="FI11" s="36" t="str">
        <f aca="false">IF(Data_Farmer!FI30="","",Data_Farmer!FI30)</f>
        <v/>
      </c>
      <c r="FJ11" s="36" t="str">
        <f aca="false">IF(Data_Farmer!FJ30="","",Data_Farmer!FJ30)</f>
        <v/>
      </c>
      <c r="FK11" s="36" t="str">
        <f aca="false">IF(Data_Farmer!FK30="","",Data_Farmer!FK30)</f>
        <v/>
      </c>
      <c r="FL11" s="36" t="str">
        <f aca="false">IF(Data_Farmer!FL30="","",Data_Farmer!FL30)</f>
        <v/>
      </c>
      <c r="FM11" s="36" t="str">
        <f aca="false">IF(Data_Farmer!FM30="","",Data_Farmer!FM30)</f>
        <v/>
      </c>
      <c r="FN11" s="36" t="str">
        <f aca="false">IF(Data_Farmer!FN30="","",Data_Farmer!FN30)</f>
        <v/>
      </c>
      <c r="FO11" s="36" t="str">
        <f aca="false">IF(Data_Farmer!FO30="","",Data_Farmer!FO30)</f>
        <v/>
      </c>
      <c r="FP11" s="36" t="str">
        <f aca="false">IF(Data_Farmer!FP30="","",Data_Farmer!FP30)</f>
        <v/>
      </c>
      <c r="FQ11" s="36" t="str">
        <f aca="false">IF(Data_Farmer!FQ30="","",Data_Farmer!FQ30)</f>
        <v/>
      </c>
    </row>
    <row r="12" customFormat="false" ht="15" hidden="false" customHeight="false" outlineLevel="0" collapsed="false">
      <c r="A12" s="33"/>
      <c r="B12" s="20" t="s">
        <v>144</v>
      </c>
      <c r="C12" s="34" t="s">
        <v>143</v>
      </c>
      <c r="D12" s="36" t="str">
        <f aca="false">IF(Data_Farmer!D55="","",Data_Farmer!D55)</f>
        <v/>
      </c>
      <c r="E12" s="36" t="str">
        <f aca="false">IF(Data_Farmer!E55="","",Data_Farmer!E55)</f>
        <v/>
      </c>
      <c r="F12" s="36" t="str">
        <f aca="false">IF(Data_Farmer!F55="","",Data_Farmer!F55)</f>
        <v/>
      </c>
      <c r="G12" s="36" t="str">
        <f aca="false">IF(Data_Farmer!G55="","",Data_Farmer!G55)</f>
        <v/>
      </c>
      <c r="H12" s="36" t="str">
        <f aca="false">IF(Data_Farmer!H55="","",Data_Farmer!H55)</f>
        <v/>
      </c>
      <c r="I12" s="36" t="str">
        <f aca="false">IF(Data_Farmer!I55="","",Data_Farmer!I55)</f>
        <v/>
      </c>
      <c r="J12" s="36" t="str">
        <f aca="false">IF(Data_Farmer!J55="","",Data_Farmer!J55)</f>
        <v/>
      </c>
      <c r="K12" s="36" t="str">
        <f aca="false">IF(Data_Farmer!K55="","",Data_Farmer!K55)</f>
        <v/>
      </c>
      <c r="L12" s="36" t="str">
        <f aca="false">IF(Data_Farmer!L55="","",Data_Farmer!L55)</f>
        <v/>
      </c>
      <c r="M12" s="36" t="str">
        <f aca="false">IF(Data_Farmer!M55="","",Data_Farmer!M55)</f>
        <v/>
      </c>
      <c r="N12" s="36" t="str">
        <f aca="false">IF(Data_Farmer!N55="","",Data_Farmer!N55)</f>
        <v/>
      </c>
      <c r="O12" s="36" t="str">
        <f aca="false">IF(Data_Farmer!O55="","",Data_Farmer!O55)</f>
        <v/>
      </c>
      <c r="P12" s="36" t="str">
        <f aca="false">IF(Data_Farmer!P55="","",Data_Farmer!P55)</f>
        <v/>
      </c>
      <c r="Q12" s="36" t="str">
        <f aca="false">IF(Data_Farmer!Q55="","",Data_Farmer!Q55)</f>
        <v/>
      </c>
      <c r="R12" s="36" t="str">
        <f aca="false">IF(Data_Farmer!R55="","",Data_Farmer!R55)</f>
        <v/>
      </c>
      <c r="S12" s="36" t="str">
        <f aca="false">IF(Data_Farmer!S55="","",Data_Farmer!S55)</f>
        <v/>
      </c>
      <c r="T12" s="36" t="str">
        <f aca="false">IF(Data_Farmer!T55="","",Data_Farmer!T55)</f>
        <v/>
      </c>
      <c r="U12" s="36" t="str">
        <f aca="false">IF(Data_Farmer!U55="","",Data_Farmer!U55)</f>
        <v/>
      </c>
      <c r="V12" s="36" t="str">
        <f aca="false">IF(Data_Farmer!V55="","",Data_Farmer!V55)</f>
        <v/>
      </c>
      <c r="W12" s="36" t="str">
        <f aca="false">IF(Data_Farmer!W55="","",Data_Farmer!W55)</f>
        <v/>
      </c>
      <c r="X12" s="36" t="str">
        <f aca="false">IF(Data_Farmer!X55="","",Data_Farmer!X55)</f>
        <v/>
      </c>
      <c r="Y12" s="36" t="str">
        <f aca="false">IF(Data_Farmer!Y55="","",Data_Farmer!Y55)</f>
        <v/>
      </c>
      <c r="Z12" s="36" t="str">
        <f aca="false">IF(Data_Farmer!Z55="","",Data_Farmer!Z55)</f>
        <v/>
      </c>
      <c r="AA12" s="36" t="str">
        <f aca="false">IF(Data_Farmer!AA55="","",Data_Farmer!AA55)</f>
        <v/>
      </c>
      <c r="AB12" s="36" t="str">
        <f aca="false">IF(Data_Farmer!AB55="","",Data_Farmer!AB55)</f>
        <v/>
      </c>
      <c r="AC12" s="36" t="str">
        <f aca="false">IF(Data_Farmer!AC55="","",Data_Farmer!AC55)</f>
        <v/>
      </c>
      <c r="AD12" s="36" t="str">
        <f aca="false">IF(Data_Farmer!AD55="","",Data_Farmer!AD55)</f>
        <v/>
      </c>
      <c r="AE12" s="36" t="str">
        <f aca="false">IF(Data_Farmer!AE55="","",Data_Farmer!AE55)</f>
        <v/>
      </c>
      <c r="AF12" s="36" t="str">
        <f aca="false">IF(Data_Farmer!AF55="","",Data_Farmer!AF55)</f>
        <v/>
      </c>
      <c r="AG12" s="36" t="str">
        <f aca="false">IF(Data_Farmer!AG55="","",Data_Farmer!AG55)</f>
        <v/>
      </c>
      <c r="AH12" s="36" t="str">
        <f aca="false">IF(Data_Farmer!AH55="","",Data_Farmer!AH55)</f>
        <v/>
      </c>
      <c r="AI12" s="36" t="str">
        <f aca="false">IF(Data_Farmer!AI55="","",Data_Farmer!AI55)</f>
        <v/>
      </c>
      <c r="AJ12" s="36" t="str">
        <f aca="false">IF(Data_Farmer!AJ55="","",Data_Farmer!AJ55)</f>
        <v/>
      </c>
      <c r="AK12" s="36" t="str">
        <f aca="false">IF(Data_Farmer!AK55="","",Data_Farmer!AK55)</f>
        <v/>
      </c>
      <c r="AL12" s="36" t="str">
        <f aca="false">IF(Data_Farmer!AL55="","",Data_Farmer!AL55)</f>
        <v/>
      </c>
      <c r="AM12" s="36" t="str">
        <f aca="false">IF(Data_Farmer!AM55="","",Data_Farmer!AM55)</f>
        <v/>
      </c>
      <c r="AN12" s="36" t="str">
        <f aca="false">IF(Data_Farmer!AN55="","",Data_Farmer!AN55)</f>
        <v/>
      </c>
      <c r="AO12" s="36" t="str">
        <f aca="false">IF(Data_Farmer!AO55="","",Data_Farmer!AO55)</f>
        <v/>
      </c>
      <c r="AP12" s="36" t="str">
        <f aca="false">IF(Data_Farmer!AP55="","",Data_Farmer!AP55)</f>
        <v/>
      </c>
      <c r="AQ12" s="36" t="str">
        <f aca="false">IF(Data_Farmer!AQ55="","",Data_Farmer!AQ55)</f>
        <v/>
      </c>
      <c r="AR12" s="36" t="str">
        <f aca="false">IF(Data_Farmer!AR55="","",Data_Farmer!AR55)</f>
        <v/>
      </c>
      <c r="AS12" s="36" t="str">
        <f aca="false">IF(Data_Farmer!AS55="","",Data_Farmer!AS55)</f>
        <v/>
      </c>
      <c r="AT12" s="36" t="str">
        <f aca="false">IF(Data_Farmer!AT55="","",Data_Farmer!AT55)</f>
        <v/>
      </c>
      <c r="AU12" s="36" t="str">
        <f aca="false">IF(Data_Farmer!AU55="","",Data_Farmer!AU55)</f>
        <v/>
      </c>
      <c r="AV12" s="36" t="str">
        <f aca="false">IF(Data_Farmer!AV55="","",Data_Farmer!AV55)</f>
        <v/>
      </c>
      <c r="AW12" s="36" t="str">
        <f aca="false">IF(Data_Farmer!AW55="","",Data_Farmer!AW55)</f>
        <v/>
      </c>
      <c r="AX12" s="36" t="str">
        <f aca="false">IF(Data_Farmer!AX55="","",Data_Farmer!AX55)</f>
        <v/>
      </c>
      <c r="AY12" s="36" t="str">
        <f aca="false">IF(Data_Farmer!AY55="","",Data_Farmer!AY55)</f>
        <v/>
      </c>
      <c r="AZ12" s="36" t="str">
        <f aca="false">IF(Data_Farmer!AZ55="","",Data_Farmer!AZ55)</f>
        <v/>
      </c>
      <c r="BA12" s="36" t="str">
        <f aca="false">IF(Data_Farmer!BA55="","",Data_Farmer!BA55)</f>
        <v/>
      </c>
      <c r="BB12" s="36" t="str">
        <f aca="false">IF(Data_Farmer!BB55="","",Data_Farmer!BB55)</f>
        <v/>
      </c>
      <c r="BC12" s="36" t="str">
        <f aca="false">IF(Data_Farmer!BC55="","",Data_Farmer!BC55)</f>
        <v/>
      </c>
      <c r="BD12" s="36" t="str">
        <f aca="false">IF(Data_Farmer!BD55="","",Data_Farmer!BD55)</f>
        <v/>
      </c>
      <c r="BE12" s="36" t="str">
        <f aca="false">IF(Data_Farmer!BE55="","",Data_Farmer!BE55)</f>
        <v/>
      </c>
      <c r="BF12" s="36" t="str">
        <f aca="false">IF(Data_Farmer!BF55="","",Data_Farmer!BF55)</f>
        <v/>
      </c>
      <c r="BG12" s="36" t="str">
        <f aca="false">IF(Data_Farmer!BG55="","",Data_Farmer!BG55)</f>
        <v/>
      </c>
      <c r="BH12" s="36" t="str">
        <f aca="false">IF(Data_Farmer!BH55="","",Data_Farmer!BH55)</f>
        <v/>
      </c>
      <c r="BI12" s="36" t="str">
        <f aca="false">IF(Data_Farmer!BI55="","",Data_Farmer!BI55)</f>
        <v/>
      </c>
      <c r="BJ12" s="36" t="str">
        <f aca="false">IF(Data_Farmer!BJ55="","",Data_Farmer!BJ55)</f>
        <v/>
      </c>
      <c r="BK12" s="36" t="str">
        <f aca="false">IF(Data_Farmer!BK55="","",Data_Farmer!BK55)</f>
        <v/>
      </c>
      <c r="BL12" s="36" t="str">
        <f aca="false">IF(Data_Farmer!BL55="","",Data_Farmer!BL55)</f>
        <v/>
      </c>
      <c r="BM12" s="36" t="str">
        <f aca="false">IF(Data_Farmer!BM55="","",Data_Farmer!BM55)</f>
        <v/>
      </c>
      <c r="BN12" s="36" t="str">
        <f aca="false">IF(Data_Farmer!BN55="","",Data_Farmer!BN55)</f>
        <v/>
      </c>
      <c r="BO12" s="36" t="str">
        <f aca="false">IF(Data_Farmer!BO55="","",Data_Farmer!BO55)</f>
        <v/>
      </c>
      <c r="BP12" s="36" t="str">
        <f aca="false">IF(Data_Farmer!BP55="","",Data_Farmer!BP55)</f>
        <v/>
      </c>
      <c r="BQ12" s="36" t="str">
        <f aca="false">IF(Data_Farmer!BQ55="","",Data_Farmer!BQ55)</f>
        <v/>
      </c>
      <c r="BR12" s="36" t="str">
        <f aca="false">IF(Data_Farmer!BR55="","",Data_Farmer!BR55)</f>
        <v/>
      </c>
      <c r="BS12" s="36" t="str">
        <f aca="false">IF(Data_Farmer!BS55="","",Data_Farmer!BS55)</f>
        <v/>
      </c>
      <c r="BT12" s="36" t="str">
        <f aca="false">IF(Data_Farmer!BT55="","",Data_Farmer!BT55)</f>
        <v/>
      </c>
      <c r="BU12" s="36" t="str">
        <f aca="false">IF(Data_Farmer!BU55="","",Data_Farmer!BU55)</f>
        <v/>
      </c>
      <c r="BV12" s="36" t="str">
        <f aca="false">IF(Data_Farmer!BV55="","",Data_Farmer!BV55)</f>
        <v/>
      </c>
      <c r="BW12" s="36" t="str">
        <f aca="false">IF(Data_Farmer!BW55="","",Data_Farmer!BW55)</f>
        <v/>
      </c>
      <c r="BX12" s="36" t="str">
        <f aca="false">IF(Data_Farmer!BX55="","",Data_Farmer!BX55)</f>
        <v/>
      </c>
      <c r="BY12" s="36" t="str">
        <f aca="false">IF(Data_Farmer!BY55="","",Data_Farmer!BY55)</f>
        <v/>
      </c>
      <c r="BZ12" s="36" t="str">
        <f aca="false">IF(Data_Farmer!BZ55="","",Data_Farmer!BZ55)</f>
        <v/>
      </c>
      <c r="CA12" s="36" t="str">
        <f aca="false">IF(Data_Farmer!CA55="","",Data_Farmer!CA55)</f>
        <v/>
      </c>
      <c r="CB12" s="36" t="str">
        <f aca="false">IF(Data_Farmer!CB55="","",Data_Farmer!CB55)</f>
        <v/>
      </c>
      <c r="CC12" s="36" t="str">
        <f aca="false">IF(Data_Farmer!CC55="","",Data_Farmer!CC55)</f>
        <v/>
      </c>
      <c r="CD12" s="36" t="str">
        <f aca="false">IF(Data_Farmer!CD55="","",Data_Farmer!CD55)</f>
        <v/>
      </c>
      <c r="CE12" s="36" t="str">
        <f aca="false">IF(Data_Farmer!CE55="","",Data_Farmer!CE55)</f>
        <v/>
      </c>
      <c r="CF12" s="36" t="str">
        <f aca="false">IF(Data_Farmer!CF55="","",Data_Farmer!CF55)</f>
        <v/>
      </c>
      <c r="CG12" s="36" t="str">
        <f aca="false">IF(Data_Farmer!CG55="","",Data_Farmer!CG55)</f>
        <v/>
      </c>
      <c r="CH12" s="36" t="str">
        <f aca="false">IF(Data_Farmer!CH55="","",Data_Farmer!CH55)</f>
        <v/>
      </c>
      <c r="CI12" s="36" t="str">
        <f aca="false">IF(Data_Farmer!CI55="","",Data_Farmer!CI55)</f>
        <v/>
      </c>
      <c r="CJ12" s="36" t="str">
        <f aca="false">IF(Data_Farmer!CJ55="","",Data_Farmer!CJ55)</f>
        <v/>
      </c>
      <c r="CK12" s="36" t="str">
        <f aca="false">IF(Data_Farmer!CK55="","",Data_Farmer!CK55)</f>
        <v/>
      </c>
      <c r="CL12" s="36" t="str">
        <f aca="false">IF(Data_Farmer!CL55="","",Data_Farmer!CL55)</f>
        <v/>
      </c>
      <c r="CM12" s="36" t="str">
        <f aca="false">IF(Data_Farmer!CM55="","",Data_Farmer!CM55)</f>
        <v/>
      </c>
      <c r="CN12" s="36" t="str">
        <f aca="false">IF(Data_Farmer!CN55="","",Data_Farmer!CN55)</f>
        <v/>
      </c>
      <c r="CO12" s="36" t="str">
        <f aca="false">IF(Data_Farmer!CO55="","",Data_Farmer!CO55)</f>
        <v/>
      </c>
      <c r="CP12" s="36" t="str">
        <f aca="false">IF(Data_Farmer!CP55="","",Data_Farmer!CP55)</f>
        <v/>
      </c>
      <c r="CQ12" s="36" t="str">
        <f aca="false">IF(Data_Farmer!CQ55="","",Data_Farmer!CQ55)</f>
        <v>WL jump &gt;5 cm; </v>
      </c>
      <c r="CR12" s="36" t="str">
        <f aca="false">IF(Data_Farmer!CR55="","",Data_Farmer!CR55)</f>
        <v/>
      </c>
      <c r="CS12" s="36" t="str">
        <f aca="false">IF(Data_Farmer!CS55="","",Data_Farmer!CS55)</f>
        <v/>
      </c>
      <c r="CT12" s="36" t="str">
        <f aca="false">IF(Data_Farmer!CT55="","",Data_Farmer!CT55)</f>
        <v/>
      </c>
      <c r="CU12" s="36" t="str">
        <f aca="false">IF(Data_Farmer!CU55="","",Data_Farmer!CU55)</f>
        <v/>
      </c>
      <c r="CV12" s="36" t="str">
        <f aca="false">IF(Data_Farmer!CV55="","",Data_Farmer!CV55)</f>
        <v/>
      </c>
      <c r="CW12" s="36" t="str">
        <f aca="false">IF(Data_Farmer!CW55="","",Data_Farmer!CW55)</f>
        <v/>
      </c>
      <c r="CX12" s="36" t="str">
        <f aca="false">IF(Data_Farmer!CX55="","",Data_Farmer!CX55)</f>
        <v/>
      </c>
      <c r="CY12" s="36" t="str">
        <f aca="false">IF(Data_Farmer!CY55="","",Data_Farmer!CY55)</f>
        <v/>
      </c>
      <c r="CZ12" s="36" t="str">
        <f aca="false">IF(Data_Farmer!CZ55="","",Data_Farmer!CZ55)</f>
        <v/>
      </c>
      <c r="DA12" s="36" t="str">
        <f aca="false">IF(Data_Farmer!DA55="","",Data_Farmer!DA55)</f>
        <v/>
      </c>
      <c r="DB12" s="36" t="str">
        <f aca="false">IF(Data_Farmer!DB55="","",Data_Farmer!DB55)</f>
        <v/>
      </c>
      <c r="DC12" s="36" t="str">
        <f aca="false">IF(Data_Farmer!DC55="","",Data_Farmer!DC55)</f>
        <v/>
      </c>
      <c r="DD12" s="36" t="str">
        <f aca="false">IF(Data_Farmer!DD55="","",Data_Farmer!DD55)</f>
        <v/>
      </c>
      <c r="DE12" s="36" t="str">
        <f aca="false">IF(Data_Farmer!DE55="","",Data_Farmer!DE55)</f>
        <v/>
      </c>
      <c r="DF12" s="36" t="str">
        <f aca="false">IF(Data_Farmer!DF55="","",Data_Farmer!DF55)</f>
        <v/>
      </c>
      <c r="DG12" s="36" t="str">
        <f aca="false">IF(Data_Farmer!DG55="","",Data_Farmer!DG55)</f>
        <v/>
      </c>
      <c r="DH12" s="36" t="str">
        <f aca="false">IF(Data_Farmer!DH55="","",Data_Farmer!DH55)</f>
        <v/>
      </c>
      <c r="DI12" s="36" t="str">
        <f aca="false">IF(Data_Farmer!DI55="","",Data_Farmer!DI55)</f>
        <v/>
      </c>
      <c r="DJ12" s="36" t="str">
        <f aca="false">IF(Data_Farmer!DJ55="","",Data_Farmer!DJ55)</f>
        <v/>
      </c>
      <c r="DK12" s="36" t="str">
        <f aca="false">IF(Data_Farmer!DK55="","",Data_Farmer!DK55)</f>
        <v/>
      </c>
      <c r="DL12" s="36" t="str">
        <f aca="false">IF(Data_Farmer!DL55="","",Data_Farmer!DL55)</f>
        <v/>
      </c>
      <c r="DM12" s="36" t="str">
        <f aca="false">IF(Data_Farmer!DM55="","",Data_Farmer!DM55)</f>
        <v/>
      </c>
      <c r="DN12" s="36" t="str">
        <f aca="false">IF(Data_Farmer!DN55="","",Data_Farmer!DN55)</f>
        <v/>
      </c>
      <c r="DO12" s="36" t="str">
        <f aca="false">IF(Data_Farmer!DO55="","",Data_Farmer!DO55)</f>
        <v/>
      </c>
      <c r="DP12" s="36" t="str">
        <f aca="false">IF(Data_Farmer!DP55="","",Data_Farmer!DP55)</f>
        <v/>
      </c>
      <c r="DQ12" s="36" t="str">
        <f aca="false">IF(Data_Farmer!DQ55="","",Data_Farmer!DQ55)</f>
        <v/>
      </c>
      <c r="DR12" s="36" t="str">
        <f aca="false">IF(Data_Farmer!DR55="","",Data_Farmer!DR55)</f>
        <v/>
      </c>
      <c r="DS12" s="36" t="str">
        <f aca="false">IF(Data_Farmer!DS55="","",Data_Farmer!DS55)</f>
        <v/>
      </c>
      <c r="DT12" s="36" t="str">
        <f aca="false">IF(Data_Farmer!DT55="","",Data_Farmer!DT55)</f>
        <v/>
      </c>
      <c r="DU12" s="36" t="str">
        <f aca="false">IF(Data_Farmer!DU55="","",Data_Farmer!DU55)</f>
        <v/>
      </c>
      <c r="DV12" s="36" t="str">
        <f aca="false">IF(Data_Farmer!DV55="","",Data_Farmer!DV55)</f>
        <v/>
      </c>
      <c r="DW12" s="36" t="str">
        <f aca="false">IF(Data_Farmer!DW55="","",Data_Farmer!DW55)</f>
        <v/>
      </c>
      <c r="DX12" s="36" t="str">
        <f aca="false">IF(Data_Farmer!DX55="","",Data_Farmer!DX55)</f>
        <v/>
      </c>
      <c r="DY12" s="36" t="str">
        <f aca="false">IF(Data_Farmer!DY55="","",Data_Farmer!DY55)</f>
        <v/>
      </c>
      <c r="DZ12" s="36" t="str">
        <f aca="false">IF(Data_Farmer!DZ55="","",Data_Farmer!DZ55)</f>
        <v/>
      </c>
      <c r="EA12" s="36" t="str">
        <f aca="false">IF(Data_Farmer!EA55="","",Data_Farmer!EA55)</f>
        <v/>
      </c>
      <c r="EB12" s="36" t="str">
        <f aca="false">IF(Data_Farmer!EB55="","",Data_Farmer!EB55)</f>
        <v/>
      </c>
      <c r="EC12" s="36" t="str">
        <f aca="false">IF(Data_Farmer!EC55="","",Data_Farmer!EC55)</f>
        <v/>
      </c>
      <c r="ED12" s="36" t="str">
        <f aca="false">IF(Data_Farmer!ED55="","",Data_Farmer!ED55)</f>
        <v/>
      </c>
      <c r="EE12" s="36" t="str">
        <f aca="false">IF(Data_Farmer!EE55="","",Data_Farmer!EE55)</f>
        <v/>
      </c>
      <c r="EF12" s="36" t="str">
        <f aca="false">IF(Data_Farmer!EF55="","",Data_Farmer!EF55)</f>
        <v/>
      </c>
      <c r="EG12" s="36" t="str">
        <f aca="false">IF(Data_Farmer!EG55="","",Data_Farmer!EG55)</f>
        <v/>
      </c>
      <c r="EH12" s="36" t="str">
        <f aca="false">IF(Data_Farmer!EH55="","",Data_Farmer!EH55)</f>
        <v>WL jump &gt;5 cm; </v>
      </c>
      <c r="EI12" s="36" t="str">
        <f aca="false">IF(Data_Farmer!EI55="","",Data_Farmer!EI55)</f>
        <v/>
      </c>
      <c r="EJ12" s="36" t="str">
        <f aca="false">IF(Data_Farmer!EJ55="","",Data_Farmer!EJ55)</f>
        <v/>
      </c>
      <c r="EK12" s="36" t="str">
        <f aca="false">IF(Data_Farmer!EK55="","",Data_Farmer!EK55)</f>
        <v/>
      </c>
      <c r="EL12" s="36" t="str">
        <f aca="false">IF(Data_Farmer!EL55="","",Data_Farmer!EL55)</f>
        <v/>
      </c>
      <c r="EM12" s="36" t="str">
        <f aca="false">IF(Data_Farmer!EM55="","",Data_Farmer!EM55)</f>
        <v/>
      </c>
      <c r="EN12" s="36" t="str">
        <f aca="false">IF(Data_Farmer!EN55="","",Data_Farmer!EN55)</f>
        <v/>
      </c>
      <c r="EO12" s="36" t="str">
        <f aca="false">IF(Data_Farmer!EO55="","",Data_Farmer!EO55)</f>
        <v/>
      </c>
      <c r="EP12" s="36" t="str">
        <f aca="false">IF(Data_Farmer!EP55="","",Data_Farmer!EP55)</f>
        <v/>
      </c>
      <c r="EQ12" s="36" t="str">
        <f aca="false">IF(Data_Farmer!EQ55="","",Data_Farmer!EQ55)</f>
        <v>WL jump &gt;5 cm; </v>
      </c>
      <c r="ER12" s="36" t="str">
        <f aca="false">IF(Data_Farmer!ER55="","",Data_Farmer!ER55)</f>
        <v/>
      </c>
      <c r="ES12" s="36" t="str">
        <f aca="false">IF(Data_Farmer!ES55="","",Data_Farmer!ES55)</f>
        <v/>
      </c>
      <c r="ET12" s="36" t="str">
        <f aca="false">IF(Data_Farmer!ET55="","",Data_Farmer!ET55)</f>
        <v/>
      </c>
      <c r="EU12" s="36" t="str">
        <f aca="false">IF(Data_Farmer!EU55="","",Data_Farmer!EU55)</f>
        <v/>
      </c>
      <c r="EV12" s="36" t="str">
        <f aca="false">IF(Data_Farmer!EV55="","",Data_Farmer!EV55)</f>
        <v/>
      </c>
      <c r="EW12" s="36" t="str">
        <f aca="false">IF(Data_Farmer!EW55="","",Data_Farmer!EW55)</f>
        <v/>
      </c>
      <c r="EX12" s="36" t="str">
        <f aca="false">IF(Data_Farmer!EX55="","",Data_Farmer!EX55)</f>
        <v/>
      </c>
      <c r="EY12" s="36" t="str">
        <f aca="false">IF(Data_Farmer!EY55="","",Data_Farmer!EY55)</f>
        <v/>
      </c>
      <c r="EZ12" s="36" t="str">
        <f aca="false">IF(Data_Farmer!EZ55="","",Data_Farmer!EZ55)</f>
        <v/>
      </c>
      <c r="FA12" s="36" t="str">
        <f aca="false">IF(Data_Farmer!FA55="","",Data_Farmer!FA55)</f>
        <v/>
      </c>
      <c r="FB12" s="36" t="str">
        <f aca="false">IF(Data_Farmer!FB55="","",Data_Farmer!FB55)</f>
        <v/>
      </c>
      <c r="FC12" s="36" t="str">
        <f aca="false">IF(Data_Farmer!FC55="","",Data_Farmer!FC55)</f>
        <v/>
      </c>
      <c r="FD12" s="36" t="str">
        <f aca="false">IF(Data_Farmer!FD55="","",Data_Farmer!FD55)</f>
        <v/>
      </c>
      <c r="FE12" s="36" t="str">
        <f aca="false">IF(Data_Farmer!FE55="","",Data_Farmer!FE55)</f>
        <v/>
      </c>
      <c r="FF12" s="36" t="str">
        <f aca="false">IF(Data_Farmer!FF55="","",Data_Farmer!FF55)</f>
        <v/>
      </c>
      <c r="FG12" s="36" t="str">
        <f aca="false">IF(Data_Farmer!FG55="","",Data_Farmer!FG55)</f>
        <v/>
      </c>
      <c r="FH12" s="36" t="str">
        <f aca="false">IF(Data_Farmer!FH55="","",Data_Farmer!FH55)</f>
        <v/>
      </c>
      <c r="FI12" s="36" t="str">
        <f aca="false">IF(Data_Farmer!FI55="","",Data_Farmer!FI55)</f>
        <v/>
      </c>
      <c r="FJ12" s="36" t="str">
        <f aca="false">IF(Data_Farmer!FJ55="","",Data_Farmer!FJ55)</f>
        <v/>
      </c>
      <c r="FK12" s="36" t="str">
        <f aca="false">IF(Data_Farmer!FK55="","",Data_Farmer!FK55)</f>
        <v/>
      </c>
      <c r="FL12" s="36" t="str">
        <f aca="false">IF(Data_Farmer!FL55="","",Data_Farmer!FL55)</f>
        <v/>
      </c>
      <c r="FM12" s="36" t="str">
        <f aca="false">IF(Data_Farmer!FM55="","",Data_Farmer!FM55)</f>
        <v/>
      </c>
      <c r="FN12" s="36" t="str">
        <f aca="false">IF(Data_Farmer!FN55="","",Data_Farmer!FN55)</f>
        <v/>
      </c>
      <c r="FO12" s="36" t="str">
        <f aca="false">IF(Data_Farmer!FO55="","",Data_Farmer!FO55)</f>
        <v/>
      </c>
      <c r="FP12" s="36" t="str">
        <f aca="false">IF(Data_Farmer!FP55="","",Data_Farmer!FP55)</f>
        <v/>
      </c>
      <c r="FQ12" s="36" t="str">
        <f aca="false">IF(Data_Farmer!FQ55="","",Data_Farmer!FQ55)</f>
        <v/>
      </c>
    </row>
    <row r="14" customFormat="false" ht="15" hidden="false" customHeight="false" outlineLevel="0" collapsed="false">
      <c r="A14" s="8"/>
      <c r="B14" s="30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customFormat="false" ht="15" hidden="false" customHeight="false" outlineLevel="0" collapsed="false">
      <c r="A15" s="31"/>
      <c r="B15" s="17" t="s">
        <v>146</v>
      </c>
      <c r="C15" s="32" t="s">
        <v>147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 t="n">
        <v>279.9</v>
      </c>
      <c r="BF15" s="18"/>
      <c r="BG15" s="18" t="n">
        <v>280</v>
      </c>
      <c r="BH15" s="18"/>
      <c r="BI15" s="18"/>
      <c r="BJ15" s="18"/>
      <c r="BK15" s="18" t="n">
        <v>280.5</v>
      </c>
      <c r="BL15" s="18"/>
      <c r="BM15" s="18"/>
      <c r="BN15" s="18"/>
      <c r="BO15" s="18"/>
      <c r="BP15" s="18" t="n">
        <v>280.3</v>
      </c>
      <c r="BQ15" s="18"/>
      <c r="BR15" s="18"/>
      <c r="BS15" s="18"/>
      <c r="BT15" s="18"/>
      <c r="BU15" s="18"/>
      <c r="BV15" s="18"/>
      <c r="BW15" s="18" t="n">
        <v>279.7</v>
      </c>
      <c r="BX15" s="18"/>
      <c r="BY15" s="18"/>
      <c r="BZ15" s="18"/>
      <c r="CA15" s="18"/>
      <c r="CB15" s="18"/>
      <c r="CC15" s="18"/>
      <c r="CD15" s="18" t="n">
        <v>278.5</v>
      </c>
      <c r="CE15" s="18"/>
      <c r="CF15" s="18"/>
      <c r="CG15" s="18"/>
      <c r="CH15" s="18" t="n">
        <v>279.9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 t="n">
        <v>265</v>
      </c>
      <c r="CX15" s="18"/>
      <c r="CY15" s="18"/>
      <c r="CZ15" s="18" t="n">
        <v>280.2</v>
      </c>
      <c r="DA15" s="18"/>
      <c r="DB15" s="18"/>
      <c r="DC15" s="18" t="n">
        <v>280.5</v>
      </c>
      <c r="DD15" s="18"/>
      <c r="DE15" s="18"/>
      <c r="DF15" s="18"/>
      <c r="DG15" s="18"/>
      <c r="DH15" s="18"/>
      <c r="DI15" s="18" t="n">
        <v>280.1</v>
      </c>
      <c r="DJ15" s="18" t="n">
        <v>280</v>
      </c>
      <c r="DK15" s="18"/>
      <c r="DL15" s="18"/>
      <c r="DM15" s="18" t="n">
        <v>280.2</v>
      </c>
      <c r="DN15" s="18"/>
      <c r="DO15" s="18" t="n">
        <v>280</v>
      </c>
      <c r="DP15" s="18"/>
      <c r="DQ15" s="18"/>
      <c r="DR15" s="18" t="n">
        <v>280.3</v>
      </c>
      <c r="DS15" s="18"/>
      <c r="DT15" s="18" t="n">
        <v>280</v>
      </c>
      <c r="DU15" s="18"/>
      <c r="DV15" s="18"/>
      <c r="DW15" s="18" t="n">
        <v>280.5</v>
      </c>
      <c r="DX15" s="18"/>
      <c r="DY15" s="18"/>
      <c r="DZ15" s="18"/>
      <c r="EA15" s="18" t="n">
        <v>280.1</v>
      </c>
      <c r="EB15" s="18"/>
      <c r="EC15" s="18"/>
      <c r="ED15" s="18"/>
      <c r="EE15" s="18"/>
      <c r="EF15" s="18"/>
      <c r="EG15" s="18"/>
      <c r="EH15" s="18" t="n">
        <v>280.6</v>
      </c>
      <c r="EI15" s="18"/>
      <c r="EJ15" s="18" t="n">
        <v>281</v>
      </c>
      <c r="EK15" s="18"/>
      <c r="EL15" s="18"/>
      <c r="EM15" s="18"/>
      <c r="EN15" s="18"/>
      <c r="EO15" s="18"/>
      <c r="EP15" s="18" t="n">
        <v>280.5</v>
      </c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</row>
    <row r="16" customFormat="false" ht="15" hidden="false" customHeight="false" outlineLevel="0" collapsed="false">
      <c r="A16" s="31"/>
      <c r="B16" s="17" t="s">
        <v>148</v>
      </c>
      <c r="C16" s="32" t="s">
        <v>147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 t="n">
        <v>280.6</v>
      </c>
      <c r="BF16" s="18"/>
      <c r="BG16" s="18" t="n">
        <v>282.4</v>
      </c>
      <c r="BH16" s="18"/>
      <c r="BI16" s="18"/>
      <c r="BJ16" s="18"/>
      <c r="BK16" s="18" t="n">
        <v>282.3</v>
      </c>
      <c r="BL16" s="18"/>
      <c r="BM16" s="18"/>
      <c r="BN16" s="18"/>
      <c r="BO16" s="18"/>
      <c r="BP16" s="18" t="n">
        <v>281.9</v>
      </c>
      <c r="BQ16" s="18"/>
      <c r="BR16" s="18"/>
      <c r="BS16" s="18"/>
      <c r="BT16" s="18"/>
      <c r="BU16" s="18"/>
      <c r="BV16" s="18"/>
      <c r="BW16" s="18" t="n">
        <v>282.4</v>
      </c>
      <c r="BX16" s="18"/>
      <c r="BY16" s="18"/>
      <c r="BZ16" s="18"/>
      <c r="CA16" s="18"/>
      <c r="CB16" s="18"/>
      <c r="CC16" s="18"/>
      <c r="CD16" s="18" t="n">
        <v>281.3</v>
      </c>
      <c r="CE16" s="18"/>
      <c r="CF16" s="18"/>
      <c r="CG16" s="18"/>
      <c r="CH16" s="18" t="n">
        <v>282.8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 t="n">
        <v>280.7</v>
      </c>
      <c r="CX16" s="18"/>
      <c r="CY16" s="18"/>
      <c r="CZ16" s="18" t="n">
        <v>281.9</v>
      </c>
      <c r="DA16" s="18"/>
      <c r="DB16" s="18"/>
      <c r="DC16" s="18" t="n">
        <v>283.4</v>
      </c>
      <c r="DD16" s="18"/>
      <c r="DE16" s="18"/>
      <c r="DF16" s="18"/>
      <c r="DG16" s="18"/>
      <c r="DH16" s="18"/>
      <c r="DI16" s="18" t="n">
        <v>282.4</v>
      </c>
      <c r="DJ16" s="18" t="n">
        <v>281.9</v>
      </c>
      <c r="DK16" s="18"/>
      <c r="DL16" s="18"/>
      <c r="DM16" s="18" t="n">
        <v>281</v>
      </c>
      <c r="DN16" s="18"/>
      <c r="DO16" s="18" t="n">
        <v>281.9</v>
      </c>
      <c r="DP16" s="18"/>
      <c r="DQ16" s="18"/>
      <c r="DR16" s="18" t="n">
        <v>281</v>
      </c>
      <c r="DS16" s="18"/>
      <c r="DT16" s="18" t="n">
        <v>281.9</v>
      </c>
      <c r="DU16" s="18"/>
      <c r="DV16" s="18"/>
      <c r="DW16" s="18" t="n">
        <v>281.9</v>
      </c>
      <c r="DX16" s="18"/>
      <c r="DY16" s="18"/>
      <c r="DZ16" s="18"/>
      <c r="EA16" s="18" t="n">
        <v>282.1</v>
      </c>
      <c r="EB16" s="18"/>
      <c r="EC16" s="18"/>
      <c r="ED16" s="18"/>
      <c r="EE16" s="18"/>
      <c r="EF16" s="18"/>
      <c r="EG16" s="18"/>
      <c r="EH16" s="18" t="n">
        <v>281.9</v>
      </c>
      <c r="EI16" s="18"/>
      <c r="EJ16" s="18" t="n">
        <v>283.4</v>
      </c>
      <c r="EK16" s="18"/>
      <c r="EL16" s="18"/>
      <c r="EM16" s="18"/>
      <c r="EN16" s="18"/>
      <c r="EO16" s="18"/>
      <c r="EP16" s="18" t="n">
        <v>281.9</v>
      </c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</row>
    <row r="17" customFormat="false" ht="15" hidden="false" customHeight="false" outlineLevel="0" collapsed="false">
      <c r="A17" s="31"/>
      <c r="B17" s="17" t="s">
        <v>149</v>
      </c>
      <c r="C17" s="32" t="s">
        <v>150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 t="s">
        <v>151</v>
      </c>
      <c r="BF17" s="18"/>
      <c r="BG17" s="18" t="s">
        <v>152</v>
      </c>
      <c r="BH17" s="18"/>
      <c r="BI17" s="18"/>
      <c r="BJ17" s="18"/>
      <c r="BK17" s="18" t="s">
        <v>152</v>
      </c>
      <c r="BL17" s="18"/>
      <c r="BM17" s="18"/>
      <c r="BN17" s="18"/>
      <c r="BO17" s="18"/>
      <c r="BP17" s="18" t="s">
        <v>153</v>
      </c>
      <c r="BQ17" s="18"/>
      <c r="BR17" s="18"/>
      <c r="BS17" s="18"/>
      <c r="BT17" s="18"/>
      <c r="BU17" s="18"/>
      <c r="BV17" s="18"/>
      <c r="BW17" s="18" t="s">
        <v>154</v>
      </c>
      <c r="BX17" s="18"/>
      <c r="BY17" s="18"/>
      <c r="BZ17" s="18"/>
      <c r="CA17" s="18"/>
      <c r="CB17" s="18"/>
      <c r="CC17" s="18"/>
      <c r="CD17" s="18" t="s">
        <v>155</v>
      </c>
      <c r="CE17" s="18"/>
      <c r="CF17" s="18"/>
      <c r="CG17" s="18"/>
      <c r="CH17" s="18" t="s">
        <v>152</v>
      </c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 t="s">
        <v>153</v>
      </c>
      <c r="CX17" s="18"/>
      <c r="CY17" s="18"/>
      <c r="CZ17" s="18" t="s">
        <v>153</v>
      </c>
      <c r="DA17" s="18"/>
      <c r="DB17" s="18"/>
      <c r="DC17" s="18" t="s">
        <v>152</v>
      </c>
      <c r="DD17" s="18"/>
      <c r="DE17" s="18"/>
      <c r="DF17" s="18"/>
      <c r="DG17" s="18"/>
      <c r="DH17" s="18"/>
      <c r="DI17" s="18" t="s">
        <v>154</v>
      </c>
      <c r="DJ17" s="18" t="s">
        <v>154</v>
      </c>
      <c r="DK17" s="18"/>
      <c r="DL17" s="18"/>
      <c r="DM17" s="18" t="s">
        <v>156</v>
      </c>
      <c r="DN17" s="18"/>
      <c r="DO17" s="18" t="s">
        <v>154</v>
      </c>
      <c r="DP17" s="18"/>
      <c r="DQ17" s="18"/>
      <c r="DR17" s="18" t="s">
        <v>154</v>
      </c>
      <c r="DS17" s="18"/>
      <c r="DT17" s="18" t="s">
        <v>153</v>
      </c>
      <c r="DU17" s="18"/>
      <c r="DV17" s="18"/>
      <c r="DW17" s="18" t="s">
        <v>154</v>
      </c>
      <c r="DX17" s="18"/>
      <c r="DY17" s="18"/>
      <c r="DZ17" s="18"/>
      <c r="EA17" s="18" t="s">
        <v>154</v>
      </c>
      <c r="EB17" s="18"/>
      <c r="EC17" s="18"/>
      <c r="ED17" s="18"/>
      <c r="EE17" s="18"/>
      <c r="EF17" s="18"/>
      <c r="EG17" s="18"/>
      <c r="EH17" s="18" t="s">
        <v>155</v>
      </c>
      <c r="EI17" s="18"/>
      <c r="EJ17" s="18" t="s">
        <v>155</v>
      </c>
      <c r="EK17" s="18"/>
      <c r="EL17" s="18"/>
      <c r="EM17" s="18"/>
      <c r="EN17" s="18"/>
      <c r="EO17" s="18"/>
      <c r="EP17" s="18" t="s">
        <v>154</v>
      </c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</row>
    <row r="18" customFormat="false" ht="15" hidden="false" customHeight="false" outlineLevel="0" collapsed="false">
      <c r="A18" s="33"/>
      <c r="B18" s="20" t="s">
        <v>157</v>
      </c>
      <c r="C18" s="34" t="s">
        <v>147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 t="n">
        <v>400</v>
      </c>
      <c r="BF18" s="18"/>
      <c r="BG18" s="18" t="n">
        <v>400</v>
      </c>
      <c r="BH18" s="18"/>
      <c r="BI18" s="18"/>
      <c r="BJ18" s="18"/>
      <c r="BK18" s="18" t="n">
        <v>400.5</v>
      </c>
      <c r="BL18" s="18"/>
      <c r="BM18" s="18"/>
      <c r="BN18" s="18"/>
      <c r="BO18" s="18"/>
      <c r="BP18" s="18" t="n">
        <v>400.3</v>
      </c>
      <c r="BQ18" s="18"/>
      <c r="BR18" s="18"/>
      <c r="BS18" s="18"/>
      <c r="BT18" s="18"/>
      <c r="BU18" s="18"/>
      <c r="BV18" s="18"/>
      <c r="BW18" s="18" t="n">
        <v>399.5</v>
      </c>
      <c r="BX18" s="18"/>
      <c r="BY18" s="18"/>
      <c r="BZ18" s="18"/>
      <c r="CA18" s="18"/>
      <c r="CB18" s="18"/>
      <c r="CC18" s="18"/>
      <c r="CD18" s="18" t="n">
        <v>398.3</v>
      </c>
      <c r="CE18" s="18"/>
      <c r="CF18" s="18"/>
      <c r="CG18" s="18"/>
      <c r="CH18" s="18" t="n">
        <v>400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 t="n">
        <v>385</v>
      </c>
      <c r="CX18" s="18"/>
      <c r="CY18" s="18"/>
      <c r="CZ18" s="18" t="n">
        <v>400.2</v>
      </c>
      <c r="DA18" s="18"/>
      <c r="DB18" s="18"/>
      <c r="DC18" s="18" t="n">
        <v>400.5</v>
      </c>
      <c r="DD18" s="18"/>
      <c r="DE18" s="18"/>
      <c r="DF18" s="18"/>
      <c r="DG18" s="18" t="n">
        <v>400.3</v>
      </c>
      <c r="DH18" s="18"/>
      <c r="DI18" s="18"/>
      <c r="DJ18" s="18"/>
      <c r="DK18" s="18"/>
      <c r="DL18" s="18"/>
      <c r="DM18" s="18"/>
      <c r="DN18" s="18" t="n">
        <v>388</v>
      </c>
      <c r="DO18" s="18"/>
      <c r="DP18" s="18"/>
      <c r="DQ18" s="18"/>
      <c r="DR18" s="18"/>
      <c r="DS18" s="18"/>
      <c r="DT18" s="18"/>
      <c r="DU18" s="18" t="n">
        <v>385</v>
      </c>
      <c r="DV18" s="18"/>
      <c r="DW18" s="18"/>
      <c r="DX18" s="18"/>
      <c r="DY18" s="18"/>
      <c r="DZ18" s="18"/>
      <c r="EA18" s="18"/>
      <c r="EB18" s="18" t="n">
        <v>385</v>
      </c>
      <c r="EC18" s="18"/>
      <c r="ED18" s="18"/>
      <c r="EE18" s="18"/>
      <c r="EF18" s="18"/>
      <c r="EG18" s="18"/>
      <c r="EH18" s="18"/>
      <c r="EI18" s="18"/>
      <c r="EJ18" s="18" t="n">
        <v>385</v>
      </c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</row>
    <row r="19" customFormat="false" ht="15" hidden="false" customHeight="false" outlineLevel="0" collapsed="false">
      <c r="A19" s="33"/>
      <c r="B19" s="20" t="s">
        <v>158</v>
      </c>
      <c r="C19" s="34" t="s">
        <v>147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 t="n">
        <v>400.5</v>
      </c>
      <c r="BF19" s="18"/>
      <c r="BG19" s="18" t="n">
        <v>402.4</v>
      </c>
      <c r="BH19" s="18"/>
      <c r="BI19" s="18"/>
      <c r="BJ19" s="18"/>
      <c r="BK19" s="18" t="n">
        <v>402.3</v>
      </c>
      <c r="BL19" s="18"/>
      <c r="BM19" s="18"/>
      <c r="BN19" s="18"/>
      <c r="BO19" s="18"/>
      <c r="BP19" s="18" t="n">
        <v>401.9</v>
      </c>
      <c r="BQ19" s="18"/>
      <c r="BR19" s="18"/>
      <c r="BS19" s="18"/>
      <c r="BT19" s="18"/>
      <c r="BU19" s="18"/>
      <c r="BV19" s="18"/>
      <c r="BW19" s="18" t="n">
        <v>401.4</v>
      </c>
      <c r="BX19" s="18"/>
      <c r="BY19" s="18"/>
      <c r="BZ19" s="18"/>
      <c r="CA19" s="18"/>
      <c r="CB19" s="18"/>
      <c r="CC19" s="18"/>
      <c r="CD19" s="18" t="n">
        <v>401.2</v>
      </c>
      <c r="CE19" s="18"/>
      <c r="CF19" s="18"/>
      <c r="CG19" s="18"/>
      <c r="CH19" s="18" t="n">
        <v>402.9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 t="n">
        <v>401</v>
      </c>
      <c r="CX19" s="18"/>
      <c r="CY19" s="18"/>
      <c r="CZ19" s="18" t="n">
        <v>401.9</v>
      </c>
      <c r="DA19" s="18"/>
      <c r="DB19" s="18"/>
      <c r="DC19" s="18" t="n">
        <v>402.6</v>
      </c>
      <c r="DD19" s="18"/>
      <c r="DE19" s="18"/>
      <c r="DF19" s="18"/>
      <c r="DG19" s="18" t="n">
        <v>401.3</v>
      </c>
      <c r="DH19" s="18"/>
      <c r="DI19" s="18"/>
      <c r="DJ19" s="18"/>
      <c r="DK19" s="18"/>
      <c r="DL19" s="18"/>
      <c r="DM19" s="18"/>
      <c r="DN19" s="18" t="n">
        <v>401.1</v>
      </c>
      <c r="DO19" s="18"/>
      <c r="DP19" s="18"/>
      <c r="DQ19" s="18"/>
      <c r="DR19" s="18"/>
      <c r="DS19" s="18"/>
      <c r="DT19" s="18"/>
      <c r="DU19" s="18" t="n">
        <v>401.5</v>
      </c>
      <c r="DV19" s="18"/>
      <c r="DW19" s="18"/>
      <c r="DX19" s="18"/>
      <c r="DY19" s="18"/>
      <c r="DZ19" s="18"/>
      <c r="EA19" s="18"/>
      <c r="EB19" s="18" t="n">
        <v>401.5</v>
      </c>
      <c r="EC19" s="18"/>
      <c r="ED19" s="18"/>
      <c r="EE19" s="18"/>
      <c r="EF19" s="18"/>
      <c r="EG19" s="18"/>
      <c r="EH19" s="18"/>
      <c r="EI19" s="18"/>
      <c r="EJ19" s="18" t="n">
        <v>403.9</v>
      </c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</row>
    <row r="20" customFormat="false" ht="15" hidden="false" customHeight="false" outlineLevel="0" collapsed="false">
      <c r="A20" s="33"/>
      <c r="B20" s="20" t="s">
        <v>159</v>
      </c>
      <c r="C20" s="34" t="s">
        <v>150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 t="s">
        <v>151</v>
      </c>
      <c r="BF20" s="18"/>
      <c r="BG20" s="18" t="s">
        <v>152</v>
      </c>
      <c r="BH20" s="18"/>
      <c r="BI20" s="18"/>
      <c r="BJ20" s="18"/>
      <c r="BK20" s="18" t="s">
        <v>152</v>
      </c>
      <c r="BL20" s="18"/>
      <c r="BM20" s="18"/>
      <c r="BN20" s="18"/>
      <c r="BO20" s="18"/>
      <c r="BP20" s="18" t="s">
        <v>153</v>
      </c>
      <c r="BQ20" s="18"/>
      <c r="BR20" s="18"/>
      <c r="BS20" s="18"/>
      <c r="BT20" s="18"/>
      <c r="BU20" s="18"/>
      <c r="BV20" s="18"/>
      <c r="BW20" s="18" t="s">
        <v>154</v>
      </c>
      <c r="BX20" s="18"/>
      <c r="BY20" s="18"/>
      <c r="BZ20" s="18"/>
      <c r="CA20" s="18"/>
      <c r="CB20" s="18"/>
      <c r="CC20" s="18"/>
      <c r="CD20" s="18" t="s">
        <v>155</v>
      </c>
      <c r="CE20" s="18"/>
      <c r="CF20" s="18"/>
      <c r="CG20" s="18"/>
      <c r="CH20" s="18" t="s">
        <v>152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 t="s">
        <v>153</v>
      </c>
      <c r="CX20" s="18"/>
      <c r="CY20" s="18"/>
      <c r="CZ20" s="18" t="s">
        <v>153</v>
      </c>
      <c r="DA20" s="18"/>
      <c r="DB20" s="18"/>
      <c r="DC20" s="18" t="s">
        <v>152</v>
      </c>
      <c r="DD20" s="18"/>
      <c r="DE20" s="18"/>
      <c r="DF20" s="18"/>
      <c r="DG20" s="18" t="s">
        <v>154</v>
      </c>
      <c r="DH20" s="18"/>
      <c r="DI20" s="18"/>
      <c r="DJ20" s="18"/>
      <c r="DK20" s="18"/>
      <c r="DL20" s="18"/>
      <c r="DM20" s="18"/>
      <c r="DN20" s="18" t="s">
        <v>154</v>
      </c>
      <c r="DO20" s="18"/>
      <c r="DP20" s="18"/>
      <c r="DQ20" s="18"/>
      <c r="DR20" s="18"/>
      <c r="DS20" s="18"/>
      <c r="DT20" s="18"/>
      <c r="DU20" s="18" t="s">
        <v>153</v>
      </c>
      <c r="DV20" s="18"/>
      <c r="DW20" s="18"/>
      <c r="DX20" s="18"/>
      <c r="DY20" s="18"/>
      <c r="DZ20" s="18"/>
      <c r="EA20" s="18"/>
      <c r="EB20" s="18" t="s">
        <v>153</v>
      </c>
      <c r="EC20" s="18"/>
      <c r="ED20" s="18"/>
      <c r="EE20" s="18"/>
      <c r="EF20" s="18"/>
      <c r="EG20" s="18"/>
      <c r="EH20" s="18"/>
      <c r="EI20" s="18"/>
      <c r="EJ20" s="18" t="s">
        <v>160</v>
      </c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</row>
    <row r="21" customFormat="false" ht="15" hidden="false" customHeight="false" outlineLevel="0" collapsed="false">
      <c r="A21" s="31"/>
      <c r="B21" s="17" t="s">
        <v>161</v>
      </c>
      <c r="C21" s="32" t="s">
        <v>140</v>
      </c>
      <c r="D21" s="35" t="str">
        <f aca="false">IF(Data_Farmer!D21="","",Data_Farmer!D21)</f>
        <v/>
      </c>
      <c r="E21" s="35" t="str">
        <f aca="false">IF(Data_Farmer!E21="","",Data_Farmer!E21)</f>
        <v/>
      </c>
      <c r="F21" s="35" t="str">
        <f aca="false">IF(Data_Farmer!F21="","",Data_Farmer!F21)</f>
        <v/>
      </c>
      <c r="G21" s="35" t="str">
        <f aca="false">IF(Data_Farmer!G21="","",Data_Farmer!G21)</f>
        <v/>
      </c>
      <c r="H21" s="35" t="str">
        <f aca="false">IF(Data_Farmer!H21="","",Data_Farmer!H21)</f>
        <v/>
      </c>
      <c r="I21" s="35" t="str">
        <f aca="false">IF(Data_Farmer!I21="","",Data_Farmer!I21)</f>
        <v/>
      </c>
      <c r="J21" s="35" t="str">
        <f aca="false">IF(Data_Farmer!J21="","",Data_Farmer!J21)</f>
        <v/>
      </c>
      <c r="K21" s="35" t="str">
        <f aca="false">IF(Data_Farmer!K21="","",Data_Farmer!K21)</f>
        <v/>
      </c>
      <c r="L21" s="35" t="str">
        <f aca="false">IF(Data_Farmer!L21="","",Data_Farmer!L21)</f>
        <v/>
      </c>
      <c r="M21" s="35" t="str">
        <f aca="false">IF(Data_Farmer!M21="","",Data_Farmer!M21)</f>
        <v/>
      </c>
      <c r="N21" s="35" t="str">
        <f aca="false">IF(Data_Farmer!N21="","",Data_Farmer!N21)</f>
        <v/>
      </c>
      <c r="O21" s="35" t="str">
        <f aca="false">IF(Data_Farmer!O21="","",Data_Farmer!O21)</f>
        <v/>
      </c>
      <c r="P21" s="35" t="str">
        <f aca="false">IF(Data_Farmer!P21="","",Data_Farmer!P21)</f>
        <v/>
      </c>
      <c r="Q21" s="35" t="str">
        <f aca="false">IF(Data_Farmer!Q21="","",Data_Farmer!Q21)</f>
        <v/>
      </c>
      <c r="R21" s="35" t="str">
        <f aca="false">IF(Data_Farmer!R21="","",Data_Farmer!R21)</f>
        <v/>
      </c>
      <c r="S21" s="35" t="str">
        <f aca="false">IF(Data_Farmer!S21="","",Data_Farmer!S21)</f>
        <v/>
      </c>
      <c r="T21" s="35" t="str">
        <f aca="false">IF(Data_Farmer!T21="","",Data_Farmer!T21)</f>
        <v/>
      </c>
      <c r="U21" s="35" t="str">
        <f aca="false">IF(Data_Farmer!U21="","",Data_Farmer!U21)</f>
        <v/>
      </c>
      <c r="V21" s="35" t="str">
        <f aca="false">IF(Data_Farmer!V21="","",Data_Farmer!V21)</f>
        <v/>
      </c>
      <c r="W21" s="35" t="str">
        <f aca="false">IF(Data_Farmer!W21="","",Data_Farmer!W21)</f>
        <v/>
      </c>
      <c r="X21" s="35" t="str">
        <f aca="false">IF(Data_Farmer!X21="","",Data_Farmer!X21)</f>
        <v/>
      </c>
      <c r="Y21" s="35" t="str">
        <f aca="false">IF(Data_Farmer!Y21="","",Data_Farmer!Y21)</f>
        <v/>
      </c>
      <c r="Z21" s="35" t="str">
        <f aca="false">IF(Data_Farmer!Z21="","",Data_Farmer!Z21)</f>
        <v/>
      </c>
      <c r="AA21" s="35" t="str">
        <f aca="false">IF(Data_Farmer!AA21="","",Data_Farmer!AA21)</f>
        <v/>
      </c>
      <c r="AB21" s="35" t="str">
        <f aca="false">IF(Data_Farmer!AB21="","",Data_Farmer!AB21)</f>
        <v/>
      </c>
      <c r="AC21" s="35" t="str">
        <f aca="false">IF(Data_Farmer!AC21="","",Data_Farmer!AC21)</f>
        <v/>
      </c>
      <c r="AD21" s="35" t="str">
        <f aca="false">IF(Data_Farmer!AD21="","",Data_Farmer!AD21)</f>
        <v/>
      </c>
      <c r="AE21" s="35" t="str">
        <f aca="false">IF(Data_Farmer!AE21="","",Data_Farmer!AE21)</f>
        <v/>
      </c>
      <c r="AF21" s="35" t="str">
        <f aca="false">IF(Data_Farmer!AF21="","",Data_Farmer!AF21)</f>
        <v/>
      </c>
      <c r="AG21" s="35" t="str">
        <f aca="false">IF(Data_Farmer!AG21="","",Data_Farmer!AG21)</f>
        <v/>
      </c>
      <c r="AH21" s="35" t="str">
        <f aca="false">IF(Data_Farmer!AH21="","",Data_Farmer!AH21)</f>
        <v/>
      </c>
      <c r="AI21" s="35" t="str">
        <f aca="false">IF(Data_Farmer!AI21="","",Data_Farmer!AI21)</f>
        <v/>
      </c>
      <c r="AJ21" s="35" t="str">
        <f aca="false">IF(Data_Farmer!AJ21="","",Data_Farmer!AJ21)</f>
        <v/>
      </c>
      <c r="AK21" s="35" t="str">
        <f aca="false">IF(Data_Farmer!AK21="","",Data_Farmer!AK21)</f>
        <v/>
      </c>
      <c r="AL21" s="35" t="str">
        <f aca="false">IF(Data_Farmer!AL21="","",Data_Farmer!AL21)</f>
        <v/>
      </c>
      <c r="AM21" s="35" t="str">
        <f aca="false">IF(Data_Farmer!AM21="","",Data_Farmer!AM21)</f>
        <v/>
      </c>
      <c r="AN21" s="35" t="str">
        <f aca="false">IF(Data_Farmer!AN21="","",Data_Farmer!AN21)</f>
        <v/>
      </c>
      <c r="AO21" s="35" t="str">
        <f aca="false">IF(Data_Farmer!AO21="","",Data_Farmer!AO21)</f>
        <v/>
      </c>
      <c r="AP21" s="35" t="str">
        <f aca="false">IF(Data_Farmer!AP21="","",Data_Farmer!AP21)</f>
        <v/>
      </c>
      <c r="AQ21" s="35" t="str">
        <f aca="false">IF(Data_Farmer!AQ21="","",Data_Farmer!AQ21)</f>
        <v/>
      </c>
      <c r="AR21" s="35" t="str">
        <f aca="false">IF(Data_Farmer!AR21="","",Data_Farmer!AR21)</f>
        <v/>
      </c>
      <c r="AS21" s="35" t="str">
        <f aca="false">IF(Data_Farmer!AS21="","",Data_Farmer!AS21)</f>
        <v/>
      </c>
      <c r="AT21" s="35" t="str">
        <f aca="false">IF(Data_Farmer!AT21="","",Data_Farmer!AT21)</f>
        <v/>
      </c>
      <c r="AU21" s="35" t="str">
        <f aca="false">IF(Data_Farmer!AU21="","",Data_Farmer!AU21)</f>
        <v/>
      </c>
      <c r="AV21" s="35" t="str">
        <f aca="false">IF(Data_Farmer!AV21="","",Data_Farmer!AV21)</f>
        <v/>
      </c>
      <c r="AW21" s="35" t="str">
        <f aca="false">IF(Data_Farmer!AW21="","",Data_Farmer!AW21)</f>
        <v/>
      </c>
      <c r="AX21" s="35" t="str">
        <f aca="false">IF(Data_Farmer!AX21="","",Data_Farmer!AX21)</f>
        <v/>
      </c>
      <c r="AY21" s="35" t="str">
        <f aca="false">IF(Data_Farmer!AY21="","",Data_Farmer!AY21)</f>
        <v/>
      </c>
      <c r="AZ21" s="35" t="str">
        <f aca="false">IF(Data_Farmer!AZ21="","",Data_Farmer!AZ21)</f>
        <v/>
      </c>
      <c r="BA21" s="35" t="str">
        <f aca="false">IF(Data_Farmer!BA21="","",Data_Farmer!BA21)</f>
        <v/>
      </c>
      <c r="BB21" s="35" t="str">
        <f aca="false">IF(Data_Farmer!BB21="","",Data_Farmer!BB21)</f>
        <v/>
      </c>
      <c r="BC21" s="35" t="str">
        <f aca="false">IF(Data_Farmer!BC21="","",Data_Farmer!BC21)</f>
        <v/>
      </c>
      <c r="BD21" s="35" t="str">
        <f aca="false">IF(Data_Farmer!BD21="","",Data_Farmer!BD21)</f>
        <v/>
      </c>
      <c r="BE21" s="35" t="n">
        <f aca="false">IF(Data_Farmer!BE21="","",Data_Farmer!BE21)</f>
        <v>7</v>
      </c>
      <c r="BF21" s="35" t="str">
        <f aca="false">IF(Data_Farmer!BF21="","",Data_Farmer!BF21)</f>
        <v/>
      </c>
      <c r="BG21" s="35" t="n">
        <f aca="false">IF(Data_Farmer!BG21="","",Data_Farmer!BG21)</f>
        <v>24</v>
      </c>
      <c r="BH21" s="35" t="str">
        <f aca="false">IF(Data_Farmer!BH21="","",Data_Farmer!BH21)</f>
        <v/>
      </c>
      <c r="BI21" s="35" t="str">
        <f aca="false">IF(Data_Farmer!BI21="","",Data_Farmer!BI21)</f>
        <v/>
      </c>
      <c r="BJ21" s="35" t="str">
        <f aca="false">IF(Data_Farmer!BJ21="","",Data_Farmer!BJ21)</f>
        <v/>
      </c>
      <c r="BK21" s="35" t="n">
        <f aca="false">IF(Data_Farmer!BK21="","",Data_Farmer!BK21)</f>
        <v>18</v>
      </c>
      <c r="BL21" s="35" t="str">
        <f aca="false">IF(Data_Farmer!BL21="","",Data_Farmer!BL21)</f>
        <v/>
      </c>
      <c r="BM21" s="35" t="str">
        <f aca="false">IF(Data_Farmer!BM21="","",Data_Farmer!BM21)</f>
        <v/>
      </c>
      <c r="BN21" s="35" t="str">
        <f aca="false">IF(Data_Farmer!BN21="","",Data_Farmer!BN21)</f>
        <v/>
      </c>
      <c r="BO21" s="35" t="str">
        <f aca="false">IF(Data_Farmer!BO21="","",Data_Farmer!BO21)</f>
        <v/>
      </c>
      <c r="BP21" s="35" t="n">
        <f aca="false">IF(Data_Farmer!BP21="","",Data_Farmer!BP21)</f>
        <v>16</v>
      </c>
      <c r="BQ21" s="35" t="str">
        <f aca="false">IF(Data_Farmer!BQ21="","",Data_Farmer!BQ21)</f>
        <v/>
      </c>
      <c r="BR21" s="35" t="str">
        <f aca="false">IF(Data_Farmer!BR21="","",Data_Farmer!BR21)</f>
        <v/>
      </c>
      <c r="BS21" s="35" t="str">
        <f aca="false">IF(Data_Farmer!BS21="","",Data_Farmer!BS21)</f>
        <v/>
      </c>
      <c r="BT21" s="35" t="str">
        <f aca="false">IF(Data_Farmer!BT21="","",Data_Farmer!BT21)</f>
        <v/>
      </c>
      <c r="BU21" s="35" t="str">
        <f aca="false">IF(Data_Farmer!BU21="","",Data_Farmer!BU21)</f>
        <v/>
      </c>
      <c r="BV21" s="35" t="str">
        <f aca="false">IF(Data_Farmer!BV21="","",Data_Farmer!BV21)</f>
        <v/>
      </c>
      <c r="BW21" s="35" t="n">
        <f aca="false">IF(Data_Farmer!BW21="","",Data_Farmer!BW21)</f>
        <v>27</v>
      </c>
      <c r="BX21" s="35" t="str">
        <f aca="false">IF(Data_Farmer!BX21="","",Data_Farmer!BX21)</f>
        <v/>
      </c>
      <c r="BY21" s="35" t="str">
        <f aca="false">IF(Data_Farmer!BY21="","",Data_Farmer!BY21)</f>
        <v/>
      </c>
      <c r="BZ21" s="35" t="str">
        <f aca="false">IF(Data_Farmer!BZ21="","",Data_Farmer!BZ21)</f>
        <v/>
      </c>
      <c r="CA21" s="35" t="str">
        <f aca="false">IF(Data_Farmer!CA21="","",Data_Farmer!CA21)</f>
        <v/>
      </c>
      <c r="CB21" s="35" t="str">
        <f aca="false">IF(Data_Farmer!CB21="","",Data_Farmer!CB21)</f>
        <v/>
      </c>
      <c r="CC21" s="35" t="str">
        <f aca="false">IF(Data_Farmer!CC21="","",Data_Farmer!CC21)</f>
        <v/>
      </c>
      <c r="CD21" s="35" t="n">
        <f aca="false">IF(Data_Farmer!CD21="","",Data_Farmer!CD21)</f>
        <v>23</v>
      </c>
      <c r="CE21" s="35" t="str">
        <f aca="false">IF(Data_Farmer!CE21="","",Data_Farmer!CE21)</f>
        <v/>
      </c>
      <c r="CF21" s="35" t="str">
        <f aca="false">IF(Data_Farmer!CF21="","",Data_Farmer!CF21)</f>
        <v/>
      </c>
      <c r="CG21" s="35" t="str">
        <f aca="false">IF(Data_Farmer!CG21="","",Data_Farmer!CG21)</f>
        <v/>
      </c>
      <c r="CH21" s="35" t="n">
        <f aca="false">IF(Data_Farmer!CH21="","",Data_Farmer!CH21)</f>
        <v>29</v>
      </c>
      <c r="CI21" s="35" t="str">
        <f aca="false">IF(Data_Farmer!CI21="","",Data_Farmer!CI21)</f>
        <v/>
      </c>
      <c r="CJ21" s="35" t="str">
        <f aca="false">IF(Data_Farmer!CJ21="","",Data_Farmer!CJ21)</f>
        <v/>
      </c>
      <c r="CK21" s="35" t="str">
        <f aca="false">IF(Data_Farmer!CK21="","",Data_Farmer!CK21)</f>
        <v/>
      </c>
      <c r="CL21" s="35" t="str">
        <f aca="false">IF(Data_Farmer!CL21="","",Data_Farmer!CL21)</f>
        <v/>
      </c>
      <c r="CM21" s="35" t="str">
        <f aca="false">IF(Data_Farmer!CM21="","",Data_Farmer!CM21)</f>
        <v/>
      </c>
      <c r="CN21" s="35" t="str">
        <f aca="false">IF(Data_Farmer!CN21="","",Data_Farmer!CN21)</f>
        <v/>
      </c>
      <c r="CO21" s="35" t="str">
        <f aca="false">IF(Data_Farmer!CO21="","",Data_Farmer!CO21)</f>
        <v/>
      </c>
      <c r="CP21" s="35" t="str">
        <f aca="false">IF(Data_Farmer!CP21="","",Data_Farmer!CP21)</f>
        <v/>
      </c>
      <c r="CQ21" s="35" t="str">
        <f aca="false">IF(Data_Farmer!CQ21="","",Data_Farmer!CQ21)</f>
        <v/>
      </c>
      <c r="CR21" s="35" t="str">
        <f aca="false">IF(Data_Farmer!CR21="","",Data_Farmer!CR21)</f>
        <v/>
      </c>
      <c r="CS21" s="35" t="str">
        <f aca="false">IF(Data_Farmer!CS21="","",Data_Farmer!CS21)</f>
        <v/>
      </c>
      <c r="CT21" s="35" t="str">
        <f aca="false">IF(Data_Farmer!CT21="","",Data_Farmer!CT21)</f>
        <v/>
      </c>
      <c r="CU21" s="35" t="str">
        <f aca="false">IF(Data_Farmer!CU21="","",Data_Farmer!CU21)</f>
        <v/>
      </c>
      <c r="CV21" s="35" t="str">
        <f aca="false">IF(Data_Farmer!CV21="","",Data_Farmer!CV21)</f>
        <v/>
      </c>
      <c r="CW21" s="35" t="n">
        <f aca="false">IF(Data_Farmer!CW21="","",Data_Farmer!CW21)</f>
        <v>7</v>
      </c>
      <c r="CX21" s="35" t="str">
        <f aca="false">IF(Data_Farmer!CX21="","",Data_Farmer!CX21)</f>
        <v/>
      </c>
      <c r="CY21" s="35" t="str">
        <f aca="false">IF(Data_Farmer!CY21="","",Data_Farmer!CY21)</f>
        <v/>
      </c>
      <c r="CZ21" s="35" t="n">
        <f aca="false">IF(Data_Farmer!CZ21="","",Data_Farmer!CZ21)</f>
        <v>17</v>
      </c>
      <c r="DA21" s="35" t="str">
        <f aca="false">IF(Data_Farmer!DA21="","",Data_Farmer!DA21)</f>
        <v/>
      </c>
      <c r="DB21" s="35" t="str">
        <f aca="false">IF(Data_Farmer!DB21="","",Data_Farmer!DB21)</f>
        <v/>
      </c>
      <c r="DC21" s="35" t="n">
        <f aca="false">IF(Data_Farmer!DC21="","",Data_Farmer!DC21)</f>
        <v>29</v>
      </c>
      <c r="DD21" s="35" t="str">
        <f aca="false">IF(Data_Farmer!DD21="","",Data_Farmer!DD21)</f>
        <v/>
      </c>
      <c r="DE21" s="35" t="str">
        <f aca="false">IF(Data_Farmer!DE21="","",Data_Farmer!DE21)</f>
        <v/>
      </c>
      <c r="DF21" s="35" t="str">
        <f aca="false">IF(Data_Farmer!DF21="","",Data_Farmer!DF21)</f>
        <v/>
      </c>
      <c r="DG21" s="35" t="str">
        <f aca="false">IF(Data_Farmer!DG21="","",Data_Farmer!DG21)</f>
        <v/>
      </c>
      <c r="DH21" s="35" t="str">
        <f aca="false">IF(Data_Farmer!DH21="","",Data_Farmer!DH21)</f>
        <v/>
      </c>
      <c r="DI21" s="35" t="n">
        <f aca="false">IF(Data_Farmer!DI21="","",Data_Farmer!DI21)</f>
        <v>23</v>
      </c>
      <c r="DJ21" s="35" t="n">
        <f aca="false">IF(Data_Farmer!DJ21="","",Data_Farmer!DJ21)</f>
        <v>19</v>
      </c>
      <c r="DK21" s="35" t="str">
        <f aca="false">IF(Data_Farmer!DK21="","",Data_Farmer!DK21)</f>
        <v/>
      </c>
      <c r="DL21" s="35" t="str">
        <f aca="false">IF(Data_Farmer!DL21="","",Data_Farmer!DL21)</f>
        <v/>
      </c>
      <c r="DM21" s="35" t="n">
        <f aca="false">IF(Data_Farmer!DM21="","",Data_Farmer!DM21)</f>
        <v>8</v>
      </c>
      <c r="DN21" s="35" t="str">
        <f aca="false">IF(Data_Farmer!DN21="","",Data_Farmer!DN21)</f>
        <v/>
      </c>
      <c r="DO21" s="35" t="n">
        <f aca="false">IF(Data_Farmer!DO21="","",Data_Farmer!DO21)</f>
        <v>19</v>
      </c>
      <c r="DP21" s="35" t="str">
        <f aca="false">IF(Data_Farmer!DP21="","",Data_Farmer!DP21)</f>
        <v/>
      </c>
      <c r="DQ21" s="35" t="str">
        <f aca="false">IF(Data_Farmer!DQ21="","",Data_Farmer!DQ21)</f>
        <v/>
      </c>
      <c r="DR21" s="35" t="n">
        <f aca="false">IF(Data_Farmer!DR21="","",Data_Farmer!DR21)</f>
        <v>7</v>
      </c>
      <c r="DS21" s="35" t="str">
        <f aca="false">IF(Data_Farmer!DS21="","",Data_Farmer!DS21)</f>
        <v/>
      </c>
      <c r="DT21" s="35" t="n">
        <f aca="false">IF(Data_Farmer!DT21="","",Data_Farmer!DT21)</f>
        <v>19</v>
      </c>
      <c r="DU21" s="35" t="str">
        <f aca="false">IF(Data_Farmer!DU21="","",Data_Farmer!DU21)</f>
        <v/>
      </c>
      <c r="DV21" s="35" t="str">
        <f aca="false">IF(Data_Farmer!DV21="","",Data_Farmer!DV21)</f>
        <v/>
      </c>
      <c r="DW21" s="35" t="n">
        <f aca="false">IF(Data_Farmer!DW21="","",Data_Farmer!DW21)</f>
        <v>14</v>
      </c>
      <c r="DX21" s="35" t="str">
        <f aca="false">IF(Data_Farmer!DX21="","",Data_Farmer!DX21)</f>
        <v/>
      </c>
      <c r="DY21" s="35" t="str">
        <f aca="false">IF(Data_Farmer!DY21="","",Data_Farmer!DY21)</f>
        <v/>
      </c>
      <c r="DZ21" s="35" t="str">
        <f aca="false">IF(Data_Farmer!DZ21="","",Data_Farmer!DZ21)</f>
        <v/>
      </c>
      <c r="EA21" s="35" t="n">
        <f aca="false">IF(Data_Farmer!EA21="","",Data_Farmer!EA21)</f>
        <v>20</v>
      </c>
      <c r="EB21" s="35" t="str">
        <f aca="false">IF(Data_Farmer!EB21="","",Data_Farmer!EB21)</f>
        <v/>
      </c>
      <c r="EC21" s="35" t="str">
        <f aca="false">IF(Data_Farmer!EC21="","",Data_Farmer!EC21)</f>
        <v/>
      </c>
      <c r="ED21" s="35" t="str">
        <f aca="false">IF(Data_Farmer!ED21="","",Data_Farmer!ED21)</f>
        <v/>
      </c>
      <c r="EE21" s="35" t="str">
        <f aca="false">IF(Data_Farmer!EE21="","",Data_Farmer!EE21)</f>
        <v/>
      </c>
      <c r="EF21" s="35" t="str">
        <f aca="false">IF(Data_Farmer!EF21="","",Data_Farmer!EF21)</f>
        <v/>
      </c>
      <c r="EG21" s="35" t="str">
        <f aca="false">IF(Data_Farmer!EG21="","",Data_Farmer!EG21)</f>
        <v/>
      </c>
      <c r="EH21" s="35" t="n">
        <f aca="false">IF(Data_Farmer!EH21="","",Data_Farmer!EH21)</f>
        <v>13</v>
      </c>
      <c r="EI21" s="35" t="str">
        <f aca="false">IF(Data_Farmer!EI21="","",Data_Farmer!EI21)</f>
        <v/>
      </c>
      <c r="EJ21" s="35" t="n">
        <f aca="false">IF(Data_Farmer!EJ21="","",Data_Farmer!EJ21)</f>
        <v>24</v>
      </c>
      <c r="EK21" s="35" t="str">
        <f aca="false">IF(Data_Farmer!EK21="","",Data_Farmer!EK21)</f>
        <v/>
      </c>
      <c r="EL21" s="35" t="str">
        <f aca="false">IF(Data_Farmer!EL21="","",Data_Farmer!EL21)</f>
        <v/>
      </c>
      <c r="EM21" s="35" t="str">
        <f aca="false">IF(Data_Farmer!EM21="","",Data_Farmer!EM21)</f>
        <v/>
      </c>
      <c r="EN21" s="35" t="str">
        <f aca="false">IF(Data_Farmer!EN21="","",Data_Farmer!EN21)</f>
        <v/>
      </c>
      <c r="EO21" s="35" t="str">
        <f aca="false">IF(Data_Farmer!EO21="","",Data_Farmer!EO21)</f>
        <v/>
      </c>
      <c r="EP21" s="35" t="n">
        <f aca="false">IF(Data_Farmer!EP21="","",Data_Farmer!EP21)</f>
        <v>14</v>
      </c>
      <c r="EQ21" s="35" t="str">
        <f aca="false">IF(Data_Farmer!EQ21="","",Data_Farmer!EQ21)</f>
        <v/>
      </c>
      <c r="ER21" s="35" t="str">
        <f aca="false">IF(Data_Farmer!ER21="","",Data_Farmer!ER21)</f>
        <v/>
      </c>
      <c r="ES21" s="35" t="str">
        <f aca="false">IF(Data_Farmer!ES21="","",Data_Farmer!ES21)</f>
        <v/>
      </c>
      <c r="ET21" s="35" t="str">
        <f aca="false">IF(Data_Farmer!ET21="","",Data_Farmer!ET21)</f>
        <v/>
      </c>
      <c r="EU21" s="35" t="str">
        <f aca="false">IF(Data_Farmer!EU21="","",Data_Farmer!EU21)</f>
        <v/>
      </c>
      <c r="EV21" s="35" t="str">
        <f aca="false">IF(Data_Farmer!EV21="","",Data_Farmer!EV21)</f>
        <v/>
      </c>
      <c r="EW21" s="35" t="str">
        <f aca="false">IF(Data_Farmer!EW21="","",Data_Farmer!EW21)</f>
        <v/>
      </c>
      <c r="EX21" s="35" t="str">
        <f aca="false">IF(Data_Farmer!EX21="","",Data_Farmer!EX21)</f>
        <v/>
      </c>
      <c r="EY21" s="35" t="str">
        <f aca="false">IF(Data_Farmer!EY21="","",Data_Farmer!EY21)</f>
        <v/>
      </c>
      <c r="EZ21" s="35" t="str">
        <f aca="false">IF(Data_Farmer!EZ21="","",Data_Farmer!EZ21)</f>
        <v/>
      </c>
      <c r="FA21" s="35" t="str">
        <f aca="false">IF(Data_Farmer!FA21="","",Data_Farmer!FA21)</f>
        <v/>
      </c>
      <c r="FB21" s="35" t="str">
        <f aca="false">IF(Data_Farmer!FB21="","",Data_Farmer!FB21)</f>
        <v/>
      </c>
      <c r="FC21" s="35" t="str">
        <f aca="false">IF(Data_Farmer!FC21="","",Data_Farmer!FC21)</f>
        <v/>
      </c>
      <c r="FD21" s="35" t="str">
        <f aca="false">IF(Data_Farmer!FD21="","",Data_Farmer!FD21)</f>
        <v/>
      </c>
      <c r="FE21" s="35" t="str">
        <f aca="false">IF(Data_Farmer!FE21="","",Data_Farmer!FE21)</f>
        <v/>
      </c>
      <c r="FF21" s="35" t="str">
        <f aca="false">IF(Data_Farmer!FF21="","",Data_Farmer!FF21)</f>
        <v/>
      </c>
      <c r="FG21" s="35" t="str">
        <f aca="false">IF(Data_Farmer!FG21="","",Data_Farmer!FG21)</f>
        <v/>
      </c>
      <c r="FH21" s="35" t="str">
        <f aca="false">IF(Data_Farmer!FH21="","",Data_Farmer!FH21)</f>
        <v/>
      </c>
      <c r="FI21" s="35" t="str">
        <f aca="false">IF(Data_Farmer!FI21="","",Data_Farmer!FI21)</f>
        <v/>
      </c>
      <c r="FJ21" s="35" t="str">
        <f aca="false">IF(Data_Farmer!FJ21="","",Data_Farmer!FJ21)</f>
        <v/>
      </c>
      <c r="FK21" s="35" t="str">
        <f aca="false">IF(Data_Farmer!FK21="","",Data_Farmer!FK21)</f>
        <v/>
      </c>
      <c r="FL21" s="35" t="str">
        <f aca="false">IF(Data_Farmer!FL21="","",Data_Farmer!FL21)</f>
        <v/>
      </c>
      <c r="FM21" s="35" t="str">
        <f aca="false">IF(Data_Farmer!FM21="","",Data_Farmer!FM21)</f>
        <v/>
      </c>
      <c r="FN21" s="35" t="str">
        <f aca="false">IF(Data_Farmer!FN21="","",Data_Farmer!FN21)</f>
        <v/>
      </c>
      <c r="FO21" s="35" t="str">
        <f aca="false">IF(Data_Farmer!FO21="","",Data_Farmer!FO21)</f>
        <v/>
      </c>
      <c r="FP21" s="35" t="str">
        <f aca="false">IF(Data_Farmer!FP21="","",Data_Farmer!FP21)</f>
        <v/>
      </c>
      <c r="FQ21" s="35" t="str">
        <f aca="false">IF(Data_Farmer!FQ21="","",Data_Farmer!FQ21)</f>
        <v/>
      </c>
    </row>
    <row r="22" customFormat="false" ht="15" hidden="false" customHeight="false" outlineLevel="0" collapsed="false">
      <c r="A22" s="33"/>
      <c r="B22" s="20" t="s">
        <v>162</v>
      </c>
      <c r="C22" s="34" t="s">
        <v>140</v>
      </c>
      <c r="D22" s="35" t="str">
        <f aca="false">IF(Data_Farmer!D46="","",Data_Farmer!D46)</f>
        <v/>
      </c>
      <c r="E22" s="35" t="str">
        <f aca="false">IF(Data_Farmer!E46="","",Data_Farmer!E46)</f>
        <v/>
      </c>
      <c r="F22" s="35" t="str">
        <f aca="false">IF(Data_Farmer!F46="","",Data_Farmer!F46)</f>
        <v/>
      </c>
      <c r="G22" s="35" t="str">
        <f aca="false">IF(Data_Farmer!G46="","",Data_Farmer!G46)</f>
        <v/>
      </c>
      <c r="H22" s="35" t="str">
        <f aca="false">IF(Data_Farmer!H46="","",Data_Farmer!H46)</f>
        <v/>
      </c>
      <c r="I22" s="35" t="str">
        <f aca="false">IF(Data_Farmer!I46="","",Data_Farmer!I46)</f>
        <v/>
      </c>
      <c r="J22" s="35" t="str">
        <f aca="false">IF(Data_Farmer!J46="","",Data_Farmer!J46)</f>
        <v/>
      </c>
      <c r="K22" s="35" t="str">
        <f aca="false">IF(Data_Farmer!K46="","",Data_Farmer!K46)</f>
        <v/>
      </c>
      <c r="L22" s="35" t="str">
        <f aca="false">IF(Data_Farmer!L46="","",Data_Farmer!L46)</f>
        <v/>
      </c>
      <c r="M22" s="35" t="str">
        <f aca="false">IF(Data_Farmer!M46="","",Data_Farmer!M46)</f>
        <v/>
      </c>
      <c r="N22" s="35" t="str">
        <f aca="false">IF(Data_Farmer!N46="","",Data_Farmer!N46)</f>
        <v/>
      </c>
      <c r="O22" s="35" t="str">
        <f aca="false">IF(Data_Farmer!O46="","",Data_Farmer!O46)</f>
        <v/>
      </c>
      <c r="P22" s="35" t="str">
        <f aca="false">IF(Data_Farmer!P46="","",Data_Farmer!P46)</f>
        <v/>
      </c>
      <c r="Q22" s="35" t="str">
        <f aca="false">IF(Data_Farmer!Q46="","",Data_Farmer!Q46)</f>
        <v/>
      </c>
      <c r="R22" s="35" t="str">
        <f aca="false">IF(Data_Farmer!R46="","",Data_Farmer!R46)</f>
        <v/>
      </c>
      <c r="S22" s="35" t="str">
        <f aca="false">IF(Data_Farmer!S46="","",Data_Farmer!S46)</f>
        <v/>
      </c>
      <c r="T22" s="35" t="str">
        <f aca="false">IF(Data_Farmer!T46="","",Data_Farmer!T46)</f>
        <v/>
      </c>
      <c r="U22" s="35" t="str">
        <f aca="false">IF(Data_Farmer!U46="","",Data_Farmer!U46)</f>
        <v/>
      </c>
      <c r="V22" s="35" t="str">
        <f aca="false">IF(Data_Farmer!V46="","",Data_Farmer!V46)</f>
        <v/>
      </c>
      <c r="W22" s="35" t="str">
        <f aca="false">IF(Data_Farmer!W46="","",Data_Farmer!W46)</f>
        <v/>
      </c>
      <c r="X22" s="35" t="str">
        <f aca="false">IF(Data_Farmer!X46="","",Data_Farmer!X46)</f>
        <v/>
      </c>
      <c r="Y22" s="35" t="str">
        <f aca="false">IF(Data_Farmer!Y46="","",Data_Farmer!Y46)</f>
        <v/>
      </c>
      <c r="Z22" s="35" t="str">
        <f aca="false">IF(Data_Farmer!Z46="","",Data_Farmer!Z46)</f>
        <v/>
      </c>
      <c r="AA22" s="35" t="str">
        <f aca="false">IF(Data_Farmer!AA46="","",Data_Farmer!AA46)</f>
        <v/>
      </c>
      <c r="AB22" s="35" t="str">
        <f aca="false">IF(Data_Farmer!AB46="","",Data_Farmer!AB46)</f>
        <v/>
      </c>
      <c r="AC22" s="35" t="str">
        <f aca="false">IF(Data_Farmer!AC46="","",Data_Farmer!AC46)</f>
        <v/>
      </c>
      <c r="AD22" s="35" t="str">
        <f aca="false">IF(Data_Farmer!AD46="","",Data_Farmer!AD46)</f>
        <v/>
      </c>
      <c r="AE22" s="35" t="str">
        <f aca="false">IF(Data_Farmer!AE46="","",Data_Farmer!AE46)</f>
        <v/>
      </c>
      <c r="AF22" s="35" t="str">
        <f aca="false">IF(Data_Farmer!AF46="","",Data_Farmer!AF46)</f>
        <v/>
      </c>
      <c r="AG22" s="35" t="str">
        <f aca="false">IF(Data_Farmer!AG46="","",Data_Farmer!AG46)</f>
        <v/>
      </c>
      <c r="AH22" s="35" t="str">
        <f aca="false">IF(Data_Farmer!AH46="","",Data_Farmer!AH46)</f>
        <v/>
      </c>
      <c r="AI22" s="35" t="str">
        <f aca="false">IF(Data_Farmer!AI46="","",Data_Farmer!AI46)</f>
        <v/>
      </c>
      <c r="AJ22" s="35" t="str">
        <f aca="false">IF(Data_Farmer!AJ46="","",Data_Farmer!AJ46)</f>
        <v/>
      </c>
      <c r="AK22" s="35" t="str">
        <f aca="false">IF(Data_Farmer!AK46="","",Data_Farmer!AK46)</f>
        <v/>
      </c>
      <c r="AL22" s="35" t="str">
        <f aca="false">IF(Data_Farmer!AL46="","",Data_Farmer!AL46)</f>
        <v/>
      </c>
      <c r="AM22" s="35" t="str">
        <f aca="false">IF(Data_Farmer!AM46="","",Data_Farmer!AM46)</f>
        <v/>
      </c>
      <c r="AN22" s="35" t="str">
        <f aca="false">IF(Data_Farmer!AN46="","",Data_Farmer!AN46)</f>
        <v/>
      </c>
      <c r="AO22" s="35" t="str">
        <f aca="false">IF(Data_Farmer!AO46="","",Data_Farmer!AO46)</f>
        <v/>
      </c>
      <c r="AP22" s="35" t="str">
        <f aca="false">IF(Data_Farmer!AP46="","",Data_Farmer!AP46)</f>
        <v/>
      </c>
      <c r="AQ22" s="35" t="str">
        <f aca="false">IF(Data_Farmer!AQ46="","",Data_Farmer!AQ46)</f>
        <v/>
      </c>
      <c r="AR22" s="35" t="str">
        <f aca="false">IF(Data_Farmer!AR46="","",Data_Farmer!AR46)</f>
        <v/>
      </c>
      <c r="AS22" s="35" t="str">
        <f aca="false">IF(Data_Farmer!AS46="","",Data_Farmer!AS46)</f>
        <v/>
      </c>
      <c r="AT22" s="35" t="str">
        <f aca="false">IF(Data_Farmer!AT46="","",Data_Farmer!AT46)</f>
        <v/>
      </c>
      <c r="AU22" s="35" t="str">
        <f aca="false">IF(Data_Farmer!AU46="","",Data_Farmer!AU46)</f>
        <v/>
      </c>
      <c r="AV22" s="35" t="str">
        <f aca="false">IF(Data_Farmer!AV46="","",Data_Farmer!AV46)</f>
        <v/>
      </c>
      <c r="AW22" s="35" t="str">
        <f aca="false">IF(Data_Farmer!AW46="","",Data_Farmer!AW46)</f>
        <v/>
      </c>
      <c r="AX22" s="35" t="str">
        <f aca="false">IF(Data_Farmer!AX46="","",Data_Farmer!AX46)</f>
        <v/>
      </c>
      <c r="AY22" s="35" t="str">
        <f aca="false">IF(Data_Farmer!AY46="","",Data_Farmer!AY46)</f>
        <v/>
      </c>
      <c r="AZ22" s="35" t="str">
        <f aca="false">IF(Data_Farmer!AZ46="","",Data_Farmer!AZ46)</f>
        <v/>
      </c>
      <c r="BA22" s="35" t="str">
        <f aca="false">IF(Data_Farmer!BA46="","",Data_Farmer!BA46)</f>
        <v/>
      </c>
      <c r="BB22" s="35" t="str">
        <f aca="false">IF(Data_Farmer!BB46="","",Data_Farmer!BB46)</f>
        <v/>
      </c>
      <c r="BC22" s="35" t="str">
        <f aca="false">IF(Data_Farmer!BC46="","",Data_Farmer!BC46)</f>
        <v/>
      </c>
      <c r="BD22" s="35" t="str">
        <f aca="false">IF(Data_Farmer!BD46="","",Data_Farmer!BD46)</f>
        <v/>
      </c>
      <c r="BE22" s="35" t="n">
        <f aca="false">IF(Data_Farmer!BE46="","",Data_Farmer!BE46)</f>
        <v>5</v>
      </c>
      <c r="BF22" s="35" t="str">
        <f aca="false">IF(Data_Farmer!BF46="","",Data_Farmer!BF46)</f>
        <v/>
      </c>
      <c r="BG22" s="35" t="n">
        <f aca="false">IF(Data_Farmer!BG46="","",Data_Farmer!BG46)</f>
        <v>24</v>
      </c>
      <c r="BH22" s="35" t="str">
        <f aca="false">IF(Data_Farmer!BH46="","",Data_Farmer!BH46)</f>
        <v/>
      </c>
      <c r="BI22" s="35" t="str">
        <f aca="false">IF(Data_Farmer!BI46="","",Data_Farmer!BI46)</f>
        <v/>
      </c>
      <c r="BJ22" s="35" t="str">
        <f aca="false">IF(Data_Farmer!BJ46="","",Data_Farmer!BJ46)</f>
        <v/>
      </c>
      <c r="BK22" s="35" t="n">
        <f aca="false">IF(Data_Farmer!BK46="","",Data_Farmer!BK46)</f>
        <v>18</v>
      </c>
      <c r="BL22" s="35" t="str">
        <f aca="false">IF(Data_Farmer!BL46="","",Data_Farmer!BL46)</f>
        <v/>
      </c>
      <c r="BM22" s="35" t="str">
        <f aca="false">IF(Data_Farmer!BM46="","",Data_Farmer!BM46)</f>
        <v/>
      </c>
      <c r="BN22" s="35" t="str">
        <f aca="false">IF(Data_Farmer!BN46="","",Data_Farmer!BN46)</f>
        <v/>
      </c>
      <c r="BO22" s="35" t="str">
        <f aca="false">IF(Data_Farmer!BO46="","",Data_Farmer!BO46)</f>
        <v/>
      </c>
      <c r="BP22" s="35" t="n">
        <f aca="false">IF(Data_Farmer!BP46="","",Data_Farmer!BP46)</f>
        <v>16</v>
      </c>
      <c r="BQ22" s="35" t="str">
        <f aca="false">IF(Data_Farmer!BQ46="","",Data_Farmer!BQ46)</f>
        <v/>
      </c>
      <c r="BR22" s="35" t="str">
        <f aca="false">IF(Data_Farmer!BR46="","",Data_Farmer!BR46)</f>
        <v/>
      </c>
      <c r="BS22" s="35" t="str">
        <f aca="false">IF(Data_Farmer!BS46="","",Data_Farmer!BS46)</f>
        <v/>
      </c>
      <c r="BT22" s="35" t="str">
        <f aca="false">IF(Data_Farmer!BT46="","",Data_Farmer!BT46)</f>
        <v/>
      </c>
      <c r="BU22" s="35" t="str">
        <f aca="false">IF(Data_Farmer!BU46="","",Data_Farmer!BU46)</f>
        <v/>
      </c>
      <c r="BV22" s="35" t="str">
        <f aca="false">IF(Data_Farmer!BV46="","",Data_Farmer!BV46)</f>
        <v/>
      </c>
      <c r="BW22" s="35" t="n">
        <f aca="false">IF(Data_Farmer!BW46="","",Data_Farmer!BW46)</f>
        <v>19</v>
      </c>
      <c r="BX22" s="35" t="str">
        <f aca="false">IF(Data_Farmer!BX46="","",Data_Farmer!BX46)</f>
        <v/>
      </c>
      <c r="BY22" s="35" t="str">
        <f aca="false">IF(Data_Farmer!BY46="","",Data_Farmer!BY46)</f>
        <v/>
      </c>
      <c r="BZ22" s="35" t="str">
        <f aca="false">IF(Data_Farmer!BZ46="","",Data_Farmer!BZ46)</f>
        <v/>
      </c>
      <c r="CA22" s="35" t="str">
        <f aca="false">IF(Data_Farmer!CA46="","",Data_Farmer!CA46)</f>
        <v/>
      </c>
      <c r="CB22" s="35" t="str">
        <f aca="false">IF(Data_Farmer!CB46="","",Data_Farmer!CB46)</f>
        <v/>
      </c>
      <c r="CC22" s="35" t="str">
        <f aca="false">IF(Data_Farmer!CC46="","",Data_Farmer!CC46)</f>
        <v/>
      </c>
      <c r="CD22" s="35" t="n">
        <f aca="false">IF(Data_Farmer!CD46="","",Data_Farmer!CD46)</f>
        <v>22</v>
      </c>
      <c r="CE22" s="35" t="str">
        <f aca="false">IF(Data_Farmer!CE46="","",Data_Farmer!CE46)</f>
        <v/>
      </c>
      <c r="CF22" s="35" t="str">
        <f aca="false">IF(Data_Farmer!CF46="","",Data_Farmer!CF46)</f>
        <v/>
      </c>
      <c r="CG22" s="35" t="str">
        <f aca="false">IF(Data_Farmer!CG46="","",Data_Farmer!CG46)</f>
        <v/>
      </c>
      <c r="CH22" s="35" t="n">
        <f aca="false">IF(Data_Farmer!CH46="","",Data_Farmer!CH46)</f>
        <v>29</v>
      </c>
      <c r="CI22" s="35" t="str">
        <f aca="false">IF(Data_Farmer!CI46="","",Data_Farmer!CI46)</f>
        <v/>
      </c>
      <c r="CJ22" s="35" t="str">
        <f aca="false">IF(Data_Farmer!CJ46="","",Data_Farmer!CJ46)</f>
        <v/>
      </c>
      <c r="CK22" s="35" t="str">
        <f aca="false">IF(Data_Farmer!CK46="","",Data_Farmer!CK46)</f>
        <v/>
      </c>
      <c r="CL22" s="35" t="str">
        <f aca="false">IF(Data_Farmer!CL46="","",Data_Farmer!CL46)</f>
        <v/>
      </c>
      <c r="CM22" s="35" t="str">
        <f aca="false">IF(Data_Farmer!CM46="","",Data_Farmer!CM46)</f>
        <v/>
      </c>
      <c r="CN22" s="35" t="str">
        <f aca="false">IF(Data_Farmer!CN46="","",Data_Farmer!CN46)</f>
        <v/>
      </c>
      <c r="CO22" s="35" t="str">
        <f aca="false">IF(Data_Farmer!CO46="","",Data_Farmer!CO46)</f>
        <v/>
      </c>
      <c r="CP22" s="35" t="str">
        <f aca="false">IF(Data_Farmer!CP46="","",Data_Farmer!CP46)</f>
        <v/>
      </c>
      <c r="CQ22" s="35" t="str">
        <f aca="false">IF(Data_Farmer!CQ46="","",Data_Farmer!CQ46)</f>
        <v/>
      </c>
      <c r="CR22" s="35" t="str">
        <f aca="false">IF(Data_Farmer!CR46="","",Data_Farmer!CR46)</f>
        <v/>
      </c>
      <c r="CS22" s="35" t="str">
        <f aca="false">IF(Data_Farmer!CS46="","",Data_Farmer!CS46)</f>
        <v/>
      </c>
      <c r="CT22" s="35" t="str">
        <f aca="false">IF(Data_Farmer!CT46="","",Data_Farmer!CT46)</f>
        <v/>
      </c>
      <c r="CU22" s="35" t="str">
        <f aca="false">IF(Data_Farmer!CU46="","",Data_Farmer!CU46)</f>
        <v/>
      </c>
      <c r="CV22" s="35" t="str">
        <f aca="false">IF(Data_Farmer!CV46="","",Data_Farmer!CV46)</f>
        <v/>
      </c>
      <c r="CW22" s="35" t="n">
        <f aca="false">IF(Data_Farmer!CW46="","",Data_Farmer!CW46)</f>
        <v>10</v>
      </c>
      <c r="CX22" s="35" t="str">
        <f aca="false">IF(Data_Farmer!CX46="","",Data_Farmer!CX46)</f>
        <v/>
      </c>
      <c r="CY22" s="35" t="str">
        <f aca="false">IF(Data_Farmer!CY46="","",Data_Farmer!CY46)</f>
        <v/>
      </c>
      <c r="CZ22" s="35" t="n">
        <f aca="false">IF(Data_Farmer!CZ46="","",Data_Farmer!CZ46)</f>
        <v>17</v>
      </c>
      <c r="DA22" s="35" t="str">
        <f aca="false">IF(Data_Farmer!DA46="","",Data_Farmer!DA46)</f>
        <v/>
      </c>
      <c r="DB22" s="35" t="str">
        <f aca="false">IF(Data_Farmer!DB46="","",Data_Farmer!DB46)</f>
        <v/>
      </c>
      <c r="DC22" s="35" t="n">
        <f aca="false">IF(Data_Farmer!DC46="","",Data_Farmer!DC46)</f>
        <v>21</v>
      </c>
      <c r="DD22" s="35" t="str">
        <f aca="false">IF(Data_Farmer!DD46="","",Data_Farmer!DD46)</f>
        <v/>
      </c>
      <c r="DE22" s="35" t="str">
        <f aca="false">IF(Data_Farmer!DE46="","",Data_Farmer!DE46)</f>
        <v/>
      </c>
      <c r="DF22" s="35" t="str">
        <f aca="false">IF(Data_Farmer!DF46="","",Data_Farmer!DF46)</f>
        <v/>
      </c>
      <c r="DG22" s="35" t="n">
        <f aca="false">IF(Data_Farmer!DG46="","",Data_Farmer!DG46)</f>
        <v>10</v>
      </c>
      <c r="DH22" s="35" t="str">
        <f aca="false">IF(Data_Farmer!DH46="","",Data_Farmer!DH46)</f>
        <v/>
      </c>
      <c r="DI22" s="35" t="str">
        <f aca="false">IF(Data_Farmer!DI46="","",Data_Farmer!DI46)</f>
        <v/>
      </c>
      <c r="DJ22" s="35" t="str">
        <f aca="false">IF(Data_Farmer!DJ46="","",Data_Farmer!DJ46)</f>
        <v/>
      </c>
      <c r="DK22" s="35" t="str">
        <f aca="false">IF(Data_Farmer!DK46="","",Data_Farmer!DK46)</f>
        <v/>
      </c>
      <c r="DL22" s="35" t="str">
        <f aca="false">IF(Data_Farmer!DL46="","",Data_Farmer!DL46)</f>
        <v/>
      </c>
      <c r="DM22" s="35" t="str">
        <f aca="false">IF(Data_Farmer!DM46="","",Data_Farmer!DM46)</f>
        <v/>
      </c>
      <c r="DN22" s="35" t="n">
        <f aca="false">IF(Data_Farmer!DN46="","",Data_Farmer!DN46)</f>
        <v>11</v>
      </c>
      <c r="DO22" s="35" t="str">
        <f aca="false">IF(Data_Farmer!DO46="","",Data_Farmer!DO46)</f>
        <v/>
      </c>
      <c r="DP22" s="35" t="str">
        <f aca="false">IF(Data_Farmer!DP46="","",Data_Farmer!DP46)</f>
        <v/>
      </c>
      <c r="DQ22" s="35" t="str">
        <f aca="false">IF(Data_Farmer!DQ46="","",Data_Farmer!DQ46)</f>
        <v/>
      </c>
      <c r="DR22" s="35" t="str">
        <f aca="false">IF(Data_Farmer!DR46="","",Data_Farmer!DR46)</f>
        <v/>
      </c>
      <c r="DS22" s="35" t="str">
        <f aca="false">IF(Data_Farmer!DS46="","",Data_Farmer!DS46)</f>
        <v/>
      </c>
      <c r="DT22" s="35" t="str">
        <f aca="false">IF(Data_Farmer!DT46="","",Data_Farmer!DT46)</f>
        <v/>
      </c>
      <c r="DU22" s="35" t="n">
        <f aca="false">IF(Data_Farmer!DU46="","",Data_Farmer!DU46)</f>
        <v>15</v>
      </c>
      <c r="DV22" s="35" t="str">
        <f aca="false">IF(Data_Farmer!DV46="","",Data_Farmer!DV46)</f>
        <v/>
      </c>
      <c r="DW22" s="35" t="str">
        <f aca="false">IF(Data_Farmer!DW46="","",Data_Farmer!DW46)</f>
        <v/>
      </c>
      <c r="DX22" s="35" t="str">
        <f aca="false">IF(Data_Farmer!DX46="","",Data_Farmer!DX46)</f>
        <v/>
      </c>
      <c r="DY22" s="35" t="str">
        <f aca="false">IF(Data_Farmer!DY46="","",Data_Farmer!DY46)</f>
        <v/>
      </c>
      <c r="DZ22" s="35" t="str">
        <f aca="false">IF(Data_Farmer!DZ46="","",Data_Farmer!DZ46)</f>
        <v/>
      </c>
      <c r="EA22" s="35" t="str">
        <f aca="false">IF(Data_Farmer!EA46="","",Data_Farmer!EA46)</f>
        <v/>
      </c>
      <c r="EB22" s="35" t="n">
        <f aca="false">IF(Data_Farmer!EB46="","",Data_Farmer!EB46)</f>
        <v>15</v>
      </c>
      <c r="EC22" s="35" t="str">
        <f aca="false">IF(Data_Farmer!EC46="","",Data_Farmer!EC46)</f>
        <v/>
      </c>
      <c r="ED22" s="35" t="str">
        <f aca="false">IF(Data_Farmer!ED46="","",Data_Farmer!ED46)</f>
        <v/>
      </c>
      <c r="EE22" s="35" t="str">
        <f aca="false">IF(Data_Farmer!EE46="","",Data_Farmer!EE46)</f>
        <v/>
      </c>
      <c r="EF22" s="35" t="str">
        <f aca="false">IF(Data_Farmer!EF46="","",Data_Farmer!EF46)</f>
        <v/>
      </c>
      <c r="EG22" s="35" t="str">
        <f aca="false">IF(Data_Farmer!EG46="","",Data_Farmer!EG46)</f>
        <v/>
      </c>
      <c r="EH22" s="35" t="str">
        <f aca="false">IF(Data_Farmer!EH46="","",Data_Farmer!EH46)</f>
        <v/>
      </c>
      <c r="EI22" s="35" t="str">
        <f aca="false">IF(Data_Farmer!EI46="","",Data_Farmer!EI46)</f>
        <v/>
      </c>
      <c r="EJ22" s="35" t="n">
        <f aca="false">IF(Data_Farmer!EJ46="","",Data_Farmer!EJ46)</f>
        <v>39</v>
      </c>
      <c r="EK22" s="35" t="str">
        <f aca="false">IF(Data_Farmer!EK46="","",Data_Farmer!EK46)</f>
        <v/>
      </c>
      <c r="EL22" s="35" t="str">
        <f aca="false">IF(Data_Farmer!EL46="","",Data_Farmer!EL46)</f>
        <v/>
      </c>
      <c r="EM22" s="35" t="str">
        <f aca="false">IF(Data_Farmer!EM46="","",Data_Farmer!EM46)</f>
        <v/>
      </c>
      <c r="EN22" s="35" t="str">
        <f aca="false">IF(Data_Farmer!EN46="","",Data_Farmer!EN46)</f>
        <v/>
      </c>
      <c r="EO22" s="35" t="str">
        <f aca="false">IF(Data_Farmer!EO46="","",Data_Farmer!EO46)</f>
        <v/>
      </c>
      <c r="EP22" s="35" t="str">
        <f aca="false">IF(Data_Farmer!EP46="","",Data_Farmer!EP46)</f>
        <v/>
      </c>
      <c r="EQ22" s="35" t="str">
        <f aca="false">IF(Data_Farmer!EQ46="","",Data_Farmer!EQ46)</f>
        <v/>
      </c>
      <c r="ER22" s="35" t="str">
        <f aca="false">IF(Data_Farmer!ER46="","",Data_Farmer!ER46)</f>
        <v/>
      </c>
      <c r="ES22" s="35" t="str">
        <f aca="false">IF(Data_Farmer!ES46="","",Data_Farmer!ES46)</f>
        <v/>
      </c>
      <c r="ET22" s="35" t="str">
        <f aca="false">IF(Data_Farmer!ET46="","",Data_Farmer!ET46)</f>
        <v/>
      </c>
      <c r="EU22" s="35" t="str">
        <f aca="false">IF(Data_Farmer!EU46="","",Data_Farmer!EU46)</f>
        <v/>
      </c>
      <c r="EV22" s="35" t="str">
        <f aca="false">IF(Data_Farmer!EV46="","",Data_Farmer!EV46)</f>
        <v/>
      </c>
      <c r="EW22" s="35" t="str">
        <f aca="false">IF(Data_Farmer!EW46="","",Data_Farmer!EW46)</f>
        <v/>
      </c>
      <c r="EX22" s="35" t="str">
        <f aca="false">IF(Data_Farmer!EX46="","",Data_Farmer!EX46)</f>
        <v/>
      </c>
      <c r="EY22" s="35" t="str">
        <f aca="false">IF(Data_Farmer!EY46="","",Data_Farmer!EY46)</f>
        <v/>
      </c>
      <c r="EZ22" s="35" t="str">
        <f aca="false">IF(Data_Farmer!EZ46="","",Data_Farmer!EZ46)</f>
        <v/>
      </c>
      <c r="FA22" s="35" t="str">
        <f aca="false">IF(Data_Farmer!FA46="","",Data_Farmer!FA46)</f>
        <v/>
      </c>
      <c r="FB22" s="35" t="str">
        <f aca="false">IF(Data_Farmer!FB46="","",Data_Farmer!FB46)</f>
        <v/>
      </c>
      <c r="FC22" s="35" t="str">
        <f aca="false">IF(Data_Farmer!FC46="","",Data_Farmer!FC46)</f>
        <v/>
      </c>
      <c r="FD22" s="35" t="str">
        <f aca="false">IF(Data_Farmer!FD46="","",Data_Farmer!FD46)</f>
        <v/>
      </c>
      <c r="FE22" s="35" t="str">
        <f aca="false">IF(Data_Farmer!FE46="","",Data_Farmer!FE46)</f>
        <v/>
      </c>
      <c r="FF22" s="35" t="str">
        <f aca="false">IF(Data_Farmer!FF46="","",Data_Farmer!FF46)</f>
        <v/>
      </c>
      <c r="FG22" s="35" t="str">
        <f aca="false">IF(Data_Farmer!FG46="","",Data_Farmer!FG46)</f>
        <v/>
      </c>
      <c r="FH22" s="35" t="str">
        <f aca="false">IF(Data_Farmer!FH46="","",Data_Farmer!FH46)</f>
        <v/>
      </c>
      <c r="FI22" s="35" t="str">
        <f aca="false">IF(Data_Farmer!FI46="","",Data_Farmer!FI46)</f>
        <v/>
      </c>
      <c r="FJ22" s="35" t="str">
        <f aca="false">IF(Data_Farmer!FJ46="","",Data_Farmer!FJ46)</f>
        <v/>
      </c>
      <c r="FK22" s="35" t="str">
        <f aca="false">IF(Data_Farmer!FK46="","",Data_Farmer!FK46)</f>
        <v/>
      </c>
      <c r="FL22" s="35" t="str">
        <f aca="false">IF(Data_Farmer!FL46="","",Data_Farmer!FL46)</f>
        <v/>
      </c>
      <c r="FM22" s="35" t="str">
        <f aca="false">IF(Data_Farmer!FM46="","",Data_Farmer!FM46)</f>
        <v/>
      </c>
      <c r="FN22" s="35" t="str">
        <f aca="false">IF(Data_Farmer!FN46="","",Data_Farmer!FN46)</f>
        <v/>
      </c>
      <c r="FO22" s="35" t="str">
        <f aca="false">IF(Data_Farmer!FO46="","",Data_Farmer!FO46)</f>
        <v/>
      </c>
      <c r="FP22" s="35" t="str">
        <f aca="false">IF(Data_Farmer!FP46="","",Data_Farmer!FP46)</f>
        <v/>
      </c>
      <c r="FQ22" s="35" t="str">
        <f aca="false">IF(Data_Farmer!FQ46="","",Data_Farmer!FQ46)</f>
        <v/>
      </c>
    </row>
    <row r="24" customFormat="false" ht="15" hidden="false" customHeight="false" outlineLevel="0" collapsed="false">
      <c r="A24" s="8"/>
      <c r="B24" s="30" t="s">
        <v>163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</row>
    <row r="25" customFormat="false" ht="15" hidden="false" customHeight="false" outlineLevel="0" collapsed="false">
      <c r="A25" s="37"/>
      <c r="B25" s="38" t="s">
        <v>164</v>
      </c>
      <c r="C25" s="39" t="s">
        <v>165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 t="n">
        <v>3.2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 t="n">
        <v>7.3</v>
      </c>
      <c r="DP25" s="18"/>
      <c r="DQ25" s="18"/>
      <c r="DR25" s="18"/>
      <c r="DS25" s="18"/>
      <c r="DT25" s="18"/>
      <c r="DU25" s="18" t="n">
        <v>2.1</v>
      </c>
      <c r="DV25" s="18"/>
      <c r="DW25" s="18"/>
      <c r="DX25" s="18"/>
      <c r="DY25" s="18"/>
      <c r="DZ25" s="18"/>
      <c r="EA25" s="18"/>
      <c r="EB25" s="18" t="n">
        <v>7.3</v>
      </c>
      <c r="EC25" s="18" t="n">
        <v>2</v>
      </c>
      <c r="ED25" s="18" t="n">
        <v>1.1</v>
      </c>
      <c r="EE25" s="18" t="n">
        <v>21.1</v>
      </c>
      <c r="EF25" s="18"/>
      <c r="EG25" s="18"/>
      <c r="EH25" s="18"/>
      <c r="EI25" s="18"/>
      <c r="EJ25" s="18"/>
      <c r="EK25" s="18"/>
      <c r="EL25" s="18"/>
      <c r="EM25" s="18" t="n">
        <v>15.8</v>
      </c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</row>
    <row r="26" customFormat="false" ht="15" hidden="false" customHeight="false" outlineLevel="0" collapsed="false">
      <c r="A26" s="37"/>
      <c r="B26" s="38" t="s">
        <v>166</v>
      </c>
      <c r="C26" s="39" t="s">
        <v>150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n">
        <v>25</v>
      </c>
      <c r="BE26" s="18" t="n">
        <v>25</v>
      </c>
      <c r="BF26" s="18" t="n">
        <v>23</v>
      </c>
      <c r="BG26" s="18" t="n">
        <v>20</v>
      </c>
      <c r="BH26" s="18" t="n">
        <v>17</v>
      </c>
      <c r="BI26" s="18" t="n">
        <v>23</v>
      </c>
      <c r="BJ26" s="18" t="n">
        <v>22</v>
      </c>
      <c r="BK26" s="18" t="n">
        <v>21</v>
      </c>
      <c r="BL26" s="18" t="n">
        <v>23</v>
      </c>
      <c r="BM26" s="18" t="n">
        <v>19</v>
      </c>
      <c r="BN26" s="18" t="n">
        <v>24</v>
      </c>
      <c r="BO26" s="18" t="n">
        <v>24</v>
      </c>
      <c r="BP26" s="18" t="n">
        <v>24</v>
      </c>
      <c r="BQ26" s="18" t="n">
        <v>23</v>
      </c>
      <c r="BR26" s="18" t="n">
        <v>17</v>
      </c>
      <c r="BS26" s="18" t="n">
        <v>24</v>
      </c>
      <c r="BT26" s="18" t="n">
        <v>24</v>
      </c>
      <c r="BU26" s="18" t="n">
        <v>23</v>
      </c>
      <c r="BV26" s="18" t="n">
        <v>24</v>
      </c>
      <c r="BW26" s="18" t="n">
        <v>21</v>
      </c>
      <c r="BX26" s="18" t="n">
        <v>25</v>
      </c>
      <c r="BY26" s="18" t="n">
        <v>19</v>
      </c>
      <c r="BZ26" s="18" t="n">
        <v>25</v>
      </c>
      <c r="CA26" s="18"/>
      <c r="CB26" s="18" t="n">
        <v>23</v>
      </c>
      <c r="CC26" s="18" t="n">
        <v>24</v>
      </c>
      <c r="CD26" s="18" t="n">
        <v>24</v>
      </c>
      <c r="CE26" s="18" t="n">
        <v>20</v>
      </c>
      <c r="CF26" s="18" t="n">
        <v>18</v>
      </c>
      <c r="CG26" s="18" t="n">
        <v>21</v>
      </c>
      <c r="CH26" s="18" t="n">
        <v>21</v>
      </c>
      <c r="CI26" s="18" t="n">
        <v>25</v>
      </c>
      <c r="CJ26" s="18" t="n">
        <v>28</v>
      </c>
      <c r="CK26" s="18" t="n">
        <v>24</v>
      </c>
      <c r="CL26" s="18" t="n">
        <v>24</v>
      </c>
      <c r="CM26" s="18" t="n">
        <v>23</v>
      </c>
      <c r="CN26" s="18" t="n">
        <v>27</v>
      </c>
      <c r="CO26" s="18" t="n">
        <v>28</v>
      </c>
      <c r="CP26" s="18" t="n">
        <v>21</v>
      </c>
      <c r="CQ26" s="18" t="n">
        <v>21</v>
      </c>
      <c r="CR26" s="18" t="n">
        <v>22</v>
      </c>
      <c r="CS26" s="18" t="n">
        <v>26</v>
      </c>
      <c r="CT26" s="18" t="n">
        <v>30</v>
      </c>
      <c r="CU26" s="18" t="n">
        <v>31</v>
      </c>
      <c r="CV26" s="18" t="n">
        <v>24</v>
      </c>
      <c r="CW26" s="18" t="n">
        <v>28</v>
      </c>
      <c r="CX26" s="18" t="n">
        <v>29</v>
      </c>
      <c r="CY26" s="18" t="n">
        <v>31</v>
      </c>
      <c r="CZ26" s="18" t="n">
        <v>29</v>
      </c>
      <c r="DA26" s="18" t="n">
        <v>29</v>
      </c>
      <c r="DB26" s="18" t="n">
        <v>31</v>
      </c>
      <c r="DC26" s="18" t="n">
        <v>28</v>
      </c>
      <c r="DD26" s="18" t="n">
        <v>31</v>
      </c>
      <c r="DE26" s="18" t="n">
        <v>33</v>
      </c>
      <c r="DF26" s="18" t="n">
        <v>26</v>
      </c>
      <c r="DG26" s="18" t="n">
        <v>32</v>
      </c>
      <c r="DH26" s="18" t="n">
        <v>33</v>
      </c>
      <c r="DI26" s="18" t="n">
        <v>31</v>
      </c>
      <c r="DJ26" s="18" t="n">
        <v>29</v>
      </c>
      <c r="DK26" s="18" t="n">
        <v>31</v>
      </c>
      <c r="DL26" s="18"/>
      <c r="DM26" s="18" t="n">
        <v>23</v>
      </c>
      <c r="DN26" s="18" t="n">
        <v>28</v>
      </c>
      <c r="DO26" s="18" t="n">
        <v>31</v>
      </c>
      <c r="DP26" s="18" t="n">
        <v>28</v>
      </c>
      <c r="DQ26" s="18" t="n">
        <v>32</v>
      </c>
      <c r="DR26" s="18" t="n">
        <v>24</v>
      </c>
      <c r="DS26" s="18" t="n">
        <v>23</v>
      </c>
      <c r="DT26" s="18" t="n">
        <v>22</v>
      </c>
      <c r="DU26" s="18" t="n">
        <v>32</v>
      </c>
      <c r="DV26" s="18" t="n">
        <v>29</v>
      </c>
      <c r="DW26" s="18" t="n">
        <v>28</v>
      </c>
      <c r="DX26" s="18" t="n">
        <v>34</v>
      </c>
      <c r="DY26" s="18" t="n">
        <v>37</v>
      </c>
      <c r="DZ26" s="18" t="n">
        <v>36</v>
      </c>
      <c r="EA26" s="18" t="n">
        <v>34</v>
      </c>
      <c r="EB26" s="18" t="n">
        <v>33</v>
      </c>
      <c r="EC26" s="18" t="n">
        <v>31</v>
      </c>
      <c r="ED26" s="18" t="n">
        <v>29</v>
      </c>
      <c r="EE26" s="18" t="n">
        <v>24</v>
      </c>
      <c r="EF26" s="18" t="n">
        <v>31</v>
      </c>
      <c r="EG26" s="18" t="n">
        <v>32</v>
      </c>
      <c r="EH26" s="18" t="n">
        <v>33</v>
      </c>
      <c r="EI26" s="18" t="n">
        <v>34</v>
      </c>
      <c r="EJ26" s="18" t="n">
        <v>35</v>
      </c>
      <c r="EK26" s="18" t="n">
        <v>35</v>
      </c>
      <c r="EL26" s="18" t="n">
        <v>33</v>
      </c>
      <c r="EM26" s="18" t="n">
        <v>31</v>
      </c>
      <c r="EN26" s="18" t="n">
        <v>34</v>
      </c>
      <c r="EO26" s="18" t="n">
        <v>35</v>
      </c>
      <c r="EP26" s="18" t="n">
        <v>37</v>
      </c>
      <c r="EQ26" s="18" t="n">
        <v>36</v>
      </c>
      <c r="ER26" s="18" t="n">
        <v>36</v>
      </c>
      <c r="ES26" s="18" t="n">
        <v>37</v>
      </c>
      <c r="ET26" s="18" t="n">
        <v>32</v>
      </c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</row>
    <row r="27" customFormat="false" ht="15" hidden="false" customHeight="false" outlineLevel="0" collapsed="false">
      <c r="A27" s="37"/>
      <c r="B27" s="38" t="s">
        <v>167</v>
      </c>
      <c r="C27" s="39" t="s">
        <v>150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n">
        <v>49</v>
      </c>
      <c r="BE27" s="18" t="n">
        <v>53</v>
      </c>
      <c r="BF27" s="18" t="n">
        <v>51</v>
      </c>
      <c r="BG27" s="18" t="n">
        <v>66</v>
      </c>
      <c r="BH27" s="18" t="n">
        <v>85</v>
      </c>
      <c r="BI27" s="18" t="n">
        <v>60</v>
      </c>
      <c r="BJ27" s="18" t="n">
        <v>67</v>
      </c>
      <c r="BK27" s="18" t="n">
        <v>64</v>
      </c>
      <c r="BL27" s="18" t="n">
        <v>61</v>
      </c>
      <c r="BM27" s="18" t="n">
        <v>76</v>
      </c>
      <c r="BN27" s="18" t="n">
        <v>55</v>
      </c>
      <c r="BO27" s="18" t="n">
        <v>55</v>
      </c>
      <c r="BP27" s="18" t="n">
        <v>44</v>
      </c>
      <c r="BQ27" s="18" t="n">
        <v>58</v>
      </c>
      <c r="BR27" s="18" t="n">
        <v>85</v>
      </c>
      <c r="BS27" s="18" t="n">
        <v>65</v>
      </c>
      <c r="BT27" s="18" t="n">
        <v>52</v>
      </c>
      <c r="BU27" s="18" t="n">
        <v>42</v>
      </c>
      <c r="BV27" s="18" t="n">
        <v>45</v>
      </c>
      <c r="BW27" s="18" t="n">
        <v>65</v>
      </c>
      <c r="BX27" s="18" t="n">
        <v>45</v>
      </c>
      <c r="BY27" s="18" t="n">
        <v>72</v>
      </c>
      <c r="BZ27" s="18" t="n">
        <v>52</v>
      </c>
      <c r="CA27" s="18"/>
      <c r="CB27" s="18" t="n">
        <v>51</v>
      </c>
      <c r="CC27" s="18" t="n">
        <v>49</v>
      </c>
      <c r="CD27" s="18" t="n">
        <v>49</v>
      </c>
      <c r="CE27" s="18" t="n">
        <v>70</v>
      </c>
      <c r="CF27" s="18" t="n">
        <v>76</v>
      </c>
      <c r="CG27" s="18" t="n">
        <v>73</v>
      </c>
      <c r="CH27" s="18" t="n">
        <v>69</v>
      </c>
      <c r="CI27" s="18" t="n">
        <v>58</v>
      </c>
      <c r="CJ27" s="18" t="n">
        <v>48</v>
      </c>
      <c r="CK27" s="18" t="n">
        <v>65</v>
      </c>
      <c r="CL27" s="18" t="n">
        <v>70</v>
      </c>
      <c r="CM27" s="18" t="n">
        <v>72</v>
      </c>
      <c r="CN27" s="18" t="n">
        <v>62</v>
      </c>
      <c r="CO27" s="18" t="n">
        <v>45</v>
      </c>
      <c r="CP27" s="18" t="n">
        <v>76</v>
      </c>
      <c r="CQ27" s="18" t="n">
        <v>76</v>
      </c>
      <c r="CR27" s="18" t="n">
        <v>97</v>
      </c>
      <c r="CS27" s="18" t="n">
        <v>91</v>
      </c>
      <c r="CT27" s="18" t="n">
        <v>31</v>
      </c>
      <c r="CU27" s="18" t="n">
        <v>29</v>
      </c>
      <c r="CV27" s="18" t="n">
        <v>50</v>
      </c>
      <c r="CW27" s="18" t="n">
        <v>59</v>
      </c>
      <c r="CX27" s="18" t="n">
        <v>49</v>
      </c>
      <c r="CY27" s="18" t="n">
        <v>46</v>
      </c>
      <c r="CZ27" s="18" t="n">
        <v>58</v>
      </c>
      <c r="DA27" s="18" t="n">
        <v>59</v>
      </c>
      <c r="DB27" s="18" t="n">
        <v>54</v>
      </c>
      <c r="DC27" s="18" t="n">
        <v>65</v>
      </c>
      <c r="DD27" s="18" t="n">
        <v>65</v>
      </c>
      <c r="DE27" s="18" t="n">
        <v>44</v>
      </c>
      <c r="DF27" s="18" t="n">
        <v>78</v>
      </c>
      <c r="DG27" s="18" t="n">
        <v>55</v>
      </c>
      <c r="DH27" s="18" t="n">
        <v>42</v>
      </c>
      <c r="DI27" s="18" t="n">
        <v>60</v>
      </c>
      <c r="DJ27" s="18" t="n">
        <v>64</v>
      </c>
      <c r="DK27" s="18" t="n">
        <v>54</v>
      </c>
      <c r="DL27" s="18"/>
      <c r="DM27" s="18" t="n">
        <v>69</v>
      </c>
      <c r="DN27" s="18" t="n">
        <v>49</v>
      </c>
      <c r="DO27" s="18" t="n">
        <v>47</v>
      </c>
      <c r="DP27" s="18" t="n">
        <v>68</v>
      </c>
      <c r="DQ27" s="18" t="n">
        <v>48</v>
      </c>
      <c r="DR27" s="18" t="n">
        <v>85</v>
      </c>
      <c r="DS27" s="18" t="n">
        <v>77</v>
      </c>
      <c r="DT27" s="18" t="n">
        <v>86</v>
      </c>
      <c r="DU27" s="18" t="n">
        <v>61</v>
      </c>
      <c r="DV27" s="18" t="n">
        <v>68</v>
      </c>
      <c r="DW27" s="18" t="n">
        <v>81</v>
      </c>
      <c r="DX27" s="18" t="n">
        <v>50</v>
      </c>
      <c r="DY27" s="18" t="n">
        <v>36</v>
      </c>
      <c r="DZ27" s="18" t="n">
        <v>34</v>
      </c>
      <c r="EA27" s="18" t="n">
        <v>38</v>
      </c>
      <c r="EB27" s="18" t="n">
        <v>43</v>
      </c>
      <c r="EC27" s="18" t="n">
        <v>53</v>
      </c>
      <c r="ED27" s="18" t="n">
        <v>64</v>
      </c>
      <c r="EE27" s="18" t="n">
        <v>80</v>
      </c>
      <c r="EF27" s="18" t="n">
        <v>44</v>
      </c>
      <c r="EG27" s="18" t="n">
        <v>38</v>
      </c>
      <c r="EH27" s="18" t="n">
        <v>42</v>
      </c>
      <c r="EI27" s="18" t="n">
        <v>51</v>
      </c>
      <c r="EJ27" s="18" t="n">
        <v>42</v>
      </c>
      <c r="EK27" s="18" t="n">
        <v>51</v>
      </c>
      <c r="EL27" s="18" t="n">
        <v>56</v>
      </c>
      <c r="EM27" s="18" t="n">
        <v>72</v>
      </c>
      <c r="EN27" s="18" t="n">
        <v>51</v>
      </c>
      <c r="EO27" s="18" t="n">
        <v>54</v>
      </c>
      <c r="EP27" s="18" t="n">
        <v>46</v>
      </c>
      <c r="EQ27" s="18" t="n">
        <v>46</v>
      </c>
      <c r="ER27" s="18" t="n">
        <v>46</v>
      </c>
      <c r="ES27" s="18" t="n">
        <v>40</v>
      </c>
      <c r="ET27" s="18" t="n">
        <v>64</v>
      </c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</row>
    <row r="28" customFormat="false" ht="15" hidden="false" customHeight="false" outlineLevel="0" collapsed="false">
      <c r="A28" s="37"/>
      <c r="B28" s="38" t="s">
        <v>168</v>
      </c>
      <c r="C28" s="39" t="s">
        <v>169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</row>
    <row r="29" customFormat="false" ht="15" hidden="false" customHeight="false" outlineLevel="0" collapsed="false">
      <c r="A29" s="37"/>
      <c r="B29" s="38" t="s">
        <v>170</v>
      </c>
      <c r="C29" s="39" t="s">
        <v>171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</row>
    <row r="31" customFormat="false" ht="15" hidden="false" customHeight="false" outlineLevel="0" collapsed="false">
      <c r="A31" s="40"/>
      <c r="B31" s="41" t="s">
        <v>172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</row>
    <row r="32" customFormat="false" ht="15" hidden="false" customHeight="false" outlineLevel="0" collapsed="false">
      <c r="A32" s="31"/>
      <c r="B32" s="17" t="s">
        <v>173</v>
      </c>
      <c r="C32" s="32" t="s">
        <v>169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</row>
    <row r="33" customFormat="false" ht="15" hidden="false" customHeight="false" outlineLevel="0" collapsed="false">
      <c r="A33" s="31"/>
      <c r="B33" s="17" t="s">
        <v>174</v>
      </c>
      <c r="C33" s="32" t="s">
        <v>169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175</v>
      </c>
      <c r="BE33" s="18" t="s">
        <v>175</v>
      </c>
      <c r="BF33" s="18" t="s">
        <v>175</v>
      </c>
      <c r="BG33" s="18" t="s">
        <v>175</v>
      </c>
      <c r="BH33" s="18" t="s">
        <v>175</v>
      </c>
      <c r="BI33" s="18" t="s">
        <v>175</v>
      </c>
      <c r="BJ33" s="18" t="s">
        <v>175</v>
      </c>
      <c r="BK33" s="18" t="s">
        <v>175</v>
      </c>
      <c r="BL33" s="18" t="s">
        <v>175</v>
      </c>
      <c r="BM33" s="18" t="s">
        <v>175</v>
      </c>
      <c r="BN33" s="18" t="s">
        <v>175</v>
      </c>
      <c r="BO33" s="18" t="s">
        <v>175</v>
      </c>
      <c r="BP33" s="18" t="s">
        <v>175</v>
      </c>
      <c r="BQ33" s="18" t="s">
        <v>175</v>
      </c>
      <c r="BR33" s="18" t="s">
        <v>175</v>
      </c>
      <c r="BS33" s="18" t="s">
        <v>175</v>
      </c>
      <c r="BT33" s="18" t="s">
        <v>175</v>
      </c>
      <c r="BU33" s="18" t="s">
        <v>175</v>
      </c>
      <c r="BV33" s="18" t="s">
        <v>175</v>
      </c>
      <c r="BW33" s="18" t="s">
        <v>175</v>
      </c>
      <c r="BX33" s="18" t="s">
        <v>175</v>
      </c>
      <c r="BY33" s="18" t="s">
        <v>175</v>
      </c>
      <c r="BZ33" s="18" t="s">
        <v>175</v>
      </c>
      <c r="CA33" s="18"/>
      <c r="CB33" s="18" t="s">
        <v>175</v>
      </c>
      <c r="CC33" s="18" t="s">
        <v>175</v>
      </c>
      <c r="CD33" s="18" t="s">
        <v>175</v>
      </c>
      <c r="CE33" s="18" t="s">
        <v>175</v>
      </c>
      <c r="CF33" s="18" t="s">
        <v>175</v>
      </c>
      <c r="CG33" s="18" t="s">
        <v>175</v>
      </c>
      <c r="CH33" s="18" t="s">
        <v>175</v>
      </c>
      <c r="CI33" s="18" t="s">
        <v>175</v>
      </c>
      <c r="CJ33" s="18" t="s">
        <v>175</v>
      </c>
      <c r="CK33" s="18" t="s">
        <v>175</v>
      </c>
      <c r="CL33" s="18" t="s">
        <v>175</v>
      </c>
      <c r="CM33" s="18" t="s">
        <v>175</v>
      </c>
      <c r="CN33" s="18" t="s">
        <v>175</v>
      </c>
      <c r="CO33" s="18" t="s">
        <v>175</v>
      </c>
      <c r="CP33" s="18" t="s">
        <v>175</v>
      </c>
      <c r="CQ33" s="18" t="s">
        <v>175</v>
      </c>
      <c r="CR33" s="18" t="s">
        <v>175</v>
      </c>
      <c r="CS33" s="18" t="s">
        <v>175</v>
      </c>
      <c r="CT33" s="18" t="s">
        <v>175</v>
      </c>
      <c r="CU33" s="18" t="s">
        <v>175</v>
      </c>
      <c r="CV33" s="18" t="s">
        <v>175</v>
      </c>
      <c r="CW33" s="18" t="s">
        <v>175</v>
      </c>
      <c r="CX33" s="18" t="s">
        <v>175</v>
      </c>
      <c r="CY33" s="18" t="s">
        <v>175</v>
      </c>
      <c r="CZ33" s="18" t="s">
        <v>175</v>
      </c>
      <c r="DA33" s="18" t="s">
        <v>175</v>
      </c>
      <c r="DB33" s="18" t="s">
        <v>175</v>
      </c>
      <c r="DC33" s="18" t="s">
        <v>175</v>
      </c>
      <c r="DD33" s="18" t="s">
        <v>175</v>
      </c>
      <c r="DE33" s="18" t="s">
        <v>175</v>
      </c>
      <c r="DF33" s="18" t="s">
        <v>175</v>
      </c>
      <c r="DG33" s="18" t="s">
        <v>175</v>
      </c>
      <c r="DH33" s="18" t="s">
        <v>175</v>
      </c>
      <c r="DI33" s="18" t="s">
        <v>175</v>
      </c>
      <c r="DJ33" s="18" t="s">
        <v>175</v>
      </c>
      <c r="DK33" s="18" t="s">
        <v>175</v>
      </c>
      <c r="DL33" s="18"/>
      <c r="DM33" s="18" t="s">
        <v>175</v>
      </c>
      <c r="DN33" s="18" t="s">
        <v>175</v>
      </c>
      <c r="DO33" s="18" t="s">
        <v>175</v>
      </c>
      <c r="DP33" s="18" t="s">
        <v>175</v>
      </c>
      <c r="DQ33" s="18" t="s">
        <v>175</v>
      </c>
      <c r="DR33" s="18" t="s">
        <v>175</v>
      </c>
      <c r="DS33" s="18" t="s">
        <v>175</v>
      </c>
      <c r="DT33" s="18" t="s">
        <v>175</v>
      </c>
      <c r="DU33" s="18" t="s">
        <v>175</v>
      </c>
      <c r="DV33" s="18" t="s">
        <v>175</v>
      </c>
      <c r="DW33" s="18" t="s">
        <v>175</v>
      </c>
      <c r="DX33" s="18" t="s">
        <v>175</v>
      </c>
      <c r="DY33" s="18" t="s">
        <v>175</v>
      </c>
      <c r="DZ33" s="18" t="s">
        <v>175</v>
      </c>
      <c r="EA33" s="18" t="s">
        <v>175</v>
      </c>
      <c r="EB33" s="18" t="s">
        <v>175</v>
      </c>
      <c r="EC33" s="18" t="s">
        <v>175</v>
      </c>
      <c r="ED33" s="18" t="s">
        <v>175</v>
      </c>
      <c r="EE33" s="18" t="s">
        <v>175</v>
      </c>
      <c r="EF33" s="18" t="s">
        <v>175</v>
      </c>
      <c r="EG33" s="18" t="s">
        <v>175</v>
      </c>
      <c r="EH33" s="18" t="s">
        <v>175</v>
      </c>
      <c r="EI33" s="18" t="s">
        <v>175</v>
      </c>
      <c r="EJ33" s="18" t="s">
        <v>175</v>
      </c>
      <c r="EK33" s="18" t="s">
        <v>175</v>
      </c>
      <c r="EL33" s="18" t="s">
        <v>175</v>
      </c>
      <c r="EM33" s="18" t="s">
        <v>175</v>
      </c>
      <c r="EN33" s="18" t="s">
        <v>175</v>
      </c>
      <c r="EO33" s="18" t="s">
        <v>175</v>
      </c>
      <c r="EP33" s="18" t="s">
        <v>175</v>
      </c>
      <c r="EQ33" s="18" t="s">
        <v>175</v>
      </c>
      <c r="ER33" s="18" t="s">
        <v>175</v>
      </c>
      <c r="ES33" s="18" t="s">
        <v>175</v>
      </c>
      <c r="ET33" s="18" t="s">
        <v>175</v>
      </c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</row>
    <row r="34" customFormat="false" ht="15" hidden="false" customHeight="false" outlineLevel="0" collapsed="false">
      <c r="A34" s="31"/>
      <c r="B34" s="17" t="s">
        <v>176</v>
      </c>
      <c r="C34" s="32" t="s">
        <v>177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 t="n">
        <v>20</v>
      </c>
      <c r="BF34" s="18"/>
      <c r="BG34" s="18" t="n">
        <v>20</v>
      </c>
      <c r="BH34" s="18"/>
      <c r="BI34" s="18"/>
      <c r="BJ34" s="18"/>
      <c r="BK34" s="18" t="n">
        <v>20</v>
      </c>
      <c r="BL34" s="18"/>
      <c r="BM34" s="18"/>
      <c r="BN34" s="18"/>
      <c r="BO34" s="18"/>
      <c r="BP34" s="18" t="n">
        <v>20</v>
      </c>
      <c r="BQ34" s="18"/>
      <c r="BR34" s="18"/>
      <c r="BS34" s="18"/>
      <c r="BT34" s="18"/>
      <c r="BU34" s="18"/>
      <c r="BV34" s="18"/>
      <c r="BW34" s="18" t="n">
        <v>20</v>
      </c>
      <c r="BX34" s="18"/>
      <c r="BY34" s="18"/>
      <c r="BZ34" s="18"/>
      <c r="CA34" s="18"/>
      <c r="CB34" s="18"/>
      <c r="CC34" s="18"/>
      <c r="CD34" s="18" t="n">
        <v>20</v>
      </c>
      <c r="CE34" s="18"/>
      <c r="CF34" s="18"/>
      <c r="CG34" s="18"/>
      <c r="CH34" s="18" t="n">
        <v>20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 t="n">
        <v>20</v>
      </c>
      <c r="CX34" s="18"/>
      <c r="CY34" s="18"/>
      <c r="CZ34" s="18" t="n">
        <v>20</v>
      </c>
      <c r="DA34" s="18"/>
      <c r="DB34" s="18"/>
      <c r="DC34" s="18" t="n">
        <v>20</v>
      </c>
      <c r="DD34" s="18"/>
      <c r="DE34" s="18"/>
      <c r="DF34" s="18"/>
      <c r="DG34" s="18"/>
      <c r="DH34" s="18"/>
      <c r="DI34" s="18" t="n">
        <v>20</v>
      </c>
      <c r="DJ34" s="18" t="n">
        <v>20</v>
      </c>
      <c r="DK34" s="18"/>
      <c r="DL34" s="18"/>
      <c r="DM34" s="18" t="n">
        <v>20</v>
      </c>
      <c r="DN34" s="18"/>
      <c r="DO34" s="18" t="n">
        <v>20</v>
      </c>
      <c r="DP34" s="18"/>
      <c r="DQ34" s="18"/>
      <c r="DR34" s="18" t="n">
        <v>20</v>
      </c>
      <c r="DS34" s="18"/>
      <c r="DT34" s="18" t="n">
        <v>20</v>
      </c>
      <c r="DU34" s="18"/>
      <c r="DV34" s="18"/>
      <c r="DW34" s="18" t="n">
        <v>20</v>
      </c>
      <c r="DX34" s="18"/>
      <c r="DY34" s="18"/>
      <c r="DZ34" s="18"/>
      <c r="EA34" s="18" t="n">
        <v>20</v>
      </c>
      <c r="EB34" s="18"/>
      <c r="EC34" s="18"/>
      <c r="ED34" s="18"/>
      <c r="EE34" s="18"/>
      <c r="EF34" s="18"/>
      <c r="EG34" s="18"/>
      <c r="EH34" s="18" t="n">
        <v>20</v>
      </c>
      <c r="EI34" s="18"/>
      <c r="EJ34" s="18" t="n">
        <v>20</v>
      </c>
      <c r="EK34" s="18"/>
      <c r="EL34" s="18"/>
      <c r="EM34" s="18"/>
      <c r="EN34" s="18"/>
      <c r="EO34" s="18"/>
      <c r="EP34" s="18" t="n">
        <v>20</v>
      </c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</row>
    <row r="35" customFormat="false" ht="15" hidden="false" customHeight="false" outlineLevel="0" collapsed="false">
      <c r="A35" s="31"/>
      <c r="B35" s="17" t="s">
        <v>178</v>
      </c>
      <c r="C35" s="32" t="s">
        <v>169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 t="s">
        <v>179</v>
      </c>
      <c r="BF35" s="18"/>
      <c r="BG35" s="18" t="s">
        <v>179</v>
      </c>
      <c r="BH35" s="18"/>
      <c r="BI35" s="18"/>
      <c r="BJ35" s="18"/>
      <c r="BK35" s="18" t="s">
        <v>179</v>
      </c>
      <c r="BL35" s="18"/>
      <c r="BM35" s="18"/>
      <c r="BN35" s="18"/>
      <c r="BO35" s="18"/>
      <c r="BP35" s="18" t="s">
        <v>179</v>
      </c>
      <c r="BQ35" s="18"/>
      <c r="BR35" s="18"/>
      <c r="BS35" s="18"/>
      <c r="BT35" s="18"/>
      <c r="BU35" s="18"/>
      <c r="BV35" s="18"/>
      <c r="BW35" s="18" t="s">
        <v>179</v>
      </c>
      <c r="BX35" s="18"/>
      <c r="BY35" s="18"/>
      <c r="BZ35" s="18"/>
      <c r="CA35" s="18"/>
      <c r="CB35" s="18"/>
      <c r="CC35" s="18"/>
      <c r="CD35" s="18" t="s">
        <v>179</v>
      </c>
      <c r="CE35" s="18"/>
      <c r="CF35" s="18"/>
      <c r="CG35" s="18"/>
      <c r="CH35" s="18" t="s">
        <v>179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 t="s">
        <v>179</v>
      </c>
      <c r="CX35" s="18"/>
      <c r="CY35" s="18"/>
      <c r="CZ35" s="18" t="s">
        <v>179</v>
      </c>
      <c r="DA35" s="18"/>
      <c r="DB35" s="18"/>
      <c r="DC35" s="18" t="s">
        <v>179</v>
      </c>
      <c r="DD35" s="18"/>
      <c r="DE35" s="18"/>
      <c r="DF35" s="18"/>
      <c r="DG35" s="18"/>
      <c r="DH35" s="18"/>
      <c r="DI35" s="18" t="s">
        <v>179</v>
      </c>
      <c r="DJ35" s="18" t="s">
        <v>179</v>
      </c>
      <c r="DK35" s="18"/>
      <c r="DL35" s="18"/>
      <c r="DM35" s="18" t="s">
        <v>179</v>
      </c>
      <c r="DN35" s="18"/>
      <c r="DO35" s="18" t="s">
        <v>179</v>
      </c>
      <c r="DP35" s="18"/>
      <c r="DQ35" s="18"/>
      <c r="DR35" s="18" t="s">
        <v>179</v>
      </c>
      <c r="DS35" s="18"/>
      <c r="DT35" s="18" t="s">
        <v>179</v>
      </c>
      <c r="DU35" s="18"/>
      <c r="DV35" s="18"/>
      <c r="DW35" s="18" t="s">
        <v>179</v>
      </c>
      <c r="DX35" s="18"/>
      <c r="DY35" s="18"/>
      <c r="DZ35" s="18"/>
      <c r="EA35" s="18" t="s">
        <v>179</v>
      </c>
      <c r="EB35" s="18"/>
      <c r="EC35" s="18"/>
      <c r="ED35" s="18"/>
      <c r="EE35" s="18"/>
      <c r="EF35" s="18"/>
      <c r="EG35" s="18"/>
      <c r="EH35" s="18" t="s">
        <v>179</v>
      </c>
      <c r="EI35" s="18"/>
      <c r="EJ35" s="18" t="s">
        <v>179</v>
      </c>
      <c r="EK35" s="18"/>
      <c r="EL35" s="18"/>
      <c r="EM35" s="18"/>
      <c r="EN35" s="18"/>
      <c r="EO35" s="18"/>
      <c r="EP35" s="18" t="s">
        <v>179</v>
      </c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</row>
    <row r="36" customFormat="false" ht="15" hidden="false" customHeight="false" outlineLevel="0" collapsed="false">
      <c r="A36" s="31"/>
      <c r="B36" s="17" t="s">
        <v>180</v>
      </c>
      <c r="C36" s="32" t="s">
        <v>177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</row>
    <row r="37" customFormat="false" ht="15" hidden="false" customHeight="false" outlineLevel="0" collapsed="false">
      <c r="A37" s="31"/>
      <c r="B37" s="17" t="s">
        <v>181</v>
      </c>
      <c r="C37" s="32" t="s">
        <v>169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</row>
    <row r="39" customFormat="false" ht="15" hidden="false" customHeight="false" outlineLevel="0" collapsed="false">
      <c r="A39" s="42"/>
      <c r="B39" s="43" t="s">
        <v>182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</row>
    <row r="40" customFormat="false" ht="15" hidden="false" customHeight="false" outlineLevel="0" collapsed="false">
      <c r="A40" s="33"/>
      <c r="B40" s="20" t="s">
        <v>173</v>
      </c>
      <c r="C40" s="34" t="s">
        <v>169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</row>
    <row r="41" customFormat="false" ht="15" hidden="false" customHeight="false" outlineLevel="0" collapsed="false">
      <c r="A41" s="33"/>
      <c r="B41" s="20" t="s">
        <v>174</v>
      </c>
      <c r="C41" s="34" t="s">
        <v>169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175</v>
      </c>
      <c r="BE41" s="18" t="s">
        <v>175</v>
      </c>
      <c r="BF41" s="18" t="s">
        <v>175</v>
      </c>
      <c r="BG41" s="18" t="s">
        <v>175</v>
      </c>
      <c r="BH41" s="18" t="s">
        <v>175</v>
      </c>
      <c r="BI41" s="18" t="s">
        <v>175</v>
      </c>
      <c r="BJ41" s="18" t="s">
        <v>175</v>
      </c>
      <c r="BK41" s="18" t="s">
        <v>175</v>
      </c>
      <c r="BL41" s="18" t="s">
        <v>175</v>
      </c>
      <c r="BM41" s="18" t="s">
        <v>175</v>
      </c>
      <c r="BN41" s="18" t="s">
        <v>175</v>
      </c>
      <c r="BO41" s="18" t="s">
        <v>175</v>
      </c>
      <c r="BP41" s="18" t="s">
        <v>175</v>
      </c>
      <c r="BQ41" s="18" t="s">
        <v>175</v>
      </c>
      <c r="BR41" s="18" t="s">
        <v>175</v>
      </c>
      <c r="BS41" s="18" t="s">
        <v>175</v>
      </c>
      <c r="BT41" s="18" t="s">
        <v>175</v>
      </c>
      <c r="BU41" s="18" t="s">
        <v>175</v>
      </c>
      <c r="BV41" s="18" t="s">
        <v>175</v>
      </c>
      <c r="BW41" s="18" t="s">
        <v>175</v>
      </c>
      <c r="BX41" s="18" t="s">
        <v>175</v>
      </c>
      <c r="BY41" s="18" t="s">
        <v>175</v>
      </c>
      <c r="BZ41" s="18" t="s">
        <v>175</v>
      </c>
      <c r="CA41" s="18"/>
      <c r="CB41" s="18" t="s">
        <v>175</v>
      </c>
      <c r="CC41" s="18" t="s">
        <v>175</v>
      </c>
      <c r="CD41" s="18" t="s">
        <v>175</v>
      </c>
      <c r="CE41" s="18" t="s">
        <v>175</v>
      </c>
      <c r="CF41" s="18" t="s">
        <v>175</v>
      </c>
      <c r="CG41" s="18" t="s">
        <v>175</v>
      </c>
      <c r="CH41" s="18" t="s">
        <v>175</v>
      </c>
      <c r="CI41" s="18" t="s">
        <v>175</v>
      </c>
      <c r="CJ41" s="18" t="s">
        <v>175</v>
      </c>
      <c r="CK41" s="18" t="s">
        <v>175</v>
      </c>
      <c r="CL41" s="18" t="s">
        <v>175</v>
      </c>
      <c r="CM41" s="18" t="s">
        <v>175</v>
      </c>
      <c r="CN41" s="18" t="s">
        <v>175</v>
      </c>
      <c r="CO41" s="18" t="s">
        <v>175</v>
      </c>
      <c r="CP41" s="18" t="s">
        <v>175</v>
      </c>
      <c r="CQ41" s="18" t="s">
        <v>175</v>
      </c>
      <c r="CR41" s="18" t="s">
        <v>175</v>
      </c>
      <c r="CS41" s="18" t="s">
        <v>175</v>
      </c>
      <c r="CT41" s="18" t="s">
        <v>175</v>
      </c>
      <c r="CU41" s="18" t="s">
        <v>175</v>
      </c>
      <c r="CV41" s="18" t="s">
        <v>175</v>
      </c>
      <c r="CW41" s="18" t="s">
        <v>175</v>
      </c>
      <c r="CX41" s="18" t="s">
        <v>175</v>
      </c>
      <c r="CY41" s="18" t="s">
        <v>175</v>
      </c>
      <c r="CZ41" s="18" t="s">
        <v>175</v>
      </c>
      <c r="DA41" s="18" t="s">
        <v>175</v>
      </c>
      <c r="DB41" s="18" t="s">
        <v>175</v>
      </c>
      <c r="DC41" s="18" t="s">
        <v>175</v>
      </c>
      <c r="DD41" s="18" t="s">
        <v>175</v>
      </c>
      <c r="DE41" s="18" t="s">
        <v>175</v>
      </c>
      <c r="DF41" s="18" t="s">
        <v>175</v>
      </c>
      <c r="DG41" s="18" t="s">
        <v>175</v>
      </c>
      <c r="DH41" s="18" t="s">
        <v>175</v>
      </c>
      <c r="DI41" s="18" t="s">
        <v>175</v>
      </c>
      <c r="DJ41" s="18" t="s">
        <v>175</v>
      </c>
      <c r="DK41" s="18" t="s">
        <v>175</v>
      </c>
      <c r="DL41" s="18"/>
      <c r="DM41" s="18" t="s">
        <v>175</v>
      </c>
      <c r="DN41" s="18" t="s">
        <v>175</v>
      </c>
      <c r="DO41" s="18" t="s">
        <v>175</v>
      </c>
      <c r="DP41" s="18" t="s">
        <v>175</v>
      </c>
      <c r="DQ41" s="18" t="s">
        <v>175</v>
      </c>
      <c r="DR41" s="18" t="s">
        <v>175</v>
      </c>
      <c r="DS41" s="18" t="s">
        <v>175</v>
      </c>
      <c r="DT41" s="18" t="s">
        <v>175</v>
      </c>
      <c r="DU41" s="18" t="s">
        <v>175</v>
      </c>
      <c r="DV41" s="18" t="s">
        <v>175</v>
      </c>
      <c r="DW41" s="18" t="s">
        <v>175</v>
      </c>
      <c r="DX41" s="18" t="s">
        <v>175</v>
      </c>
      <c r="DY41" s="18" t="s">
        <v>175</v>
      </c>
      <c r="DZ41" s="18" t="s">
        <v>175</v>
      </c>
      <c r="EA41" s="18" t="s">
        <v>175</v>
      </c>
      <c r="EB41" s="18" t="s">
        <v>175</v>
      </c>
      <c r="EC41" s="18" t="s">
        <v>175</v>
      </c>
      <c r="ED41" s="18" t="s">
        <v>175</v>
      </c>
      <c r="EE41" s="18" t="s">
        <v>175</v>
      </c>
      <c r="EF41" s="18" t="s">
        <v>175</v>
      </c>
      <c r="EG41" s="18" t="s">
        <v>175</v>
      </c>
      <c r="EH41" s="18" t="s">
        <v>175</v>
      </c>
      <c r="EI41" s="18" t="s">
        <v>175</v>
      </c>
      <c r="EJ41" s="18" t="s">
        <v>175</v>
      </c>
      <c r="EK41" s="18" t="s">
        <v>175</v>
      </c>
      <c r="EL41" s="18" t="s">
        <v>175</v>
      </c>
      <c r="EM41" s="18" t="s">
        <v>175</v>
      </c>
      <c r="EN41" s="18" t="s">
        <v>175</v>
      </c>
      <c r="EO41" s="18" t="s">
        <v>175</v>
      </c>
      <c r="EP41" s="18" t="s">
        <v>175</v>
      </c>
      <c r="EQ41" s="18" t="s">
        <v>175</v>
      </c>
      <c r="ER41" s="18" t="s">
        <v>175</v>
      </c>
      <c r="ES41" s="18" t="s">
        <v>175</v>
      </c>
      <c r="ET41" s="18" t="s">
        <v>175</v>
      </c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</row>
    <row r="42" customFormat="false" ht="15" hidden="false" customHeight="false" outlineLevel="0" collapsed="false">
      <c r="A42" s="33"/>
      <c r="B42" s="20" t="s">
        <v>176</v>
      </c>
      <c r="C42" s="34" t="s">
        <v>177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 t="n">
        <v>20</v>
      </c>
      <c r="BF42" s="18"/>
      <c r="BG42" s="18" t="n">
        <v>20</v>
      </c>
      <c r="BH42" s="18"/>
      <c r="BI42" s="18"/>
      <c r="BJ42" s="18"/>
      <c r="BK42" s="18" t="n">
        <v>20</v>
      </c>
      <c r="BL42" s="18"/>
      <c r="BM42" s="18"/>
      <c r="BN42" s="18"/>
      <c r="BO42" s="18"/>
      <c r="BP42" s="18" t="n">
        <v>20</v>
      </c>
      <c r="BQ42" s="18"/>
      <c r="BR42" s="18"/>
      <c r="BS42" s="18"/>
      <c r="BT42" s="18"/>
      <c r="BU42" s="18"/>
      <c r="BV42" s="18"/>
      <c r="BW42" s="18" t="n">
        <v>20</v>
      </c>
      <c r="BX42" s="18"/>
      <c r="BY42" s="18"/>
      <c r="BZ42" s="18"/>
      <c r="CA42" s="18"/>
      <c r="CB42" s="18"/>
      <c r="CC42" s="18"/>
      <c r="CD42" s="18" t="n">
        <v>20</v>
      </c>
      <c r="CE42" s="18"/>
      <c r="CF42" s="18"/>
      <c r="CG42" s="18"/>
      <c r="CH42" s="18" t="n">
        <v>20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 t="n">
        <v>20</v>
      </c>
      <c r="CX42" s="18"/>
      <c r="CY42" s="18"/>
      <c r="CZ42" s="18" t="n">
        <v>20</v>
      </c>
      <c r="DA42" s="18"/>
      <c r="DB42" s="18"/>
      <c r="DC42" s="18" t="n">
        <v>20</v>
      </c>
      <c r="DD42" s="18"/>
      <c r="DE42" s="18"/>
      <c r="DF42" s="18"/>
      <c r="DG42" s="18" t="n">
        <v>20</v>
      </c>
      <c r="DH42" s="18"/>
      <c r="DI42" s="18"/>
      <c r="DJ42" s="18"/>
      <c r="DK42" s="18"/>
      <c r="DL42" s="18"/>
      <c r="DM42" s="18"/>
      <c r="DN42" s="18" t="n">
        <v>20</v>
      </c>
      <c r="DO42" s="18"/>
      <c r="DP42" s="18"/>
      <c r="DQ42" s="18"/>
      <c r="DR42" s="18"/>
      <c r="DS42" s="18"/>
      <c r="DT42" s="18"/>
      <c r="DU42" s="18" t="n">
        <v>20</v>
      </c>
      <c r="DV42" s="18"/>
      <c r="DW42" s="18"/>
      <c r="DX42" s="18"/>
      <c r="DY42" s="18"/>
      <c r="DZ42" s="18"/>
      <c r="EA42" s="18"/>
      <c r="EB42" s="18" t="n">
        <v>20</v>
      </c>
      <c r="EC42" s="18"/>
      <c r="ED42" s="18"/>
      <c r="EE42" s="18"/>
      <c r="EF42" s="18"/>
      <c r="EG42" s="18"/>
      <c r="EH42" s="18"/>
      <c r="EI42" s="18"/>
      <c r="EJ42" s="18" t="n">
        <v>20</v>
      </c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</row>
    <row r="43" customFormat="false" ht="15" hidden="false" customHeight="false" outlineLevel="0" collapsed="false">
      <c r="A43" s="33"/>
      <c r="B43" s="20" t="s">
        <v>178</v>
      </c>
      <c r="C43" s="34" t="s">
        <v>169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 t="s">
        <v>179</v>
      </c>
      <c r="BF43" s="18"/>
      <c r="BG43" s="18" t="s">
        <v>179</v>
      </c>
      <c r="BH43" s="18"/>
      <c r="BI43" s="18"/>
      <c r="BJ43" s="18"/>
      <c r="BK43" s="18" t="s">
        <v>179</v>
      </c>
      <c r="BL43" s="18"/>
      <c r="BM43" s="18"/>
      <c r="BN43" s="18"/>
      <c r="BO43" s="18"/>
      <c r="BP43" s="18" t="s">
        <v>179</v>
      </c>
      <c r="BQ43" s="18"/>
      <c r="BR43" s="18"/>
      <c r="BS43" s="18"/>
      <c r="BT43" s="18"/>
      <c r="BU43" s="18"/>
      <c r="BV43" s="18"/>
      <c r="BW43" s="18" t="s">
        <v>179</v>
      </c>
      <c r="BX43" s="18"/>
      <c r="BY43" s="18"/>
      <c r="BZ43" s="18"/>
      <c r="CA43" s="18"/>
      <c r="CB43" s="18"/>
      <c r="CC43" s="18"/>
      <c r="CD43" s="18" t="s">
        <v>179</v>
      </c>
      <c r="CE43" s="18"/>
      <c r="CF43" s="18"/>
      <c r="CG43" s="18"/>
      <c r="CH43" s="18" t="s">
        <v>179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 t="s">
        <v>179</v>
      </c>
      <c r="CX43" s="18"/>
      <c r="CY43" s="18"/>
      <c r="CZ43" s="18" t="s">
        <v>179</v>
      </c>
      <c r="DA43" s="18"/>
      <c r="DB43" s="18"/>
      <c r="DC43" s="18" t="s">
        <v>179</v>
      </c>
      <c r="DD43" s="18"/>
      <c r="DE43" s="18"/>
      <c r="DF43" s="18"/>
      <c r="DG43" s="18" t="s">
        <v>179</v>
      </c>
      <c r="DH43" s="18"/>
      <c r="DI43" s="18"/>
      <c r="DJ43" s="18"/>
      <c r="DK43" s="18"/>
      <c r="DL43" s="18"/>
      <c r="DM43" s="18"/>
      <c r="DN43" s="18" t="s">
        <v>179</v>
      </c>
      <c r="DO43" s="18"/>
      <c r="DP43" s="18"/>
      <c r="DQ43" s="18"/>
      <c r="DR43" s="18"/>
      <c r="DS43" s="18"/>
      <c r="DT43" s="18"/>
      <c r="DU43" s="18" t="s">
        <v>179</v>
      </c>
      <c r="DV43" s="18"/>
      <c r="DW43" s="18"/>
      <c r="DX43" s="18"/>
      <c r="DY43" s="18"/>
      <c r="DZ43" s="18"/>
      <c r="EA43" s="18"/>
      <c r="EB43" s="18" t="s">
        <v>179</v>
      </c>
      <c r="EC43" s="18"/>
      <c r="ED43" s="18"/>
      <c r="EE43" s="18"/>
      <c r="EF43" s="18"/>
      <c r="EG43" s="18"/>
      <c r="EH43" s="18"/>
      <c r="EI43" s="18"/>
      <c r="EJ43" s="18" t="s">
        <v>179</v>
      </c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</row>
    <row r="44" customFormat="false" ht="15" hidden="false" customHeight="false" outlineLevel="0" collapsed="false">
      <c r="A44" s="33"/>
      <c r="B44" s="20" t="s">
        <v>180</v>
      </c>
      <c r="C44" s="34" t="s">
        <v>177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</row>
    <row r="45" customFormat="false" ht="15" hidden="false" customHeight="false" outlineLevel="0" collapsed="false">
      <c r="A45" s="33"/>
      <c r="B45" s="20" t="s">
        <v>181</v>
      </c>
      <c r="C45" s="34" t="s">
        <v>169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</row>
    <row r="47" customFormat="false" ht="15" hidden="false" customHeight="false" outlineLevel="0" collapsed="false">
      <c r="A47" s="8"/>
      <c r="B47" s="30" t="s">
        <v>183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</row>
    <row r="48" customFormat="false" ht="15" hidden="false" customHeight="false" outlineLevel="0" collapsed="false">
      <c r="A48" s="37"/>
      <c r="B48" s="38" t="s">
        <v>184</v>
      </c>
      <c r="C48" s="39" t="s">
        <v>185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 t="s">
        <v>186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 t="s">
        <v>187</v>
      </c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</row>
    <row r="50" customFormat="false" ht="15" hidden="false" customHeight="false" outlineLevel="0" collapsed="false">
      <c r="A50" s="8"/>
      <c r="B50" s="30" t="s">
        <v>188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</row>
    <row r="51" customFormat="false" ht="15" hidden="false" customHeight="false" outlineLevel="0" collapsed="false">
      <c r="A51" s="31"/>
      <c r="B51" s="17" t="s">
        <v>189</v>
      </c>
      <c r="C51" s="32" t="s">
        <v>190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 t="n">
        <v>7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 t="n">
        <v>13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 t="n">
        <v>18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 t="n">
        <v>16</v>
      </c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</row>
    <row r="52" customFormat="false" ht="15" hidden="false" customHeight="false" outlineLevel="0" collapsed="false">
      <c r="A52" s="31"/>
      <c r="B52" s="17" t="s">
        <v>191</v>
      </c>
      <c r="C52" s="32" t="s">
        <v>190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 t="n">
        <v>9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 t="n">
        <v>15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 t="n">
        <v>20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 t="n">
        <v>19</v>
      </c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</row>
    <row r="53" customFormat="false" ht="15" hidden="false" customHeight="false" outlineLevel="0" collapsed="false">
      <c r="A53" s="31"/>
      <c r="B53" s="17" t="s">
        <v>192</v>
      </c>
      <c r="C53" s="32" t="s">
        <v>190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 t="n">
        <v>8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 t="n">
        <v>14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 t="n">
        <v>16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 t="n">
        <v>18</v>
      </c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</row>
    <row r="54" customFormat="false" ht="15" hidden="false" customHeight="false" outlineLevel="0" collapsed="false">
      <c r="A54" s="31"/>
      <c r="B54" s="17" t="s">
        <v>193</v>
      </c>
      <c r="C54" s="32" t="s">
        <v>190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 t="n">
        <v>10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 t="n">
        <v>16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 t="n">
        <v>19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 t="n">
        <v>15</v>
      </c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</row>
    <row r="55" customFormat="false" ht="15" hidden="false" customHeight="false" outlineLevel="0" collapsed="false">
      <c r="A55" s="31"/>
      <c r="B55" s="17" t="s">
        <v>194</v>
      </c>
      <c r="C55" s="32" t="s">
        <v>190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 t="n">
        <v>8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 t="n">
        <v>13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 t="n">
        <v>21</v>
      </c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 t="n">
        <v>20</v>
      </c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</row>
    <row r="56" customFormat="false" ht="15" hidden="false" customHeight="false" outlineLevel="0" collapsed="false">
      <c r="A56" s="31"/>
      <c r="B56" s="17" t="s">
        <v>195</v>
      </c>
      <c r="C56" s="32" t="s">
        <v>140</v>
      </c>
      <c r="D56" s="35" t="str">
        <f aca="false">IF(Data_Farmer!D66="","",Data_Farmer!D66)</f>
        <v/>
      </c>
      <c r="E56" s="35" t="str">
        <f aca="false">IF(Data_Farmer!E66="","",Data_Farmer!E66)</f>
        <v/>
      </c>
      <c r="F56" s="35" t="str">
        <f aca="false">IF(Data_Farmer!F66="","",Data_Farmer!F66)</f>
        <v/>
      </c>
      <c r="G56" s="35" t="str">
        <f aca="false">IF(Data_Farmer!G66="","",Data_Farmer!G66)</f>
        <v/>
      </c>
      <c r="H56" s="35" t="str">
        <f aca="false">IF(Data_Farmer!H66="","",Data_Farmer!H66)</f>
        <v/>
      </c>
      <c r="I56" s="35" t="str">
        <f aca="false">IF(Data_Farmer!I66="","",Data_Farmer!I66)</f>
        <v/>
      </c>
      <c r="J56" s="35" t="str">
        <f aca="false">IF(Data_Farmer!J66="","",Data_Farmer!J66)</f>
        <v/>
      </c>
      <c r="K56" s="35" t="str">
        <f aca="false">IF(Data_Farmer!K66="","",Data_Farmer!K66)</f>
        <v/>
      </c>
      <c r="L56" s="35" t="str">
        <f aca="false">IF(Data_Farmer!L66="","",Data_Farmer!L66)</f>
        <v/>
      </c>
      <c r="M56" s="35" t="str">
        <f aca="false">IF(Data_Farmer!M66="","",Data_Farmer!M66)</f>
        <v/>
      </c>
      <c r="N56" s="35" t="str">
        <f aca="false">IF(Data_Farmer!N66="","",Data_Farmer!N66)</f>
        <v/>
      </c>
      <c r="O56" s="35" t="str">
        <f aca="false">IF(Data_Farmer!O66="","",Data_Farmer!O66)</f>
        <v/>
      </c>
      <c r="P56" s="35" t="str">
        <f aca="false">IF(Data_Farmer!P66="","",Data_Farmer!P66)</f>
        <v/>
      </c>
      <c r="Q56" s="35" t="str">
        <f aca="false">IF(Data_Farmer!Q66="","",Data_Farmer!Q66)</f>
        <v/>
      </c>
      <c r="R56" s="35" t="str">
        <f aca="false">IF(Data_Farmer!R66="","",Data_Farmer!R66)</f>
        <v/>
      </c>
      <c r="S56" s="35" t="str">
        <f aca="false">IF(Data_Farmer!S66="","",Data_Farmer!S66)</f>
        <v/>
      </c>
      <c r="T56" s="35" t="str">
        <f aca="false">IF(Data_Farmer!T66="","",Data_Farmer!T66)</f>
        <v/>
      </c>
      <c r="U56" s="35" t="str">
        <f aca="false">IF(Data_Farmer!U66="","",Data_Farmer!U66)</f>
        <v/>
      </c>
      <c r="V56" s="35" t="str">
        <f aca="false">IF(Data_Farmer!V66="","",Data_Farmer!V66)</f>
        <v/>
      </c>
      <c r="W56" s="35" t="str">
        <f aca="false">IF(Data_Farmer!W66="","",Data_Farmer!W66)</f>
        <v/>
      </c>
      <c r="X56" s="35" t="str">
        <f aca="false">IF(Data_Farmer!X66="","",Data_Farmer!X66)</f>
        <v/>
      </c>
      <c r="Y56" s="35" t="str">
        <f aca="false">IF(Data_Farmer!Y66="","",Data_Farmer!Y66)</f>
        <v/>
      </c>
      <c r="Z56" s="35" t="str">
        <f aca="false">IF(Data_Farmer!Z66="","",Data_Farmer!Z66)</f>
        <v/>
      </c>
      <c r="AA56" s="35" t="str">
        <f aca="false">IF(Data_Farmer!AA66="","",Data_Farmer!AA66)</f>
        <v/>
      </c>
      <c r="AB56" s="35" t="str">
        <f aca="false">IF(Data_Farmer!AB66="","",Data_Farmer!AB66)</f>
        <v/>
      </c>
      <c r="AC56" s="35" t="str">
        <f aca="false">IF(Data_Farmer!AC66="","",Data_Farmer!AC66)</f>
        <v/>
      </c>
      <c r="AD56" s="35" t="str">
        <f aca="false">IF(Data_Farmer!AD66="","",Data_Farmer!AD66)</f>
        <v/>
      </c>
      <c r="AE56" s="35" t="str">
        <f aca="false">IF(Data_Farmer!AE66="","",Data_Farmer!AE66)</f>
        <v/>
      </c>
      <c r="AF56" s="35" t="str">
        <f aca="false">IF(Data_Farmer!AF66="","",Data_Farmer!AF66)</f>
        <v/>
      </c>
      <c r="AG56" s="35" t="str">
        <f aca="false">IF(Data_Farmer!AG66="","",Data_Farmer!AG66)</f>
        <v/>
      </c>
      <c r="AH56" s="35" t="str">
        <f aca="false">IF(Data_Farmer!AH66="","",Data_Farmer!AH66)</f>
        <v/>
      </c>
      <c r="AI56" s="35" t="str">
        <f aca="false">IF(Data_Farmer!AI66="","",Data_Farmer!AI66)</f>
        <v/>
      </c>
      <c r="AJ56" s="35" t="str">
        <f aca="false">IF(Data_Farmer!AJ66="","",Data_Farmer!AJ66)</f>
        <v/>
      </c>
      <c r="AK56" s="35" t="str">
        <f aca="false">IF(Data_Farmer!AK66="","",Data_Farmer!AK66)</f>
        <v/>
      </c>
      <c r="AL56" s="35" t="str">
        <f aca="false">IF(Data_Farmer!AL66="","",Data_Farmer!AL66)</f>
        <v/>
      </c>
      <c r="AM56" s="35" t="str">
        <f aca="false">IF(Data_Farmer!AM66="","",Data_Farmer!AM66)</f>
        <v/>
      </c>
      <c r="AN56" s="35" t="str">
        <f aca="false">IF(Data_Farmer!AN66="","",Data_Farmer!AN66)</f>
        <v/>
      </c>
      <c r="AO56" s="35" t="str">
        <f aca="false">IF(Data_Farmer!AO66="","",Data_Farmer!AO66)</f>
        <v/>
      </c>
      <c r="AP56" s="35" t="str">
        <f aca="false">IF(Data_Farmer!AP66="","",Data_Farmer!AP66)</f>
        <v/>
      </c>
      <c r="AQ56" s="35" t="str">
        <f aca="false">IF(Data_Farmer!AQ66="","",Data_Farmer!AQ66)</f>
        <v/>
      </c>
      <c r="AR56" s="35" t="str">
        <f aca="false">IF(Data_Farmer!AR66="","",Data_Farmer!AR66)</f>
        <v/>
      </c>
      <c r="AS56" s="35" t="str">
        <f aca="false">IF(Data_Farmer!AS66="","",Data_Farmer!AS66)</f>
        <v/>
      </c>
      <c r="AT56" s="35" t="str">
        <f aca="false">IF(Data_Farmer!AT66="","",Data_Farmer!AT66)</f>
        <v/>
      </c>
      <c r="AU56" s="35" t="str">
        <f aca="false">IF(Data_Farmer!AU66="","",Data_Farmer!AU66)</f>
        <v/>
      </c>
      <c r="AV56" s="35" t="str">
        <f aca="false">IF(Data_Farmer!AV66="","",Data_Farmer!AV66)</f>
        <v/>
      </c>
      <c r="AW56" s="35" t="str">
        <f aca="false">IF(Data_Farmer!AW66="","",Data_Farmer!AW66)</f>
        <v/>
      </c>
      <c r="AX56" s="35" t="str">
        <f aca="false">IF(Data_Farmer!AX66="","",Data_Farmer!AX66)</f>
        <v/>
      </c>
      <c r="AY56" s="35" t="str">
        <f aca="false">IF(Data_Farmer!AY66="","",Data_Farmer!AY66)</f>
        <v/>
      </c>
      <c r="AZ56" s="35" t="str">
        <f aca="false">IF(Data_Farmer!AZ66="","",Data_Farmer!AZ66)</f>
        <v/>
      </c>
      <c r="BA56" s="35" t="str">
        <f aca="false">IF(Data_Farmer!BA66="","",Data_Farmer!BA66)</f>
        <v/>
      </c>
      <c r="BB56" s="35" t="str">
        <f aca="false">IF(Data_Farmer!BB66="","",Data_Farmer!BB66)</f>
        <v/>
      </c>
      <c r="BC56" s="35" t="str">
        <f aca="false">IF(Data_Farmer!BC66="","",Data_Farmer!BC66)</f>
        <v/>
      </c>
      <c r="BD56" s="35" t="str">
        <f aca="false">IF(Data_Farmer!BD66="","",Data_Farmer!BD66)</f>
        <v/>
      </c>
      <c r="BE56" s="35" t="str">
        <f aca="false">IF(Data_Farmer!BE66="","",Data_Farmer!BE66)</f>
        <v/>
      </c>
      <c r="BF56" s="35" t="str">
        <f aca="false">IF(Data_Farmer!BF66="","",Data_Farmer!BF66)</f>
        <v/>
      </c>
      <c r="BG56" s="35" t="str">
        <f aca="false">IF(Data_Farmer!BG66="","",Data_Farmer!BG66)</f>
        <v/>
      </c>
      <c r="BH56" s="35" t="str">
        <f aca="false">IF(Data_Farmer!BH66="","",Data_Farmer!BH66)</f>
        <v/>
      </c>
      <c r="BI56" s="35" t="str">
        <f aca="false">IF(Data_Farmer!BI66="","",Data_Farmer!BI66)</f>
        <v/>
      </c>
      <c r="BJ56" s="35" t="str">
        <f aca="false">IF(Data_Farmer!BJ66="","",Data_Farmer!BJ66)</f>
        <v/>
      </c>
      <c r="BK56" s="35" t="str">
        <f aca="false">IF(Data_Farmer!BK66="","",Data_Farmer!BK66)</f>
        <v/>
      </c>
      <c r="BL56" s="35" t="str">
        <f aca="false">IF(Data_Farmer!BL66="","",Data_Farmer!BL66)</f>
        <v/>
      </c>
      <c r="BM56" s="35" t="str">
        <f aca="false">IF(Data_Farmer!BM66="","",Data_Farmer!BM66)</f>
        <v/>
      </c>
      <c r="BN56" s="35" t="str">
        <f aca="false">IF(Data_Farmer!BN66="","",Data_Farmer!BN66)</f>
        <v/>
      </c>
      <c r="BO56" s="35" t="str">
        <f aca="false">IF(Data_Farmer!BO66="","",Data_Farmer!BO66)</f>
        <v/>
      </c>
      <c r="BP56" s="35" t="str">
        <f aca="false">IF(Data_Farmer!BP66="","",Data_Farmer!BP66)</f>
        <v/>
      </c>
      <c r="BQ56" s="35" t="str">
        <f aca="false">IF(Data_Farmer!BQ66="","",Data_Farmer!BQ66)</f>
        <v/>
      </c>
      <c r="BR56" s="35" t="str">
        <f aca="false">IF(Data_Farmer!BR66="","",Data_Farmer!BR66)</f>
        <v/>
      </c>
      <c r="BS56" s="35" t="str">
        <f aca="false">IF(Data_Farmer!BS66="","",Data_Farmer!BS66)</f>
        <v/>
      </c>
      <c r="BT56" s="35" t="str">
        <f aca="false">IF(Data_Farmer!BT66="","",Data_Farmer!BT66)</f>
        <v/>
      </c>
      <c r="BU56" s="35" t="str">
        <f aca="false">IF(Data_Farmer!BU66="","",Data_Farmer!BU66)</f>
        <v/>
      </c>
      <c r="BV56" s="35" t="str">
        <f aca="false">IF(Data_Farmer!BV66="","",Data_Farmer!BV66)</f>
        <v/>
      </c>
      <c r="BW56" s="35" t="str">
        <f aca="false">IF(Data_Farmer!BW66="","",Data_Farmer!BW66)</f>
        <v/>
      </c>
      <c r="BX56" s="35" t="str">
        <f aca="false">IF(Data_Farmer!BX66="","",Data_Farmer!BX66)</f>
        <v/>
      </c>
      <c r="BY56" s="35" t="n">
        <f aca="false">IF(Data_Farmer!BY66="","",Data_Farmer!BY66)</f>
        <v>8.3</v>
      </c>
      <c r="BZ56" s="35" t="str">
        <f aca="false">IF(Data_Farmer!BZ66="","",Data_Farmer!BZ66)</f>
        <v/>
      </c>
      <c r="CA56" s="35" t="str">
        <f aca="false">IF(Data_Farmer!CA66="","",Data_Farmer!CA66)</f>
        <v/>
      </c>
      <c r="CB56" s="35" t="str">
        <f aca="false">IF(Data_Farmer!CB66="","",Data_Farmer!CB66)</f>
        <v/>
      </c>
      <c r="CC56" s="35" t="str">
        <f aca="false">IF(Data_Farmer!CC66="","",Data_Farmer!CC66)</f>
        <v/>
      </c>
      <c r="CD56" s="35" t="str">
        <f aca="false">IF(Data_Farmer!CD66="","",Data_Farmer!CD66)</f>
        <v/>
      </c>
      <c r="CE56" s="35" t="str">
        <f aca="false">IF(Data_Farmer!CE66="","",Data_Farmer!CE66)</f>
        <v/>
      </c>
      <c r="CF56" s="35" t="str">
        <f aca="false">IF(Data_Farmer!CF66="","",Data_Farmer!CF66)</f>
        <v/>
      </c>
      <c r="CG56" s="35" t="str">
        <f aca="false">IF(Data_Farmer!CG66="","",Data_Farmer!CG66)</f>
        <v/>
      </c>
      <c r="CH56" s="35" t="str">
        <f aca="false">IF(Data_Farmer!CH66="","",Data_Farmer!CH66)</f>
        <v/>
      </c>
      <c r="CI56" s="35" t="str">
        <f aca="false">IF(Data_Farmer!CI66="","",Data_Farmer!CI66)</f>
        <v/>
      </c>
      <c r="CJ56" s="35" t="str">
        <f aca="false">IF(Data_Farmer!CJ66="","",Data_Farmer!CJ66)</f>
        <v/>
      </c>
      <c r="CK56" s="35" t="str">
        <f aca="false">IF(Data_Farmer!CK66="","",Data_Farmer!CK66)</f>
        <v/>
      </c>
      <c r="CL56" s="35" t="str">
        <f aca="false">IF(Data_Farmer!CL66="","",Data_Farmer!CL66)</f>
        <v/>
      </c>
      <c r="CM56" s="35" t="str">
        <f aca="false">IF(Data_Farmer!CM66="","",Data_Farmer!CM66)</f>
        <v/>
      </c>
      <c r="CN56" s="35" t="n">
        <f aca="false">IF(Data_Farmer!CN66="","",Data_Farmer!CN66)</f>
        <v>14</v>
      </c>
      <c r="CO56" s="35" t="str">
        <f aca="false">IF(Data_Farmer!CO66="","",Data_Farmer!CO66)</f>
        <v/>
      </c>
      <c r="CP56" s="35" t="str">
        <f aca="false">IF(Data_Farmer!CP66="","",Data_Farmer!CP66)</f>
        <v/>
      </c>
      <c r="CQ56" s="35" t="str">
        <f aca="false">IF(Data_Farmer!CQ66="","",Data_Farmer!CQ66)</f>
        <v/>
      </c>
      <c r="CR56" s="35" t="str">
        <f aca="false">IF(Data_Farmer!CR66="","",Data_Farmer!CR66)</f>
        <v/>
      </c>
      <c r="CS56" s="35" t="str">
        <f aca="false">IF(Data_Farmer!CS66="","",Data_Farmer!CS66)</f>
        <v/>
      </c>
      <c r="CT56" s="35" t="str">
        <f aca="false">IF(Data_Farmer!CT66="","",Data_Farmer!CT66)</f>
        <v/>
      </c>
      <c r="CU56" s="35" t="str">
        <f aca="false">IF(Data_Farmer!CU66="","",Data_Farmer!CU66)</f>
        <v/>
      </c>
      <c r="CV56" s="35" t="str">
        <f aca="false">IF(Data_Farmer!CV66="","",Data_Farmer!CV66)</f>
        <v/>
      </c>
      <c r="CW56" s="35" t="str">
        <f aca="false">IF(Data_Farmer!CW66="","",Data_Farmer!CW66)</f>
        <v/>
      </c>
      <c r="CX56" s="35" t="str">
        <f aca="false">IF(Data_Farmer!CX66="","",Data_Farmer!CX66)</f>
        <v/>
      </c>
      <c r="CY56" s="35" t="str">
        <f aca="false">IF(Data_Farmer!CY66="","",Data_Farmer!CY66)</f>
        <v/>
      </c>
      <c r="CZ56" s="35" t="str">
        <f aca="false">IF(Data_Farmer!CZ66="","",Data_Farmer!CZ66)</f>
        <v/>
      </c>
      <c r="DA56" s="35" t="str">
        <f aca="false">IF(Data_Farmer!DA66="","",Data_Farmer!DA66)</f>
        <v/>
      </c>
      <c r="DB56" s="35" t="str">
        <f aca="false">IF(Data_Farmer!DB66="","",Data_Farmer!DB66)</f>
        <v/>
      </c>
      <c r="DC56" s="35" t="n">
        <f aca="false">IF(Data_Farmer!DC66="","",Data_Farmer!DC66)</f>
        <v>19</v>
      </c>
      <c r="DD56" s="35" t="str">
        <f aca="false">IF(Data_Farmer!DD66="","",Data_Farmer!DD66)</f>
        <v/>
      </c>
      <c r="DE56" s="35" t="str">
        <f aca="false">IF(Data_Farmer!DE66="","",Data_Farmer!DE66)</f>
        <v/>
      </c>
      <c r="DF56" s="35" t="str">
        <f aca="false">IF(Data_Farmer!DF66="","",Data_Farmer!DF66)</f>
        <v/>
      </c>
      <c r="DG56" s="35" t="str">
        <f aca="false">IF(Data_Farmer!DG66="","",Data_Farmer!DG66)</f>
        <v/>
      </c>
      <c r="DH56" s="35" t="str">
        <f aca="false">IF(Data_Farmer!DH66="","",Data_Farmer!DH66)</f>
        <v/>
      </c>
      <c r="DI56" s="35" t="str">
        <f aca="false">IF(Data_Farmer!DI66="","",Data_Farmer!DI66)</f>
        <v/>
      </c>
      <c r="DJ56" s="35" t="str">
        <f aca="false">IF(Data_Farmer!DJ66="","",Data_Farmer!DJ66)</f>
        <v/>
      </c>
      <c r="DK56" s="35" t="str">
        <f aca="false">IF(Data_Farmer!DK66="","",Data_Farmer!DK66)</f>
        <v/>
      </c>
      <c r="DL56" s="35" t="str">
        <f aca="false">IF(Data_Farmer!DL66="","",Data_Farmer!DL66)</f>
        <v/>
      </c>
      <c r="DM56" s="35" t="str">
        <f aca="false">IF(Data_Farmer!DM66="","",Data_Farmer!DM66)</f>
        <v/>
      </c>
      <c r="DN56" s="35" t="str">
        <f aca="false">IF(Data_Farmer!DN66="","",Data_Farmer!DN66)</f>
        <v/>
      </c>
      <c r="DO56" s="35" t="str">
        <f aca="false">IF(Data_Farmer!DO66="","",Data_Farmer!DO66)</f>
        <v/>
      </c>
      <c r="DP56" s="35" t="str">
        <f aca="false">IF(Data_Farmer!DP66="","",Data_Farmer!DP66)</f>
        <v/>
      </c>
      <c r="DQ56" s="35" t="str">
        <f aca="false">IF(Data_Farmer!DQ66="","",Data_Farmer!DQ66)</f>
        <v/>
      </c>
      <c r="DR56" s="35" t="n">
        <f aca="false">IF(Data_Farmer!DR66="","",Data_Farmer!DR66)</f>
        <v>17.7</v>
      </c>
      <c r="DS56" s="35" t="str">
        <f aca="false">IF(Data_Farmer!DS66="","",Data_Farmer!DS66)</f>
        <v/>
      </c>
      <c r="DT56" s="35" t="str">
        <f aca="false">IF(Data_Farmer!DT66="","",Data_Farmer!DT66)</f>
        <v/>
      </c>
      <c r="DU56" s="35" t="str">
        <f aca="false">IF(Data_Farmer!DU66="","",Data_Farmer!DU66)</f>
        <v/>
      </c>
      <c r="DV56" s="35" t="str">
        <f aca="false">IF(Data_Farmer!DV66="","",Data_Farmer!DV66)</f>
        <v/>
      </c>
      <c r="DW56" s="35" t="str">
        <f aca="false">IF(Data_Farmer!DW66="","",Data_Farmer!DW66)</f>
        <v/>
      </c>
      <c r="DX56" s="35" t="str">
        <f aca="false">IF(Data_Farmer!DX66="","",Data_Farmer!DX66)</f>
        <v/>
      </c>
      <c r="DY56" s="35" t="str">
        <f aca="false">IF(Data_Farmer!DY66="","",Data_Farmer!DY66)</f>
        <v/>
      </c>
      <c r="DZ56" s="35" t="str">
        <f aca="false">IF(Data_Farmer!DZ66="","",Data_Farmer!DZ66)</f>
        <v/>
      </c>
      <c r="EA56" s="35" t="str">
        <f aca="false">IF(Data_Farmer!EA66="","",Data_Farmer!EA66)</f>
        <v/>
      </c>
      <c r="EB56" s="35" t="str">
        <f aca="false">IF(Data_Farmer!EB66="","",Data_Farmer!EB66)</f>
        <v/>
      </c>
      <c r="EC56" s="35" t="str">
        <f aca="false">IF(Data_Farmer!EC66="","",Data_Farmer!EC66)</f>
        <v/>
      </c>
      <c r="ED56" s="35" t="str">
        <f aca="false">IF(Data_Farmer!ED66="","",Data_Farmer!ED66)</f>
        <v/>
      </c>
      <c r="EE56" s="35" t="str">
        <f aca="false">IF(Data_Farmer!EE66="","",Data_Farmer!EE66)</f>
        <v/>
      </c>
      <c r="EF56" s="35" t="str">
        <f aca="false">IF(Data_Farmer!EF66="","",Data_Farmer!EF66)</f>
        <v/>
      </c>
      <c r="EG56" s="35" t="str">
        <f aca="false">IF(Data_Farmer!EG66="","",Data_Farmer!EG66)</f>
        <v/>
      </c>
      <c r="EH56" s="35" t="str">
        <f aca="false">IF(Data_Farmer!EH66="","",Data_Farmer!EH66)</f>
        <v/>
      </c>
      <c r="EI56" s="35" t="str">
        <f aca="false">IF(Data_Farmer!EI66="","",Data_Farmer!EI66)</f>
        <v/>
      </c>
      <c r="EJ56" s="35" t="str">
        <f aca="false">IF(Data_Farmer!EJ66="","",Data_Farmer!EJ66)</f>
        <v/>
      </c>
      <c r="EK56" s="35" t="str">
        <f aca="false">IF(Data_Farmer!EK66="","",Data_Farmer!EK66)</f>
        <v/>
      </c>
      <c r="EL56" s="35" t="str">
        <f aca="false">IF(Data_Farmer!EL66="","",Data_Farmer!EL66)</f>
        <v/>
      </c>
      <c r="EM56" s="35" t="str">
        <f aca="false">IF(Data_Farmer!EM66="","",Data_Farmer!EM66)</f>
        <v/>
      </c>
      <c r="EN56" s="35" t="str">
        <f aca="false">IF(Data_Farmer!EN66="","",Data_Farmer!EN66)</f>
        <v/>
      </c>
      <c r="EO56" s="35" t="str">
        <f aca="false">IF(Data_Farmer!EO66="","",Data_Farmer!EO66)</f>
        <v/>
      </c>
      <c r="EP56" s="35" t="str">
        <f aca="false">IF(Data_Farmer!EP66="","",Data_Farmer!EP66)</f>
        <v/>
      </c>
      <c r="EQ56" s="35" t="str">
        <f aca="false">IF(Data_Farmer!EQ66="","",Data_Farmer!EQ66)</f>
        <v/>
      </c>
      <c r="ER56" s="35" t="str">
        <f aca="false">IF(Data_Farmer!ER66="","",Data_Farmer!ER66)</f>
        <v/>
      </c>
      <c r="ES56" s="35" t="str">
        <f aca="false">IF(Data_Farmer!ES66="","",Data_Farmer!ES66)</f>
        <v/>
      </c>
      <c r="ET56" s="35" t="str">
        <f aca="false">IF(Data_Farmer!ET66="","",Data_Farmer!ET66)</f>
        <v/>
      </c>
      <c r="EU56" s="35" t="str">
        <f aca="false">IF(Data_Farmer!EU66="","",Data_Farmer!EU66)</f>
        <v/>
      </c>
      <c r="EV56" s="35" t="str">
        <f aca="false">IF(Data_Farmer!EV66="","",Data_Farmer!EV66)</f>
        <v/>
      </c>
      <c r="EW56" s="35" t="str">
        <f aca="false">IF(Data_Farmer!EW66="","",Data_Farmer!EW66)</f>
        <v/>
      </c>
      <c r="EX56" s="35" t="str">
        <f aca="false">IF(Data_Farmer!EX66="","",Data_Farmer!EX66)</f>
        <v/>
      </c>
      <c r="EY56" s="35" t="str">
        <f aca="false">IF(Data_Farmer!EY66="","",Data_Farmer!EY66)</f>
        <v/>
      </c>
      <c r="EZ56" s="35" t="str">
        <f aca="false">IF(Data_Farmer!EZ66="","",Data_Farmer!EZ66)</f>
        <v/>
      </c>
      <c r="FA56" s="35" t="str">
        <f aca="false">IF(Data_Farmer!FA66="","",Data_Farmer!FA66)</f>
        <v/>
      </c>
      <c r="FB56" s="35" t="str">
        <f aca="false">IF(Data_Farmer!FB66="","",Data_Farmer!FB66)</f>
        <v/>
      </c>
      <c r="FC56" s="35" t="str">
        <f aca="false">IF(Data_Farmer!FC66="","",Data_Farmer!FC66)</f>
        <v/>
      </c>
      <c r="FD56" s="35" t="str">
        <f aca="false">IF(Data_Farmer!FD66="","",Data_Farmer!FD66)</f>
        <v/>
      </c>
      <c r="FE56" s="35" t="str">
        <f aca="false">IF(Data_Farmer!FE66="","",Data_Farmer!FE66)</f>
        <v/>
      </c>
      <c r="FF56" s="35" t="str">
        <f aca="false">IF(Data_Farmer!FF66="","",Data_Farmer!FF66)</f>
        <v/>
      </c>
      <c r="FG56" s="35" t="str">
        <f aca="false">IF(Data_Farmer!FG66="","",Data_Farmer!FG66)</f>
        <v/>
      </c>
      <c r="FH56" s="35" t="str">
        <f aca="false">IF(Data_Farmer!FH66="","",Data_Farmer!FH66)</f>
        <v/>
      </c>
      <c r="FI56" s="35" t="str">
        <f aca="false">IF(Data_Farmer!FI66="","",Data_Farmer!FI66)</f>
        <v/>
      </c>
      <c r="FJ56" s="35" t="str">
        <f aca="false">IF(Data_Farmer!FJ66="","",Data_Farmer!FJ66)</f>
        <v/>
      </c>
      <c r="FK56" s="35" t="str">
        <f aca="false">IF(Data_Farmer!FK66="","",Data_Farmer!FK66)</f>
        <v/>
      </c>
      <c r="FL56" s="35" t="str">
        <f aca="false">IF(Data_Farmer!FL66="","",Data_Farmer!FL66)</f>
        <v/>
      </c>
      <c r="FM56" s="35" t="str">
        <f aca="false">IF(Data_Farmer!FM66="","",Data_Farmer!FM66)</f>
        <v/>
      </c>
      <c r="FN56" s="35" t="str">
        <f aca="false">IF(Data_Farmer!FN66="","",Data_Farmer!FN66)</f>
        <v/>
      </c>
      <c r="FO56" s="35" t="str">
        <f aca="false">IF(Data_Farmer!FO66="","",Data_Farmer!FO66)</f>
        <v/>
      </c>
      <c r="FP56" s="35" t="str">
        <f aca="false">IF(Data_Farmer!FP66="","",Data_Farmer!FP66)</f>
        <v/>
      </c>
      <c r="FQ56" s="35" t="str">
        <f aca="false">IF(Data_Farmer!FQ66="","",Data_Farmer!FQ66)</f>
        <v/>
      </c>
    </row>
    <row r="57" customFormat="false" ht="15" hidden="false" customHeight="false" outlineLevel="0" collapsed="false">
      <c r="A57" s="33"/>
      <c r="B57" s="20" t="s">
        <v>196</v>
      </c>
      <c r="C57" s="34" t="s">
        <v>190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 t="n">
        <v>7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 t="n">
        <v>12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 t="n">
        <v>20</v>
      </c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 t="n">
        <v>21</v>
      </c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</row>
    <row r="58" customFormat="false" ht="15" hidden="false" customHeight="false" outlineLevel="0" collapsed="false">
      <c r="A58" s="33"/>
      <c r="B58" s="20" t="s">
        <v>197</v>
      </c>
      <c r="C58" s="34" t="s">
        <v>190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 t="n">
        <v>8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 t="n">
        <v>14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 t="n">
        <v>22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 t="n">
        <v>24</v>
      </c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</row>
    <row r="59" customFormat="false" ht="15" hidden="false" customHeight="false" outlineLevel="0" collapsed="false">
      <c r="A59" s="33"/>
      <c r="B59" s="20" t="s">
        <v>198</v>
      </c>
      <c r="C59" s="34" t="s">
        <v>190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 t="n">
        <v>8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 t="n">
        <v>15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 t="n">
        <v>19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 t="n">
        <v>22</v>
      </c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</row>
    <row r="60" customFormat="false" ht="15" hidden="false" customHeight="false" outlineLevel="0" collapsed="false">
      <c r="A60" s="33"/>
      <c r="B60" s="20" t="s">
        <v>199</v>
      </c>
      <c r="C60" s="34" t="s">
        <v>190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 t="n">
        <v>9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 t="n">
        <v>13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 t="n">
        <v>21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 t="n">
        <v>20</v>
      </c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</row>
    <row r="61" customFormat="false" ht="15" hidden="false" customHeight="false" outlineLevel="0" collapsed="false">
      <c r="A61" s="33"/>
      <c r="B61" s="20" t="s">
        <v>200</v>
      </c>
      <c r="C61" s="34" t="s">
        <v>190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 t="n">
        <v>7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 t="n">
        <v>14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 t="n">
        <v>23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 t="n">
        <v>23</v>
      </c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</row>
    <row r="62" customFormat="false" ht="15" hidden="false" customHeight="false" outlineLevel="0" collapsed="false">
      <c r="A62" s="33"/>
      <c r="B62" s="20" t="s">
        <v>201</v>
      </c>
      <c r="C62" s="34" t="s">
        <v>140</v>
      </c>
      <c r="D62" s="35" t="str">
        <f aca="false">IF(Data_Farmer!D73="","",Data_Farmer!D73)</f>
        <v/>
      </c>
      <c r="E62" s="35" t="str">
        <f aca="false">IF(Data_Farmer!E73="","",Data_Farmer!E73)</f>
        <v/>
      </c>
      <c r="F62" s="35" t="str">
        <f aca="false">IF(Data_Farmer!F73="","",Data_Farmer!F73)</f>
        <v/>
      </c>
      <c r="G62" s="35" t="str">
        <f aca="false">IF(Data_Farmer!G73="","",Data_Farmer!G73)</f>
        <v/>
      </c>
      <c r="H62" s="35" t="str">
        <f aca="false">IF(Data_Farmer!H73="","",Data_Farmer!H73)</f>
        <v/>
      </c>
      <c r="I62" s="35" t="str">
        <f aca="false">IF(Data_Farmer!I73="","",Data_Farmer!I73)</f>
        <v/>
      </c>
      <c r="J62" s="35" t="str">
        <f aca="false">IF(Data_Farmer!J73="","",Data_Farmer!J73)</f>
        <v/>
      </c>
      <c r="K62" s="35" t="str">
        <f aca="false">IF(Data_Farmer!K73="","",Data_Farmer!K73)</f>
        <v/>
      </c>
      <c r="L62" s="35" t="str">
        <f aca="false">IF(Data_Farmer!L73="","",Data_Farmer!L73)</f>
        <v/>
      </c>
      <c r="M62" s="35" t="str">
        <f aca="false">IF(Data_Farmer!M73="","",Data_Farmer!M73)</f>
        <v/>
      </c>
      <c r="N62" s="35" t="str">
        <f aca="false">IF(Data_Farmer!N73="","",Data_Farmer!N73)</f>
        <v/>
      </c>
      <c r="O62" s="35" t="str">
        <f aca="false">IF(Data_Farmer!O73="","",Data_Farmer!O73)</f>
        <v/>
      </c>
      <c r="P62" s="35" t="str">
        <f aca="false">IF(Data_Farmer!P73="","",Data_Farmer!P73)</f>
        <v/>
      </c>
      <c r="Q62" s="35" t="str">
        <f aca="false">IF(Data_Farmer!Q73="","",Data_Farmer!Q73)</f>
        <v/>
      </c>
      <c r="R62" s="35" t="str">
        <f aca="false">IF(Data_Farmer!R73="","",Data_Farmer!R73)</f>
        <v/>
      </c>
      <c r="S62" s="35" t="str">
        <f aca="false">IF(Data_Farmer!S73="","",Data_Farmer!S73)</f>
        <v/>
      </c>
      <c r="T62" s="35" t="str">
        <f aca="false">IF(Data_Farmer!T73="","",Data_Farmer!T73)</f>
        <v/>
      </c>
      <c r="U62" s="35" t="str">
        <f aca="false">IF(Data_Farmer!U73="","",Data_Farmer!U73)</f>
        <v/>
      </c>
      <c r="V62" s="35" t="str">
        <f aca="false">IF(Data_Farmer!V73="","",Data_Farmer!V73)</f>
        <v/>
      </c>
      <c r="W62" s="35" t="str">
        <f aca="false">IF(Data_Farmer!W73="","",Data_Farmer!W73)</f>
        <v/>
      </c>
      <c r="X62" s="35" t="str">
        <f aca="false">IF(Data_Farmer!X73="","",Data_Farmer!X73)</f>
        <v/>
      </c>
      <c r="Y62" s="35" t="str">
        <f aca="false">IF(Data_Farmer!Y73="","",Data_Farmer!Y73)</f>
        <v/>
      </c>
      <c r="Z62" s="35" t="str">
        <f aca="false">IF(Data_Farmer!Z73="","",Data_Farmer!Z73)</f>
        <v/>
      </c>
      <c r="AA62" s="35" t="str">
        <f aca="false">IF(Data_Farmer!AA73="","",Data_Farmer!AA73)</f>
        <v/>
      </c>
      <c r="AB62" s="35" t="str">
        <f aca="false">IF(Data_Farmer!AB73="","",Data_Farmer!AB73)</f>
        <v/>
      </c>
      <c r="AC62" s="35" t="str">
        <f aca="false">IF(Data_Farmer!AC73="","",Data_Farmer!AC73)</f>
        <v/>
      </c>
      <c r="AD62" s="35" t="str">
        <f aca="false">IF(Data_Farmer!AD73="","",Data_Farmer!AD73)</f>
        <v/>
      </c>
      <c r="AE62" s="35" t="str">
        <f aca="false">IF(Data_Farmer!AE73="","",Data_Farmer!AE73)</f>
        <v/>
      </c>
      <c r="AF62" s="35" t="str">
        <f aca="false">IF(Data_Farmer!AF73="","",Data_Farmer!AF73)</f>
        <v/>
      </c>
      <c r="AG62" s="35" t="str">
        <f aca="false">IF(Data_Farmer!AG73="","",Data_Farmer!AG73)</f>
        <v/>
      </c>
      <c r="AH62" s="35" t="str">
        <f aca="false">IF(Data_Farmer!AH73="","",Data_Farmer!AH73)</f>
        <v/>
      </c>
      <c r="AI62" s="35" t="str">
        <f aca="false">IF(Data_Farmer!AI73="","",Data_Farmer!AI73)</f>
        <v/>
      </c>
      <c r="AJ62" s="35" t="str">
        <f aca="false">IF(Data_Farmer!AJ73="","",Data_Farmer!AJ73)</f>
        <v/>
      </c>
      <c r="AK62" s="35" t="str">
        <f aca="false">IF(Data_Farmer!AK73="","",Data_Farmer!AK73)</f>
        <v/>
      </c>
      <c r="AL62" s="35" t="str">
        <f aca="false">IF(Data_Farmer!AL73="","",Data_Farmer!AL73)</f>
        <v/>
      </c>
      <c r="AM62" s="35" t="str">
        <f aca="false">IF(Data_Farmer!AM73="","",Data_Farmer!AM73)</f>
        <v/>
      </c>
      <c r="AN62" s="35" t="str">
        <f aca="false">IF(Data_Farmer!AN73="","",Data_Farmer!AN73)</f>
        <v/>
      </c>
      <c r="AO62" s="35" t="str">
        <f aca="false">IF(Data_Farmer!AO73="","",Data_Farmer!AO73)</f>
        <v/>
      </c>
      <c r="AP62" s="35" t="str">
        <f aca="false">IF(Data_Farmer!AP73="","",Data_Farmer!AP73)</f>
        <v/>
      </c>
      <c r="AQ62" s="35" t="str">
        <f aca="false">IF(Data_Farmer!AQ73="","",Data_Farmer!AQ73)</f>
        <v/>
      </c>
      <c r="AR62" s="35" t="str">
        <f aca="false">IF(Data_Farmer!AR73="","",Data_Farmer!AR73)</f>
        <v/>
      </c>
      <c r="AS62" s="35" t="str">
        <f aca="false">IF(Data_Farmer!AS73="","",Data_Farmer!AS73)</f>
        <v/>
      </c>
      <c r="AT62" s="35" t="str">
        <f aca="false">IF(Data_Farmer!AT73="","",Data_Farmer!AT73)</f>
        <v/>
      </c>
      <c r="AU62" s="35" t="str">
        <f aca="false">IF(Data_Farmer!AU73="","",Data_Farmer!AU73)</f>
        <v/>
      </c>
      <c r="AV62" s="35" t="str">
        <f aca="false">IF(Data_Farmer!AV73="","",Data_Farmer!AV73)</f>
        <v/>
      </c>
      <c r="AW62" s="35" t="str">
        <f aca="false">IF(Data_Farmer!AW73="","",Data_Farmer!AW73)</f>
        <v/>
      </c>
      <c r="AX62" s="35" t="str">
        <f aca="false">IF(Data_Farmer!AX73="","",Data_Farmer!AX73)</f>
        <v/>
      </c>
      <c r="AY62" s="35" t="str">
        <f aca="false">IF(Data_Farmer!AY73="","",Data_Farmer!AY73)</f>
        <v/>
      </c>
      <c r="AZ62" s="35" t="str">
        <f aca="false">IF(Data_Farmer!AZ73="","",Data_Farmer!AZ73)</f>
        <v/>
      </c>
      <c r="BA62" s="35" t="str">
        <f aca="false">IF(Data_Farmer!BA73="","",Data_Farmer!BA73)</f>
        <v/>
      </c>
      <c r="BB62" s="35" t="str">
        <f aca="false">IF(Data_Farmer!BB73="","",Data_Farmer!BB73)</f>
        <v/>
      </c>
      <c r="BC62" s="35" t="str">
        <f aca="false">IF(Data_Farmer!BC73="","",Data_Farmer!BC73)</f>
        <v/>
      </c>
      <c r="BD62" s="35" t="str">
        <f aca="false">IF(Data_Farmer!BD73="","",Data_Farmer!BD73)</f>
        <v/>
      </c>
      <c r="BE62" s="35" t="str">
        <f aca="false">IF(Data_Farmer!BE73="","",Data_Farmer!BE73)</f>
        <v/>
      </c>
      <c r="BF62" s="35" t="str">
        <f aca="false">IF(Data_Farmer!BF73="","",Data_Farmer!BF73)</f>
        <v/>
      </c>
      <c r="BG62" s="35" t="str">
        <f aca="false">IF(Data_Farmer!BG73="","",Data_Farmer!BG73)</f>
        <v/>
      </c>
      <c r="BH62" s="35" t="str">
        <f aca="false">IF(Data_Farmer!BH73="","",Data_Farmer!BH73)</f>
        <v/>
      </c>
      <c r="BI62" s="35" t="str">
        <f aca="false">IF(Data_Farmer!BI73="","",Data_Farmer!BI73)</f>
        <v/>
      </c>
      <c r="BJ62" s="35" t="str">
        <f aca="false">IF(Data_Farmer!BJ73="","",Data_Farmer!BJ73)</f>
        <v/>
      </c>
      <c r="BK62" s="35" t="str">
        <f aca="false">IF(Data_Farmer!BK73="","",Data_Farmer!BK73)</f>
        <v/>
      </c>
      <c r="BL62" s="35" t="str">
        <f aca="false">IF(Data_Farmer!BL73="","",Data_Farmer!BL73)</f>
        <v/>
      </c>
      <c r="BM62" s="35" t="str">
        <f aca="false">IF(Data_Farmer!BM73="","",Data_Farmer!BM73)</f>
        <v/>
      </c>
      <c r="BN62" s="35" t="str">
        <f aca="false">IF(Data_Farmer!BN73="","",Data_Farmer!BN73)</f>
        <v/>
      </c>
      <c r="BO62" s="35" t="str">
        <f aca="false">IF(Data_Farmer!BO73="","",Data_Farmer!BO73)</f>
        <v/>
      </c>
      <c r="BP62" s="35" t="str">
        <f aca="false">IF(Data_Farmer!BP73="","",Data_Farmer!BP73)</f>
        <v/>
      </c>
      <c r="BQ62" s="35" t="str">
        <f aca="false">IF(Data_Farmer!BQ73="","",Data_Farmer!BQ73)</f>
        <v/>
      </c>
      <c r="BR62" s="35" t="str">
        <f aca="false">IF(Data_Farmer!BR73="","",Data_Farmer!BR73)</f>
        <v/>
      </c>
      <c r="BS62" s="35" t="str">
        <f aca="false">IF(Data_Farmer!BS73="","",Data_Farmer!BS73)</f>
        <v/>
      </c>
      <c r="BT62" s="35" t="str">
        <f aca="false">IF(Data_Farmer!BT73="","",Data_Farmer!BT73)</f>
        <v/>
      </c>
      <c r="BU62" s="35" t="str">
        <f aca="false">IF(Data_Farmer!BU73="","",Data_Farmer!BU73)</f>
        <v/>
      </c>
      <c r="BV62" s="35" t="str">
        <f aca="false">IF(Data_Farmer!BV73="","",Data_Farmer!BV73)</f>
        <v/>
      </c>
      <c r="BW62" s="35" t="str">
        <f aca="false">IF(Data_Farmer!BW73="","",Data_Farmer!BW73)</f>
        <v/>
      </c>
      <c r="BX62" s="35" t="str">
        <f aca="false">IF(Data_Farmer!BX73="","",Data_Farmer!BX73)</f>
        <v/>
      </c>
      <c r="BY62" s="35" t="n">
        <f aca="false">IF(Data_Farmer!BY73="","",Data_Farmer!BY73)</f>
        <v>7.7</v>
      </c>
      <c r="BZ62" s="35" t="str">
        <f aca="false">IF(Data_Farmer!BZ73="","",Data_Farmer!BZ73)</f>
        <v/>
      </c>
      <c r="CA62" s="35" t="str">
        <f aca="false">IF(Data_Farmer!CA73="","",Data_Farmer!CA73)</f>
        <v/>
      </c>
      <c r="CB62" s="35" t="str">
        <f aca="false">IF(Data_Farmer!CB73="","",Data_Farmer!CB73)</f>
        <v/>
      </c>
      <c r="CC62" s="35" t="str">
        <f aca="false">IF(Data_Farmer!CC73="","",Data_Farmer!CC73)</f>
        <v/>
      </c>
      <c r="CD62" s="35" t="str">
        <f aca="false">IF(Data_Farmer!CD73="","",Data_Farmer!CD73)</f>
        <v/>
      </c>
      <c r="CE62" s="35" t="str">
        <f aca="false">IF(Data_Farmer!CE73="","",Data_Farmer!CE73)</f>
        <v/>
      </c>
      <c r="CF62" s="35" t="str">
        <f aca="false">IF(Data_Farmer!CF73="","",Data_Farmer!CF73)</f>
        <v/>
      </c>
      <c r="CG62" s="35" t="str">
        <f aca="false">IF(Data_Farmer!CG73="","",Data_Farmer!CG73)</f>
        <v/>
      </c>
      <c r="CH62" s="35" t="str">
        <f aca="false">IF(Data_Farmer!CH73="","",Data_Farmer!CH73)</f>
        <v/>
      </c>
      <c r="CI62" s="35" t="str">
        <f aca="false">IF(Data_Farmer!CI73="","",Data_Farmer!CI73)</f>
        <v/>
      </c>
      <c r="CJ62" s="35" t="str">
        <f aca="false">IF(Data_Farmer!CJ73="","",Data_Farmer!CJ73)</f>
        <v/>
      </c>
      <c r="CK62" s="35" t="str">
        <f aca="false">IF(Data_Farmer!CK73="","",Data_Farmer!CK73)</f>
        <v/>
      </c>
      <c r="CL62" s="35" t="str">
        <f aca="false">IF(Data_Farmer!CL73="","",Data_Farmer!CL73)</f>
        <v/>
      </c>
      <c r="CM62" s="35" t="str">
        <f aca="false">IF(Data_Farmer!CM73="","",Data_Farmer!CM73)</f>
        <v/>
      </c>
      <c r="CN62" s="35" t="n">
        <f aca="false">IF(Data_Farmer!CN73="","",Data_Farmer!CN73)</f>
        <v>13.7</v>
      </c>
      <c r="CO62" s="35" t="str">
        <f aca="false">IF(Data_Farmer!CO73="","",Data_Farmer!CO73)</f>
        <v/>
      </c>
      <c r="CP62" s="35" t="str">
        <f aca="false">IF(Data_Farmer!CP73="","",Data_Farmer!CP73)</f>
        <v/>
      </c>
      <c r="CQ62" s="35" t="str">
        <f aca="false">IF(Data_Farmer!CQ73="","",Data_Farmer!CQ73)</f>
        <v/>
      </c>
      <c r="CR62" s="35" t="str">
        <f aca="false">IF(Data_Farmer!CR73="","",Data_Farmer!CR73)</f>
        <v/>
      </c>
      <c r="CS62" s="35" t="str">
        <f aca="false">IF(Data_Farmer!CS73="","",Data_Farmer!CS73)</f>
        <v/>
      </c>
      <c r="CT62" s="35" t="str">
        <f aca="false">IF(Data_Farmer!CT73="","",Data_Farmer!CT73)</f>
        <v/>
      </c>
      <c r="CU62" s="35" t="str">
        <f aca="false">IF(Data_Farmer!CU73="","",Data_Farmer!CU73)</f>
        <v/>
      </c>
      <c r="CV62" s="35" t="str">
        <f aca="false">IF(Data_Farmer!CV73="","",Data_Farmer!CV73)</f>
        <v/>
      </c>
      <c r="CW62" s="35" t="str">
        <f aca="false">IF(Data_Farmer!CW73="","",Data_Farmer!CW73)</f>
        <v/>
      </c>
      <c r="CX62" s="35" t="str">
        <f aca="false">IF(Data_Farmer!CX73="","",Data_Farmer!CX73)</f>
        <v/>
      </c>
      <c r="CY62" s="35" t="str">
        <f aca="false">IF(Data_Farmer!CY73="","",Data_Farmer!CY73)</f>
        <v/>
      </c>
      <c r="CZ62" s="35" t="str">
        <f aca="false">IF(Data_Farmer!CZ73="","",Data_Farmer!CZ73)</f>
        <v/>
      </c>
      <c r="DA62" s="35" t="str">
        <f aca="false">IF(Data_Farmer!DA73="","",Data_Farmer!DA73)</f>
        <v/>
      </c>
      <c r="DB62" s="35" t="str">
        <f aca="false">IF(Data_Farmer!DB73="","",Data_Farmer!DB73)</f>
        <v/>
      </c>
      <c r="DC62" s="35" t="n">
        <f aca="false">IF(Data_Farmer!DC73="","",Data_Farmer!DC73)</f>
        <v>21</v>
      </c>
      <c r="DD62" s="35" t="str">
        <f aca="false">IF(Data_Farmer!DD73="","",Data_Farmer!DD73)</f>
        <v/>
      </c>
      <c r="DE62" s="35" t="str">
        <f aca="false">IF(Data_Farmer!DE73="","",Data_Farmer!DE73)</f>
        <v/>
      </c>
      <c r="DF62" s="35" t="str">
        <f aca="false">IF(Data_Farmer!DF73="","",Data_Farmer!DF73)</f>
        <v/>
      </c>
      <c r="DG62" s="35" t="str">
        <f aca="false">IF(Data_Farmer!DG73="","",Data_Farmer!DG73)</f>
        <v/>
      </c>
      <c r="DH62" s="35" t="str">
        <f aca="false">IF(Data_Farmer!DH73="","",Data_Farmer!DH73)</f>
        <v/>
      </c>
      <c r="DI62" s="35" t="str">
        <f aca="false">IF(Data_Farmer!DI73="","",Data_Farmer!DI73)</f>
        <v/>
      </c>
      <c r="DJ62" s="35" t="str">
        <f aca="false">IF(Data_Farmer!DJ73="","",Data_Farmer!DJ73)</f>
        <v/>
      </c>
      <c r="DK62" s="35" t="str">
        <f aca="false">IF(Data_Farmer!DK73="","",Data_Farmer!DK73)</f>
        <v/>
      </c>
      <c r="DL62" s="35" t="str">
        <f aca="false">IF(Data_Farmer!DL73="","",Data_Farmer!DL73)</f>
        <v/>
      </c>
      <c r="DM62" s="35" t="str">
        <f aca="false">IF(Data_Farmer!DM73="","",Data_Farmer!DM73)</f>
        <v/>
      </c>
      <c r="DN62" s="35" t="str">
        <f aca="false">IF(Data_Farmer!DN73="","",Data_Farmer!DN73)</f>
        <v/>
      </c>
      <c r="DO62" s="35" t="str">
        <f aca="false">IF(Data_Farmer!DO73="","",Data_Farmer!DO73)</f>
        <v/>
      </c>
      <c r="DP62" s="35" t="str">
        <f aca="false">IF(Data_Farmer!DP73="","",Data_Farmer!DP73)</f>
        <v/>
      </c>
      <c r="DQ62" s="35" t="str">
        <f aca="false">IF(Data_Farmer!DQ73="","",Data_Farmer!DQ73)</f>
        <v/>
      </c>
      <c r="DR62" s="35" t="n">
        <f aca="false">IF(Data_Farmer!DR73="","",Data_Farmer!DR73)</f>
        <v>22</v>
      </c>
      <c r="DS62" s="35" t="str">
        <f aca="false">IF(Data_Farmer!DS73="","",Data_Farmer!DS73)</f>
        <v/>
      </c>
      <c r="DT62" s="35" t="str">
        <f aca="false">IF(Data_Farmer!DT73="","",Data_Farmer!DT73)</f>
        <v/>
      </c>
      <c r="DU62" s="35" t="str">
        <f aca="false">IF(Data_Farmer!DU73="","",Data_Farmer!DU73)</f>
        <v/>
      </c>
      <c r="DV62" s="35" t="str">
        <f aca="false">IF(Data_Farmer!DV73="","",Data_Farmer!DV73)</f>
        <v/>
      </c>
      <c r="DW62" s="35" t="str">
        <f aca="false">IF(Data_Farmer!DW73="","",Data_Farmer!DW73)</f>
        <v/>
      </c>
      <c r="DX62" s="35" t="str">
        <f aca="false">IF(Data_Farmer!DX73="","",Data_Farmer!DX73)</f>
        <v/>
      </c>
      <c r="DY62" s="35" t="str">
        <f aca="false">IF(Data_Farmer!DY73="","",Data_Farmer!DY73)</f>
        <v/>
      </c>
      <c r="DZ62" s="35" t="str">
        <f aca="false">IF(Data_Farmer!DZ73="","",Data_Farmer!DZ73)</f>
        <v/>
      </c>
      <c r="EA62" s="35" t="str">
        <f aca="false">IF(Data_Farmer!EA73="","",Data_Farmer!EA73)</f>
        <v/>
      </c>
      <c r="EB62" s="35" t="str">
        <f aca="false">IF(Data_Farmer!EB73="","",Data_Farmer!EB73)</f>
        <v/>
      </c>
      <c r="EC62" s="35" t="str">
        <f aca="false">IF(Data_Farmer!EC73="","",Data_Farmer!EC73)</f>
        <v/>
      </c>
      <c r="ED62" s="35" t="str">
        <f aca="false">IF(Data_Farmer!ED73="","",Data_Farmer!ED73)</f>
        <v/>
      </c>
      <c r="EE62" s="35" t="str">
        <f aca="false">IF(Data_Farmer!EE73="","",Data_Farmer!EE73)</f>
        <v/>
      </c>
      <c r="EF62" s="35" t="str">
        <f aca="false">IF(Data_Farmer!EF73="","",Data_Farmer!EF73)</f>
        <v/>
      </c>
      <c r="EG62" s="35" t="str">
        <f aca="false">IF(Data_Farmer!EG73="","",Data_Farmer!EG73)</f>
        <v/>
      </c>
      <c r="EH62" s="35" t="str">
        <f aca="false">IF(Data_Farmer!EH73="","",Data_Farmer!EH73)</f>
        <v/>
      </c>
      <c r="EI62" s="35" t="str">
        <f aca="false">IF(Data_Farmer!EI73="","",Data_Farmer!EI73)</f>
        <v/>
      </c>
      <c r="EJ62" s="35" t="str">
        <f aca="false">IF(Data_Farmer!EJ73="","",Data_Farmer!EJ73)</f>
        <v/>
      </c>
      <c r="EK62" s="35" t="str">
        <f aca="false">IF(Data_Farmer!EK73="","",Data_Farmer!EK73)</f>
        <v/>
      </c>
      <c r="EL62" s="35" t="str">
        <f aca="false">IF(Data_Farmer!EL73="","",Data_Farmer!EL73)</f>
        <v/>
      </c>
      <c r="EM62" s="35" t="str">
        <f aca="false">IF(Data_Farmer!EM73="","",Data_Farmer!EM73)</f>
        <v/>
      </c>
      <c r="EN62" s="35" t="str">
        <f aca="false">IF(Data_Farmer!EN73="","",Data_Farmer!EN73)</f>
        <v/>
      </c>
      <c r="EO62" s="35" t="str">
        <f aca="false">IF(Data_Farmer!EO73="","",Data_Farmer!EO73)</f>
        <v/>
      </c>
      <c r="EP62" s="35" t="str">
        <f aca="false">IF(Data_Farmer!EP73="","",Data_Farmer!EP73)</f>
        <v/>
      </c>
      <c r="EQ62" s="35" t="str">
        <f aca="false">IF(Data_Farmer!EQ73="","",Data_Farmer!EQ73)</f>
        <v/>
      </c>
      <c r="ER62" s="35" t="str">
        <f aca="false">IF(Data_Farmer!ER73="","",Data_Farmer!ER73)</f>
        <v/>
      </c>
      <c r="ES62" s="35" t="str">
        <f aca="false">IF(Data_Farmer!ES73="","",Data_Farmer!ES73)</f>
        <v/>
      </c>
      <c r="ET62" s="35" t="str">
        <f aca="false">IF(Data_Farmer!ET73="","",Data_Farmer!ET73)</f>
        <v/>
      </c>
      <c r="EU62" s="35" t="str">
        <f aca="false">IF(Data_Farmer!EU73="","",Data_Farmer!EU73)</f>
        <v/>
      </c>
      <c r="EV62" s="35" t="str">
        <f aca="false">IF(Data_Farmer!EV73="","",Data_Farmer!EV73)</f>
        <v/>
      </c>
      <c r="EW62" s="35" t="str">
        <f aca="false">IF(Data_Farmer!EW73="","",Data_Farmer!EW73)</f>
        <v/>
      </c>
      <c r="EX62" s="35" t="str">
        <f aca="false">IF(Data_Farmer!EX73="","",Data_Farmer!EX73)</f>
        <v/>
      </c>
      <c r="EY62" s="35" t="str">
        <f aca="false">IF(Data_Farmer!EY73="","",Data_Farmer!EY73)</f>
        <v/>
      </c>
      <c r="EZ62" s="35" t="str">
        <f aca="false">IF(Data_Farmer!EZ73="","",Data_Farmer!EZ73)</f>
        <v/>
      </c>
      <c r="FA62" s="35" t="str">
        <f aca="false">IF(Data_Farmer!FA73="","",Data_Farmer!FA73)</f>
        <v/>
      </c>
      <c r="FB62" s="35" t="str">
        <f aca="false">IF(Data_Farmer!FB73="","",Data_Farmer!FB73)</f>
        <v/>
      </c>
      <c r="FC62" s="35" t="str">
        <f aca="false">IF(Data_Farmer!FC73="","",Data_Farmer!FC73)</f>
        <v/>
      </c>
      <c r="FD62" s="35" t="str">
        <f aca="false">IF(Data_Farmer!FD73="","",Data_Farmer!FD73)</f>
        <v/>
      </c>
      <c r="FE62" s="35" t="str">
        <f aca="false">IF(Data_Farmer!FE73="","",Data_Farmer!FE73)</f>
        <v/>
      </c>
      <c r="FF62" s="35" t="str">
        <f aca="false">IF(Data_Farmer!FF73="","",Data_Farmer!FF73)</f>
        <v/>
      </c>
      <c r="FG62" s="35" t="str">
        <f aca="false">IF(Data_Farmer!FG73="","",Data_Farmer!FG73)</f>
        <v/>
      </c>
      <c r="FH62" s="35" t="str">
        <f aca="false">IF(Data_Farmer!FH73="","",Data_Farmer!FH73)</f>
        <v/>
      </c>
      <c r="FI62" s="35" t="str">
        <f aca="false">IF(Data_Farmer!FI73="","",Data_Farmer!FI73)</f>
        <v/>
      </c>
      <c r="FJ62" s="35" t="str">
        <f aca="false">IF(Data_Farmer!FJ73="","",Data_Farmer!FJ73)</f>
        <v/>
      </c>
      <c r="FK62" s="35" t="str">
        <f aca="false">IF(Data_Farmer!FK73="","",Data_Farmer!FK73)</f>
        <v/>
      </c>
      <c r="FL62" s="35" t="str">
        <f aca="false">IF(Data_Farmer!FL73="","",Data_Farmer!FL73)</f>
        <v/>
      </c>
      <c r="FM62" s="35" t="str">
        <f aca="false">IF(Data_Farmer!FM73="","",Data_Farmer!FM73)</f>
        <v/>
      </c>
      <c r="FN62" s="35" t="str">
        <f aca="false">IF(Data_Farmer!FN73="","",Data_Farmer!FN73)</f>
        <v/>
      </c>
      <c r="FO62" s="35" t="str">
        <f aca="false">IF(Data_Farmer!FO73="","",Data_Farmer!FO73)</f>
        <v/>
      </c>
      <c r="FP62" s="35" t="str">
        <f aca="false">IF(Data_Farmer!FP73="","",Data_Farmer!FP73)</f>
        <v/>
      </c>
      <c r="FQ62" s="35" t="str">
        <f aca="false">IF(Data_Farmer!FQ73="","",Data_Farmer!FQ73)</f>
        <v/>
      </c>
    </row>
    <row r="64" customFormat="false" ht="15" hidden="false" customHeight="false" outlineLevel="0" collapsed="false">
      <c r="A64" s="8"/>
      <c r="B64" s="30" t="s">
        <v>202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</row>
    <row r="65" customFormat="false" ht="15" hidden="false" customHeight="false" outlineLevel="0" collapsed="false">
      <c r="A65" s="31"/>
      <c r="B65" s="17" t="s">
        <v>203</v>
      </c>
      <c r="C65" s="32" t="s">
        <v>204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 t="n">
        <v>295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</row>
    <row r="66" customFormat="false" ht="15" hidden="false" customHeight="false" outlineLevel="0" collapsed="false">
      <c r="A66" s="31"/>
      <c r="B66" s="17" t="s">
        <v>205</v>
      </c>
      <c r="C66" s="32" t="s">
        <v>206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 t="n">
        <v>15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</row>
    <row r="67" customFormat="false" ht="15" hidden="false" customHeight="false" outlineLevel="0" collapsed="false">
      <c r="A67" s="33"/>
      <c r="B67" s="20" t="s">
        <v>207</v>
      </c>
      <c r="C67" s="34" t="s">
        <v>204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 t="n">
        <v>415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</row>
    <row r="68" customFormat="false" ht="15" hidden="false" customHeight="false" outlineLevel="0" collapsed="false">
      <c r="A68" s="33"/>
      <c r="B68" s="20" t="s">
        <v>208</v>
      </c>
      <c r="C68" s="34" t="s">
        <v>206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 t="n">
        <v>15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</row>
    <row r="70" customFormat="false" ht="15" hidden="false" customHeight="false" outlineLevel="0" collapsed="false">
      <c r="A70" s="8"/>
      <c r="B70" s="30" t="s">
        <v>209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</row>
    <row r="71" customFormat="false" ht="15" hidden="false" customHeight="false" outlineLevel="0" collapsed="false">
      <c r="A71" s="33"/>
      <c r="B71" s="20" t="s">
        <v>210</v>
      </c>
      <c r="C71" s="34" t="s">
        <v>211</v>
      </c>
      <c r="D71" s="18" t="s">
        <v>212</v>
      </c>
      <c r="E71" s="18"/>
      <c r="F71" s="18"/>
      <c r="G71" s="18" t="s">
        <v>213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214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 t="s">
        <v>215</v>
      </c>
      <c r="EK71" s="18"/>
      <c r="EL71" s="18"/>
      <c r="EM71" s="18"/>
      <c r="EN71" s="18"/>
      <c r="EO71" s="18"/>
      <c r="EP71" s="18"/>
      <c r="EQ71" s="18" t="s">
        <v>216</v>
      </c>
      <c r="ER71" s="18"/>
      <c r="ES71" s="18"/>
      <c r="ET71" s="18"/>
      <c r="EU71" s="18"/>
      <c r="EV71" s="18"/>
      <c r="EW71" s="18"/>
      <c r="EX71" s="18" t="s">
        <v>217</v>
      </c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</row>
    <row r="72" customFormat="false" ht="15" hidden="false" customHeight="false" outlineLevel="0" collapsed="false">
      <c r="A72" s="33"/>
      <c r="B72" s="20" t="s">
        <v>218</v>
      </c>
      <c r="C72" s="34" t="s">
        <v>219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</row>
    <row r="73" customFormat="false" ht="15" hidden="false" customHeight="false" outlineLevel="0" collapsed="false">
      <c r="A73" s="31"/>
      <c r="B73" s="17" t="s">
        <v>220</v>
      </c>
      <c r="C73" s="32" t="s">
        <v>211</v>
      </c>
      <c r="D73" s="18" t="s">
        <v>212</v>
      </c>
      <c r="E73" s="18"/>
      <c r="F73" s="18"/>
      <c r="G73" s="18" t="s">
        <v>213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214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</row>
    <row r="74" customFormat="false" ht="15" hidden="false" customHeight="false" outlineLevel="0" collapsed="false">
      <c r="A74" s="31"/>
      <c r="B74" s="17" t="s">
        <v>221</v>
      </c>
      <c r="C74" s="32" t="s">
        <v>219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</row>
    <row r="76" customFormat="false" ht="15" hidden="false" customHeight="false" outlineLevel="0" collapsed="false">
      <c r="A76" s="8"/>
      <c r="B76" s="30" t="s">
        <v>222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</row>
    <row r="77" customFormat="false" ht="15" hidden="false" customHeight="false" outlineLevel="0" collapsed="false">
      <c r="A77" s="37"/>
      <c r="B77" s="38" t="s">
        <v>223</v>
      </c>
      <c r="C77" s="39" t="s">
        <v>169</v>
      </c>
      <c r="D77" s="18" t="s">
        <v>212</v>
      </c>
      <c r="E77" s="18"/>
      <c r="F77" s="18"/>
      <c r="G77" s="18" t="s">
        <v>224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</row>
    <row r="78" customFormat="false" ht="15" hidden="false" customHeight="false" outlineLevel="0" collapsed="false">
      <c r="A78" s="37"/>
      <c r="B78" s="38" t="s">
        <v>225</v>
      </c>
      <c r="C78" s="39" t="s">
        <v>226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</row>
    <row r="79" customFormat="false" ht="15" hidden="false" customHeight="false" outlineLevel="0" collapsed="false">
      <c r="A79" s="37"/>
      <c r="B79" s="38" t="s">
        <v>227</v>
      </c>
      <c r="C79" s="39" t="s">
        <v>226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</row>
    <row r="80" customFormat="false" ht="15" hidden="false" customHeight="false" outlineLevel="0" collapsed="false">
      <c r="A80" s="37"/>
      <c r="B80" s="38" t="s">
        <v>228</v>
      </c>
      <c r="C80" s="39" t="s">
        <v>226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</row>
    <row r="81" customFormat="false" ht="15" hidden="false" customHeight="false" outlineLevel="0" collapsed="false">
      <c r="A81" s="37"/>
      <c r="B81" s="38" t="s">
        <v>229</v>
      </c>
      <c r="C81" s="39" t="s">
        <v>226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</row>
    <row r="82" customFormat="false" ht="15" hidden="false" customHeight="false" outlineLevel="0" collapsed="false">
      <c r="A82" s="37"/>
      <c r="B82" s="38" t="s">
        <v>230</v>
      </c>
      <c r="C82" s="39" t="s">
        <v>226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</row>
    <row r="83" customFormat="false" ht="15" hidden="false" customHeight="false" outlineLevel="0" collapsed="false">
      <c r="A83" s="37"/>
      <c r="B83" s="38" t="s">
        <v>231</v>
      </c>
      <c r="C83" s="39" t="s">
        <v>226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</row>
    <row r="84" customFormat="false" ht="15" hidden="false" customHeight="false" outlineLevel="0" collapsed="false">
      <c r="A84" s="37"/>
      <c r="B84" s="38" t="s">
        <v>232</v>
      </c>
      <c r="C84" s="39" t="s">
        <v>226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</row>
    <row r="85" customFormat="false" ht="15" hidden="false" customHeight="false" outlineLevel="0" collapsed="false">
      <c r="A85" s="37"/>
      <c r="B85" s="38" t="s">
        <v>233</v>
      </c>
      <c r="C85" s="39" t="s">
        <v>226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</row>
    <row r="86" customFormat="false" ht="15" hidden="false" customHeight="false" outlineLevel="0" collapsed="false">
      <c r="A86" s="37"/>
      <c r="B86" s="38" t="s">
        <v>234</v>
      </c>
      <c r="C86" s="39" t="s">
        <v>226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</row>
    <row r="87" customFormat="false" ht="15" hidden="false" customHeight="false" outlineLevel="0" collapsed="false">
      <c r="A87" s="37"/>
      <c r="B87" s="38" t="s">
        <v>235</v>
      </c>
      <c r="C87" s="39" t="s">
        <v>169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</row>
    <row r="88" customFormat="false" ht="15" hidden="false" customHeight="false" outlineLevel="0" collapsed="false">
      <c r="A88" s="37"/>
      <c r="B88" s="38" t="s">
        <v>236</v>
      </c>
      <c r="C88" s="39" t="s">
        <v>237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</row>
    <row r="89" customFormat="false" ht="15" hidden="false" customHeight="false" outlineLevel="0" collapsed="false">
      <c r="A89" s="37"/>
      <c r="B89" s="38" t="s">
        <v>238</v>
      </c>
      <c r="C89" s="39" t="s">
        <v>237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</row>
    <row r="91" customFormat="false" ht="15" hidden="false" customHeight="false" outlineLevel="0" collapsed="false">
      <c r="A91" s="40"/>
      <c r="B91" s="41" t="s">
        <v>239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</row>
    <row r="92" customFormat="false" ht="15" hidden="false" customHeight="false" outlineLevel="0" collapsed="false">
      <c r="A92" s="31"/>
      <c r="B92" s="17" t="s">
        <v>240</v>
      </c>
      <c r="C92" s="32" t="s">
        <v>169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 t="s">
        <v>112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 t="s">
        <v>112</v>
      </c>
      <c r="CB92" s="18"/>
      <c r="CC92" s="18"/>
      <c r="CD92" s="18"/>
      <c r="CE92" s="18"/>
      <c r="CF92" s="18"/>
      <c r="CG92" s="18"/>
      <c r="CH92" s="18"/>
      <c r="CI92" s="18" t="s">
        <v>241</v>
      </c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 t="s">
        <v>112</v>
      </c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 t="s">
        <v>241</v>
      </c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</row>
    <row r="93" customFormat="false" ht="15" hidden="false" customHeight="false" outlineLevel="0" collapsed="false">
      <c r="A93" s="31"/>
      <c r="B93" s="17" t="s">
        <v>242</v>
      </c>
      <c r="C93" s="32" t="s">
        <v>226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 t="n">
        <v>6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 t="n">
        <v>5</v>
      </c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 t="n">
        <v>4</v>
      </c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</row>
    <row r="94" customFormat="false" ht="15" hidden="false" customHeight="false" outlineLevel="0" collapsed="false">
      <c r="A94" s="31"/>
      <c r="B94" s="17" t="s">
        <v>243</v>
      </c>
      <c r="C94" s="32" t="s">
        <v>226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 t="n">
        <v>4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</row>
    <row r="95" customFormat="false" ht="15" hidden="false" customHeight="false" outlineLevel="0" collapsed="false">
      <c r="A95" s="31"/>
      <c r="B95" s="17" t="s">
        <v>244</v>
      </c>
      <c r="C95" s="32" t="s">
        <v>226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</row>
    <row r="96" customFormat="false" ht="15" hidden="false" customHeight="false" outlineLevel="0" collapsed="false">
      <c r="A96" s="31"/>
      <c r="B96" s="17" t="s">
        <v>245</v>
      </c>
      <c r="C96" s="32" t="s">
        <v>226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 t="n">
        <v>2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</row>
    <row r="97" customFormat="false" ht="15" hidden="false" customHeight="false" outlineLevel="0" collapsed="false">
      <c r="A97" s="31"/>
      <c r="B97" s="17" t="s">
        <v>246</v>
      </c>
      <c r="C97" s="32" t="s">
        <v>226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 t="n">
        <v>3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 t="n">
        <v>2</v>
      </c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</row>
    <row r="98" customFormat="false" ht="15" hidden="false" customHeight="false" outlineLevel="0" collapsed="false">
      <c r="A98" s="31"/>
      <c r="B98" s="17" t="s">
        <v>247</v>
      </c>
      <c r="C98" s="32" t="s">
        <v>226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</row>
    <row r="99" customFormat="false" ht="15" hidden="false" customHeight="false" outlineLevel="0" collapsed="false">
      <c r="A99" s="31"/>
      <c r="B99" s="17" t="s">
        <v>248</v>
      </c>
      <c r="C99" s="32" t="s">
        <v>226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</row>
    <row r="100" customFormat="false" ht="15" hidden="false" customHeight="false" outlineLevel="0" collapsed="false">
      <c r="A100" s="31"/>
      <c r="B100" s="17" t="s">
        <v>249</v>
      </c>
      <c r="C100" s="32" t="s">
        <v>226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</row>
    <row r="101" customFormat="false" ht="15" hidden="false" customHeight="false" outlineLevel="0" collapsed="false">
      <c r="A101" s="31"/>
      <c r="B101" s="17" t="s">
        <v>250</v>
      </c>
      <c r="C101" s="32" t="s">
        <v>226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</row>
    <row r="102" customFormat="false" ht="15" hidden="false" customHeight="false" outlineLevel="0" collapsed="false">
      <c r="A102" s="31"/>
      <c r="B102" s="17" t="s">
        <v>251</v>
      </c>
      <c r="C102" s="32" t="s">
        <v>226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</row>
    <row r="103" customFormat="false" ht="15" hidden="false" customHeight="false" outlineLevel="0" collapsed="false">
      <c r="A103" s="31"/>
      <c r="B103" s="17" t="s">
        <v>252</v>
      </c>
      <c r="C103" s="32" t="s">
        <v>226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</row>
    <row r="104" customFormat="false" ht="15" hidden="false" customHeight="false" outlineLevel="0" collapsed="false">
      <c r="A104" s="31"/>
      <c r="B104" s="17" t="s">
        <v>253</v>
      </c>
      <c r="C104" s="32" t="s">
        <v>226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</row>
    <row r="105" customFormat="false" ht="15" hidden="false" customHeight="false" outlineLevel="0" collapsed="false">
      <c r="A105" s="31"/>
      <c r="B105" s="17" t="s">
        <v>254</v>
      </c>
      <c r="C105" s="32" t="s">
        <v>169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 t="s">
        <v>255</v>
      </c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 t="s">
        <v>256</v>
      </c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</row>
    <row r="106" customFormat="false" ht="15" hidden="false" customHeight="false" outlineLevel="0" collapsed="false">
      <c r="A106" s="31"/>
      <c r="B106" s="17" t="s">
        <v>257</v>
      </c>
      <c r="C106" s="32" t="s">
        <v>237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 t="s">
        <v>258</v>
      </c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 t="s">
        <v>259</v>
      </c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</row>
    <row r="107" customFormat="false" ht="15" hidden="false" customHeight="false" outlineLevel="0" collapsed="false">
      <c r="A107" s="31"/>
      <c r="B107" s="17" t="s">
        <v>260</v>
      </c>
      <c r="C107" s="32" t="s">
        <v>237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 t="s">
        <v>261</v>
      </c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 t="s">
        <v>262</v>
      </c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</row>
    <row r="108" customFormat="false" ht="15" hidden="false" customHeight="false" outlineLevel="0" collapsed="false">
      <c r="A108" s="31"/>
      <c r="B108" s="17" t="s">
        <v>263</v>
      </c>
      <c r="C108" s="32" t="s">
        <v>177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</row>
    <row r="109" customFormat="false" ht="15" hidden="false" customHeight="false" outlineLevel="0" collapsed="false">
      <c r="A109" s="31"/>
      <c r="B109" s="17" t="s">
        <v>264</v>
      </c>
      <c r="C109" s="32" t="s">
        <v>177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</row>
    <row r="110" customFormat="false" ht="15" hidden="false" customHeight="false" outlineLevel="0" collapsed="false">
      <c r="A110" s="31"/>
      <c r="B110" s="17" t="s">
        <v>265</v>
      </c>
      <c r="C110" s="32" t="s">
        <v>237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 t="s">
        <v>266</v>
      </c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 t="s">
        <v>267</v>
      </c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 t="s">
        <v>268</v>
      </c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</row>
    <row r="112" customFormat="false" ht="15" hidden="false" customHeight="false" outlineLevel="0" collapsed="false">
      <c r="A112" s="42"/>
      <c r="B112" s="43" t="s">
        <v>269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</row>
    <row r="113" customFormat="false" ht="15" hidden="false" customHeight="false" outlineLevel="0" collapsed="false">
      <c r="A113" s="33"/>
      <c r="B113" s="20" t="s">
        <v>270</v>
      </c>
      <c r="C113" s="34" t="s">
        <v>169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 t="s">
        <v>112</v>
      </c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 t="s">
        <v>112</v>
      </c>
      <c r="CB113" s="18"/>
      <c r="CC113" s="18"/>
      <c r="CD113" s="18"/>
      <c r="CE113" s="18"/>
      <c r="CF113" s="18"/>
      <c r="CG113" s="18"/>
      <c r="CH113" s="18"/>
      <c r="CI113" s="18" t="s">
        <v>241</v>
      </c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 t="s">
        <v>112</v>
      </c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</row>
    <row r="114" customFormat="false" ht="15" hidden="false" customHeight="false" outlineLevel="0" collapsed="false">
      <c r="A114" s="33"/>
      <c r="B114" s="20" t="s">
        <v>271</v>
      </c>
      <c r="C114" s="34" t="s">
        <v>226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 t="n">
        <v>6</v>
      </c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 t="n">
        <v>5</v>
      </c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 t="n">
        <v>4</v>
      </c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</row>
    <row r="115" customFormat="false" ht="15" hidden="false" customHeight="false" outlineLevel="0" collapsed="false">
      <c r="A115" s="33"/>
      <c r="B115" s="20" t="s">
        <v>272</v>
      </c>
      <c r="C115" s="34" t="s">
        <v>226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 t="n">
        <v>4</v>
      </c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</row>
    <row r="116" customFormat="false" ht="15" hidden="false" customHeight="false" outlineLevel="0" collapsed="false">
      <c r="A116" s="33"/>
      <c r="B116" s="20" t="s">
        <v>273</v>
      </c>
      <c r="C116" s="34" t="s">
        <v>226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</row>
    <row r="117" customFormat="false" ht="15" hidden="false" customHeight="false" outlineLevel="0" collapsed="false">
      <c r="A117" s="33"/>
      <c r="B117" s="20" t="s">
        <v>274</v>
      </c>
      <c r="C117" s="34" t="s">
        <v>226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 t="n">
        <v>2</v>
      </c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</row>
    <row r="118" customFormat="false" ht="15" hidden="false" customHeight="false" outlineLevel="0" collapsed="false">
      <c r="A118" s="33"/>
      <c r="B118" s="20" t="s">
        <v>275</v>
      </c>
      <c r="C118" s="34" t="s">
        <v>226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 t="n">
        <v>3</v>
      </c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 t="n">
        <v>2</v>
      </c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</row>
    <row r="119" customFormat="false" ht="15" hidden="false" customHeight="false" outlineLevel="0" collapsed="false">
      <c r="A119" s="33"/>
      <c r="B119" s="20" t="s">
        <v>276</v>
      </c>
      <c r="C119" s="34" t="s">
        <v>226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</row>
    <row r="120" customFormat="false" ht="15" hidden="false" customHeight="false" outlineLevel="0" collapsed="false">
      <c r="A120" s="33"/>
      <c r="B120" s="20" t="s">
        <v>277</v>
      </c>
      <c r="C120" s="34" t="s">
        <v>226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</row>
    <row r="121" customFormat="false" ht="15" hidden="false" customHeight="false" outlineLevel="0" collapsed="false">
      <c r="A121" s="33"/>
      <c r="B121" s="20" t="s">
        <v>278</v>
      </c>
      <c r="C121" s="34" t="s">
        <v>226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</row>
    <row r="122" customFormat="false" ht="15" hidden="false" customHeight="false" outlineLevel="0" collapsed="false">
      <c r="A122" s="33"/>
      <c r="B122" s="20" t="s">
        <v>279</v>
      </c>
      <c r="C122" s="34" t="s">
        <v>226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</row>
    <row r="123" customFormat="false" ht="15" hidden="false" customHeight="false" outlineLevel="0" collapsed="false">
      <c r="A123" s="33"/>
      <c r="B123" s="20" t="s">
        <v>280</v>
      </c>
      <c r="C123" s="34" t="s">
        <v>226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</row>
    <row r="124" customFormat="false" ht="15" hidden="false" customHeight="false" outlineLevel="0" collapsed="false">
      <c r="A124" s="33"/>
      <c r="B124" s="20" t="s">
        <v>281</v>
      </c>
      <c r="C124" s="34" t="s">
        <v>226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</row>
    <row r="125" customFormat="false" ht="15" hidden="false" customHeight="false" outlineLevel="0" collapsed="false">
      <c r="A125" s="33"/>
      <c r="B125" s="20" t="s">
        <v>282</v>
      </c>
      <c r="C125" s="34" t="s">
        <v>226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</row>
    <row r="126" customFormat="false" ht="15" hidden="false" customHeight="false" outlineLevel="0" collapsed="false">
      <c r="A126" s="33"/>
      <c r="B126" s="20" t="s">
        <v>283</v>
      </c>
      <c r="C126" s="34" t="s">
        <v>169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 t="s">
        <v>255</v>
      </c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</row>
    <row r="127" customFormat="false" ht="15" hidden="false" customHeight="false" outlineLevel="0" collapsed="false">
      <c r="A127" s="33"/>
      <c r="B127" s="20" t="s">
        <v>284</v>
      </c>
      <c r="C127" s="34" t="s">
        <v>237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 t="s">
        <v>258</v>
      </c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</row>
    <row r="128" customFormat="false" ht="15" hidden="false" customHeight="false" outlineLevel="0" collapsed="false">
      <c r="A128" s="33"/>
      <c r="B128" s="20" t="s">
        <v>285</v>
      </c>
      <c r="C128" s="34" t="s">
        <v>237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 t="s">
        <v>261</v>
      </c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</row>
    <row r="129" customFormat="false" ht="15" hidden="false" customHeight="false" outlineLevel="0" collapsed="false">
      <c r="A129" s="33"/>
      <c r="B129" s="20" t="s">
        <v>286</v>
      </c>
      <c r="C129" s="34" t="s">
        <v>177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</row>
    <row r="130" customFormat="false" ht="15" hidden="false" customHeight="false" outlineLevel="0" collapsed="false">
      <c r="A130" s="33"/>
      <c r="B130" s="20" t="s">
        <v>287</v>
      </c>
      <c r="C130" s="34" t="s">
        <v>177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</row>
    <row r="131" customFormat="false" ht="15" hidden="false" customHeight="false" outlineLevel="0" collapsed="false">
      <c r="A131" s="33"/>
      <c r="B131" s="20" t="s">
        <v>288</v>
      </c>
      <c r="C131" s="34" t="s">
        <v>237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 t="s">
        <v>266</v>
      </c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 t="s">
        <v>267</v>
      </c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 t="s">
        <v>268</v>
      </c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Enter a number (cm)." errorStyle="stop" operator="between" showDropDown="false" showErrorMessage="true" showInputMessage="false" sqref="D7:FQ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8:FQ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5:FQ1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6:FQ1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8:FQ1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9:FQ19" type="decimal">
      <formula1>-500</formula1>
      <formula2>2000</formula2>
    </dataValidation>
    <dataValidation allowBlank="false" error="Enter a number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Enter a number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Enter a number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Enter a number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Whole number 0-200." errorStyle="stop" operator="between" showDropDown="false" showErrorMessage="true" showInputMessage="false" sqref="D51:FQ55 D57:FQ61" type="whole">
      <formula1>0</formula1>
      <formula2>200</formula2>
    </dataValidation>
    <dataValidation allowBlank="false" error="Enter a number (cm)." errorStyle="stop" operator="between" showDropDown="false" showErrorMessage="true" showInputMessage="false" sqref="D65:FQ6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6:FQ6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7:FQ6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17.15" hidden="false" customHeight="false" outlineLevel="0" collapsed="false">
      <c r="A1" s="23" t="s">
        <v>289</v>
      </c>
    </row>
    <row r="2" customFormat="false" ht="15" hidden="false" customHeight="false" outlineLevel="0" collapsed="false">
      <c r="A2" s="44" t="str">
        <f aca="false">IF(SiteName="","",SiteName&amp;IF(Place="",""," - "&amp;Place))</f>
        <v>Demo Site-03 - Pirganj, Rangpur</v>
      </c>
      <c r="F2" s="9" t="str">
        <f aca="false">IF(Variety="","","Variety: "&amp;Variety)</f>
        <v>Variety: BRRI dhan58</v>
      </c>
    </row>
    <row r="4" customFormat="false" ht="15" hidden="false" customHeight="false" outlineLevel="0" collapsed="false">
      <c r="B4" s="15" t="s">
        <v>290</v>
      </c>
      <c r="C4" s="15" t="s">
        <v>291</v>
      </c>
      <c r="D4" s="15" t="s">
        <v>292</v>
      </c>
      <c r="G4" s="15" t="s">
        <v>293</v>
      </c>
      <c r="H4" s="15" t="s">
        <v>291</v>
      </c>
      <c r="I4" s="15" t="s">
        <v>292</v>
      </c>
    </row>
    <row r="5" customFormat="false" ht="15" hidden="false" customHeight="false" outlineLevel="0" collapsed="false">
      <c r="A5" s="45" t="s">
        <v>294</v>
      </c>
      <c r="B5" s="21" t="str">
        <f aca="false">Schedule_Farmer!A5&amp;IF(Schedule_Farmer!E5&lt;&gt;Schedule_Farmer!D5,"  (to "&amp;TEXT(Schedule_Farmer!E5,"dd mmm")&amp;")","")</f>
        <v>Seed wetting</v>
      </c>
      <c r="C5" s="46" t="n">
        <f aca="false">IF(Schedule_Farmer!D5="","",Schedule_Farmer!D5)</f>
        <v>45986</v>
      </c>
      <c r="D5" s="46" t="n">
        <f aca="false">IF(Schedule_Farmer!F5="","",Schedule_Farmer!F5)</f>
        <v>45986</v>
      </c>
      <c r="F5" s="45" t="s">
        <v>294</v>
      </c>
      <c r="G5" s="21" t="str">
        <f aca="false">Schedule_Farmer!A28&amp;IF(Schedule_Farmer!E28&lt;&gt;Schedule_Farmer!D28,"  (to "&amp;TEXT(Schedule_Farmer!E28,"dd mmm")&amp;")","")</f>
        <v>Seed wetting</v>
      </c>
      <c r="H5" s="46" t="n">
        <f aca="false">IF(Schedule_Farmer!D28="","",Schedule_Farmer!D28)</f>
        <v>45986</v>
      </c>
      <c r="I5" s="46" t="n">
        <f aca="false">IF(Schedule_Farmer!F28="","",Schedule_Farmer!F28)</f>
        <v>45986</v>
      </c>
    </row>
    <row r="6" customFormat="false" ht="15" hidden="false" customHeight="false" outlineLevel="0" collapsed="false">
      <c r="A6" s="45" t="s">
        <v>295</v>
      </c>
      <c r="B6" s="21" t="str">
        <f aca="false">Schedule_Farmer!A6&amp;IF(Schedule_Farmer!E6&lt;&gt;Schedule_Farmer!D6,"  (to "&amp;TEXT(Schedule_Farmer!E6,"dd mmm")&amp;")","")</f>
        <v>Sowing</v>
      </c>
      <c r="C6" s="46" t="n">
        <f aca="false">IF(Schedule_Farmer!D6="","",Schedule_Farmer!D6)</f>
        <v>45989</v>
      </c>
      <c r="D6" s="46" t="n">
        <f aca="false">IF(Schedule_Farmer!F6="","",Schedule_Farmer!F6)</f>
        <v>45989</v>
      </c>
      <c r="F6" s="45" t="s">
        <v>295</v>
      </c>
      <c r="G6" s="21" t="str">
        <f aca="false">Schedule_Farmer!A29&amp;IF(Schedule_Farmer!E29&lt;&gt;Schedule_Farmer!D29,"  (to "&amp;TEXT(Schedule_Farmer!E29,"dd mmm")&amp;")","")</f>
        <v>Sowing</v>
      </c>
      <c r="H6" s="46" t="n">
        <f aca="false">IF(Schedule_Farmer!D29="","",Schedule_Farmer!D29)</f>
        <v>45989</v>
      </c>
      <c r="I6" s="46" t="n">
        <f aca="false">IF(Schedule_Farmer!F29="","",Schedule_Farmer!F29)</f>
        <v>45989</v>
      </c>
    </row>
    <row r="7" customFormat="false" ht="15" hidden="false" customHeight="false" outlineLevel="0" collapsed="false">
      <c r="A7" s="45" t="s">
        <v>296</v>
      </c>
      <c r="B7" s="21" t="str">
        <f aca="false">Schedule_Farmer!A7&amp;IF(Schedule_Farmer!E7&lt;&gt;Schedule_Farmer!D7,"  (to "&amp;TEXT(Schedule_Farmer!E7,"dd mmm")&amp;")","")</f>
        <v>Plowing</v>
      </c>
      <c r="C7" s="46" t="n">
        <f aca="false">IF(Schedule_Farmer!D7="","",Schedule_Farmer!D7)</f>
        <v>45995</v>
      </c>
      <c r="D7" s="46" t="str">
        <f aca="false">IF(Schedule_Farmer!F7="","",Schedule_Farmer!F7)</f>
        <v/>
      </c>
      <c r="F7" s="45" t="s">
        <v>296</v>
      </c>
      <c r="G7" s="21" t="str">
        <f aca="false">Schedule_Farmer!A30&amp;IF(Schedule_Farmer!E30&lt;&gt;Schedule_Farmer!D30,"  (to "&amp;TEXT(Schedule_Farmer!E30,"dd mmm")&amp;")","")</f>
        <v>Plowing</v>
      </c>
      <c r="H7" s="46" t="n">
        <f aca="false">IF(Schedule_Farmer!D30="","",Schedule_Farmer!D30)</f>
        <v>45995</v>
      </c>
      <c r="I7" s="46" t="str">
        <f aca="false">IF(Schedule_Farmer!F30="","",Schedule_Farmer!F30)</f>
        <v/>
      </c>
    </row>
    <row r="8" customFormat="false" ht="15" hidden="false" customHeight="false" outlineLevel="0" collapsed="false">
      <c r="A8" s="45" t="s">
        <v>297</v>
      </c>
      <c r="B8" s="21" t="str">
        <f aca="false">Schedule_Farmer!A8&amp;IF(Schedule_Farmer!E8&lt;&gt;Schedule_Farmer!D8,"  (to "&amp;TEXT(Schedule_Farmer!E8,"dd mmm")&amp;")","")</f>
        <v>Puddling</v>
      </c>
      <c r="C8" s="46" t="n">
        <f aca="false">IF(Schedule_Farmer!D8="","",Schedule_Farmer!D8)</f>
        <v>46025</v>
      </c>
      <c r="D8" s="46" t="str">
        <f aca="false">IF(Schedule_Farmer!F8="","",Schedule_Farmer!F8)</f>
        <v/>
      </c>
      <c r="F8" s="45" t="s">
        <v>297</v>
      </c>
      <c r="G8" s="21" t="str">
        <f aca="false">Schedule_Farmer!A31&amp;IF(Schedule_Farmer!E31&lt;&gt;Schedule_Farmer!D31,"  (to "&amp;TEXT(Schedule_Farmer!E31,"dd mmm")&amp;")","")</f>
        <v>Puddling</v>
      </c>
      <c r="H8" s="46" t="n">
        <f aca="false">IF(Schedule_Farmer!D31="","",Schedule_Farmer!D31)</f>
        <v>46025</v>
      </c>
      <c r="I8" s="46" t="str">
        <f aca="false">IF(Schedule_Farmer!F31="","",Schedule_Farmer!F31)</f>
        <v/>
      </c>
    </row>
    <row r="9" customFormat="false" ht="15" hidden="false" customHeight="false" outlineLevel="0" collapsed="false">
      <c r="A9" s="45" t="s">
        <v>298</v>
      </c>
      <c r="B9" s="21" t="str">
        <f aca="false">Schedule_Farmer!A9&amp;IF(Schedule_Farmer!E9&lt;&gt;Schedule_Farmer!D9,"  (to "&amp;TEXT(Schedule_Farmer!E9,"dd mmm")&amp;")","")</f>
        <v>Transplanting</v>
      </c>
      <c r="C9" s="46" t="n">
        <f aca="false">IF(Schedule_Farmer!D9="","",Schedule_Farmer!D9)</f>
        <v>46038</v>
      </c>
      <c r="D9" s="46" t="n">
        <f aca="false">IF(Schedule_Farmer!F9="","",Schedule_Farmer!F9)</f>
        <v>46038</v>
      </c>
      <c r="F9" s="45" t="s">
        <v>298</v>
      </c>
      <c r="G9" s="21" t="str">
        <f aca="false">Schedule_Farmer!A32&amp;IF(Schedule_Farmer!E32&lt;&gt;Schedule_Farmer!D32,"  (to "&amp;TEXT(Schedule_Farmer!E32,"dd mmm")&amp;")","")</f>
        <v>Transplanting</v>
      </c>
      <c r="H9" s="46" t="n">
        <f aca="false">IF(Schedule_Farmer!D32="","",Schedule_Farmer!D32)</f>
        <v>46038</v>
      </c>
      <c r="I9" s="46" t="n">
        <f aca="false">IF(Schedule_Farmer!F32="","",Schedule_Farmer!F32)</f>
        <v>46038</v>
      </c>
    </row>
    <row r="10" customFormat="false" ht="15" hidden="false" customHeight="false" outlineLevel="0" collapsed="false">
      <c r="A10" s="45" t="s">
        <v>299</v>
      </c>
      <c r="B10" s="21" t="str">
        <f aca="false">Schedule_Farmer!A10&amp;IF(Schedule_Farmer!E10&lt;&gt;Schedule_Farmer!D10,"  (to "&amp;TEXT(Schedule_Farmer!E10,"dd mmm")&amp;")","")</f>
        <v>Last irrigation for Pitan</v>
      </c>
      <c r="C10" s="46" t="n">
        <f aca="false">IF(Schedule_Farmer!D10="","",Schedule_Farmer!D10)</f>
        <v>46064</v>
      </c>
      <c r="D10" s="46" t="str">
        <f aca="false">IF(Schedule_Farmer!F10="","",Schedule_Farmer!F10)</f>
        <v/>
      </c>
      <c r="F10" s="45" t="s">
        <v>299</v>
      </c>
      <c r="G10" s="21" t="str">
        <f aca="false">Schedule_Farmer!A33&amp;IF(Schedule_Farmer!E33&lt;&gt;Schedule_Farmer!D33,"  (to "&amp;TEXT(Schedule_Farmer!E33,"dd mmm")&amp;")","")</f>
        <v>Last irrigation for Pitan</v>
      </c>
      <c r="H10" s="46" t="n">
        <f aca="false">IF(Schedule_Farmer!D33="","",Schedule_Farmer!D33)</f>
        <v>46064</v>
      </c>
      <c r="I10" s="46" t="str">
        <f aca="false">IF(Schedule_Farmer!F33="","",Schedule_Farmer!F33)</f>
        <v/>
      </c>
    </row>
    <row r="11" customFormat="false" ht="15" hidden="false" customHeight="false" outlineLevel="0" collapsed="false">
      <c r="A11" s="45" t="s">
        <v>300</v>
      </c>
      <c r="B11" s="21" t="str">
        <f aca="false">Schedule_Farmer!A11&amp;IF(Schedule_Farmer!E11&lt;&gt;Schedule_Farmer!D11,"  (to "&amp;TEXT(Schedule_Farmer!E11,"dd mmm")&amp;")","")</f>
        <v>Pitan (conventional mid-season drainage)  (to 18 Feb)</v>
      </c>
      <c r="C11" s="46" t="n">
        <f aca="false">IF(Schedule_Farmer!D11="","",Schedule_Farmer!D11)</f>
        <v>46068</v>
      </c>
      <c r="D11" s="46" t="str">
        <f aca="false">IF(Schedule_Farmer!F11="","",Schedule_Farmer!F11)</f>
        <v/>
      </c>
      <c r="F11" s="45" t="s">
        <v>300</v>
      </c>
      <c r="G11" s="21" t="str">
        <f aca="false">Schedule_Farmer!A34&amp;IF(Schedule_Farmer!E34&lt;&gt;Schedule_Farmer!D34,"  (to "&amp;TEXT(Schedule_Farmer!E34,"dd mmm")&amp;")","")</f>
        <v>Pitan (FP)  (to 23 Feb)</v>
      </c>
      <c r="H11" s="46" t="n">
        <f aca="false">IF(Schedule_Farmer!D34="","",Schedule_Farmer!D34)</f>
        <v>46068</v>
      </c>
      <c r="I11" s="46" t="str">
        <f aca="false">IF(Schedule_Farmer!F34="","",Schedule_Farmer!F34)</f>
        <v/>
      </c>
    </row>
    <row r="12" customFormat="false" ht="15" hidden="false" customHeight="false" outlineLevel="0" collapsed="false">
      <c r="A12" s="45" t="s">
        <v>301</v>
      </c>
      <c r="B12" s="21" t="str">
        <f aca="false">Schedule_Farmer!A12&amp;IF(Schedule_Farmer!E12&lt;&gt;Schedule_Farmer!D12,"  (to "&amp;TEXT(Schedule_Farmer!E12,"dd mmm")&amp;")","")</f>
        <v>Last irrigation for starting MD</v>
      </c>
      <c r="C12" s="46" t="n">
        <f aca="false">IF(Schedule_Farmer!D12="","",Schedule_Farmer!D12)</f>
        <v>46065</v>
      </c>
      <c r="D12" s="46" t="str">
        <f aca="false">IF(Schedule_Farmer!F12="","",Schedule_Farmer!F12)</f>
        <v/>
      </c>
      <c r="F12" s="45" t="s">
        <v>301</v>
      </c>
      <c r="G12" s="21" t="str">
        <f aca="false">Schedule_Farmer!A35&amp;IF(Schedule_Farmer!E35&lt;&gt;Schedule_Farmer!D35,"  (to "&amp;TEXT(Schedule_Farmer!E35,"dd mmm")&amp;")","")</f>
        <v>Flooding after Pitan</v>
      </c>
      <c r="H12" s="46" t="n">
        <f aca="false">IF(Schedule_Farmer!D35="","",Schedule_Farmer!D35)</f>
        <v>46076</v>
      </c>
      <c r="I12" s="46" t="str">
        <f aca="false">IF(Schedule_Farmer!F35="","",Schedule_Farmer!F35)</f>
        <v/>
      </c>
    </row>
    <row r="13" customFormat="false" ht="15" hidden="false" customHeight="false" outlineLevel="0" collapsed="false">
      <c r="A13" s="45" t="s">
        <v>302</v>
      </c>
      <c r="B13" s="21" t="str">
        <f aca="false">Schedule_Farmer!A13&amp;IF(Schedule_Farmer!E13&lt;&gt;Schedule_Farmer!D13,"  (to "&amp;TEXT(Schedule_Farmer!E13,"dd mmm")&amp;")","")</f>
        <v>Mid-season drainage (MD; start = surface water disappears)  (to 24 Feb)</v>
      </c>
      <c r="C13" s="46" t="n">
        <f aca="false">IF(Schedule_Farmer!D13="","",Schedule_Farmer!D13)</f>
        <v>46069</v>
      </c>
      <c r="D13" s="46" t="str">
        <f aca="false">IF(Schedule_Farmer!F13="","",Schedule_Farmer!F13)</f>
        <v/>
      </c>
      <c r="F13" s="45" t="s">
        <v>302</v>
      </c>
      <c r="G13" s="21" t="str">
        <f aca="false">Schedule_Farmer!A36&amp;IF(Schedule_Farmer!E36&lt;&gt;Schedule_Farmer!D36,"  (to "&amp;TEXT(Schedule_Farmer!E36,"dd mmm")&amp;")","")</f>
        <v>Heading</v>
      </c>
      <c r="H13" s="46" t="n">
        <f aca="false">IF(Schedule_Farmer!D36="","",Schedule_Farmer!D36)</f>
        <v>46114</v>
      </c>
      <c r="I13" s="46" t="str">
        <f aca="false">IF(Schedule_Farmer!F36="","",Schedule_Farmer!F36)</f>
        <v/>
      </c>
    </row>
    <row r="14" customFormat="false" ht="15" hidden="false" customHeight="false" outlineLevel="0" collapsed="false">
      <c r="A14" s="45" t="s">
        <v>303</v>
      </c>
      <c r="B14" s="21" t="str">
        <f aca="false">Schedule_Farmer!A14&amp;IF(Schedule_Farmer!E14&lt;&gt;Schedule_Farmer!D14,"  (to "&amp;TEXT(Schedule_Farmer!E14,"dd mmm")&amp;")","")</f>
        <v>Panicle checking (PI check)</v>
      </c>
      <c r="C14" s="46" t="n">
        <f aca="false">IF(Schedule_Farmer!D14="","",Schedule_Farmer!D14)</f>
        <v>46075</v>
      </c>
      <c r="D14" s="46" t="str">
        <f aca="false">IF(Schedule_Farmer!F14="","",Schedule_Farmer!F14)</f>
        <v/>
      </c>
      <c r="F14" s="45" t="s">
        <v>303</v>
      </c>
      <c r="G14" s="21" t="str">
        <f aca="false">Schedule_Farmer!A37&amp;IF(Schedule_Farmer!E37&lt;&gt;Schedule_Farmer!D37,"  (to "&amp;TEXT(Schedule_Farmer!E37,"dd mmm")&amp;")","")</f>
        <v>Last irrigation</v>
      </c>
      <c r="H14" s="46" t="n">
        <f aca="false">IF(Schedule_Farmer!D37="","",Schedule_Farmer!D37)</f>
        <v>46127</v>
      </c>
      <c r="I14" s="46" t="str">
        <f aca="false">IF(Schedule_Farmer!F37="","",Schedule_Farmer!F37)</f>
        <v/>
      </c>
    </row>
    <row r="15" customFormat="false" ht="15" hidden="false" customHeight="false" outlineLevel="0" collapsed="false">
      <c r="A15" s="45" t="s">
        <v>304</v>
      </c>
      <c r="B15" s="21" t="str">
        <f aca="false">Schedule_Farmer!A15&amp;IF(Schedule_Farmer!E15&lt;&gt;Schedule_Farmer!D15,"  (to "&amp;TEXT(Schedule_Farmer!E15,"dd mmm")&amp;")","")</f>
        <v>Flooding (panicle initiation)  (to 12 Mar)</v>
      </c>
      <c r="C15" s="46" t="n">
        <f aca="false">IF(Schedule_Farmer!D15="","",Schedule_Farmer!D15)</f>
        <v>46089</v>
      </c>
      <c r="D15" s="46" t="str">
        <f aca="false">IF(Schedule_Farmer!F15="","",Schedule_Farmer!F15)</f>
        <v/>
      </c>
      <c r="F15" s="45" t="s">
        <v>304</v>
      </c>
      <c r="G15" s="21" t="str">
        <f aca="false">Schedule_Farmer!A38&amp;IF(Schedule_Farmer!E38&lt;&gt;Schedule_Farmer!D38,"  (to "&amp;TEXT(Schedule_Farmer!E38,"dd mmm")&amp;")","")</f>
        <v>Harvest</v>
      </c>
      <c r="H15" s="46" t="n">
        <f aca="false">IF(Schedule_Farmer!D38="","",Schedule_Farmer!D38)</f>
        <v>46142</v>
      </c>
      <c r="I15" s="46" t="str">
        <f aca="false">IF(Schedule_Farmer!F38="","",Schedule_Farmer!F38)</f>
        <v/>
      </c>
    </row>
    <row r="16" customFormat="false" ht="15" hidden="false" customHeight="false" outlineLevel="0" collapsed="false">
      <c r="A16" s="45" t="s">
        <v>305</v>
      </c>
      <c r="B16" s="21" t="str">
        <f aca="false">Schedule_Farmer!A16&amp;IF(Schedule_Farmer!E16&lt;&gt;Schedule_Farmer!D16,"  (to "&amp;TEXT(Schedule_Farmer!E16,"dd mmm")&amp;")","")</f>
        <v>3F4D-1  (to 19 Mar)</v>
      </c>
      <c r="C16" s="46" t="n">
        <f aca="false">IF(Schedule_Farmer!D16="","",Schedule_Farmer!D16)</f>
        <v>46093</v>
      </c>
      <c r="D16" s="46" t="str">
        <f aca="false">IF(Schedule_Farmer!F16="","",Schedule_Farmer!F16)</f>
        <v/>
      </c>
    </row>
    <row r="17" customFormat="false" ht="15" hidden="false" customHeight="false" outlineLevel="0" collapsed="false">
      <c r="A17" s="45" t="s">
        <v>306</v>
      </c>
      <c r="B17" s="21" t="str">
        <f aca="false">Schedule_Farmer!A17&amp;IF(Schedule_Farmer!E17&lt;&gt;Schedule_Farmer!D17,"  (to "&amp;TEXT(Schedule_Farmer!E17,"dd mmm")&amp;")","")</f>
        <v>3F4D-2  (to 26 Mar)</v>
      </c>
      <c r="C17" s="46" t="n">
        <f aca="false">IF(Schedule_Farmer!D17="","",Schedule_Farmer!D17)</f>
        <v>46100</v>
      </c>
      <c r="D17" s="46" t="str">
        <f aca="false">IF(Schedule_Farmer!F17="","",Schedule_Farmer!F17)</f>
        <v/>
      </c>
    </row>
    <row r="18" customFormat="false" ht="15" hidden="false" customHeight="false" outlineLevel="0" collapsed="false">
      <c r="A18" s="45" t="s">
        <v>307</v>
      </c>
      <c r="B18" s="21" t="str">
        <f aca="false">Schedule_Farmer!A18&amp;IF(Schedule_Farmer!E18&lt;&gt;Schedule_Farmer!D18,"  (to "&amp;TEXT(Schedule_Farmer!E18,"dd mmm")&amp;")","")</f>
        <v>3F4D-3  (to 02 Apr)</v>
      </c>
      <c r="C18" s="46" t="n">
        <f aca="false">IF(Schedule_Farmer!D18="","",Schedule_Farmer!D18)</f>
        <v>46107</v>
      </c>
      <c r="D18" s="46" t="str">
        <f aca="false">IF(Schedule_Farmer!F18="","",Schedule_Farmer!F18)</f>
        <v/>
      </c>
    </row>
    <row r="19" customFormat="false" ht="15" hidden="false" customHeight="false" outlineLevel="0" collapsed="false">
      <c r="A19" s="45" t="s">
        <v>308</v>
      </c>
      <c r="B19" s="21" t="str">
        <f aca="false">Schedule_Farmer!A19&amp;IF(Schedule_Farmer!E19&lt;&gt;Schedule_Farmer!D19,"  (to "&amp;TEXT(Schedule_Farmer!E19,"dd mmm")&amp;")","")</f>
        <v>Heading</v>
      </c>
      <c r="C19" s="46" t="n">
        <f aca="false">IF(Schedule_Farmer!D19="","",Schedule_Farmer!D19)</f>
        <v>46114</v>
      </c>
      <c r="D19" s="46" t="str">
        <f aca="false">IF(Schedule_Farmer!F19="","",Schedule_Farmer!F19)</f>
        <v/>
      </c>
    </row>
    <row r="20" customFormat="false" ht="15" hidden="false" customHeight="false" outlineLevel="0" collapsed="false">
      <c r="A20" s="45" t="s">
        <v>309</v>
      </c>
      <c r="B20" s="21" t="str">
        <f aca="false">Schedule_Farmer!A20&amp;IF(Schedule_Farmer!E20&lt;&gt;Schedule_Farmer!D20,"  (to "&amp;TEXT(Schedule_Farmer!E20,"dd mmm")&amp;")","")</f>
        <v>3F4D-4  (to 09 Apr)</v>
      </c>
      <c r="C20" s="46" t="n">
        <f aca="false">IF(Schedule_Farmer!D20="","",Schedule_Farmer!D20)</f>
        <v>46114</v>
      </c>
      <c r="D20" s="46" t="str">
        <f aca="false">IF(Schedule_Farmer!F20="","",Schedule_Farmer!F20)</f>
        <v/>
      </c>
    </row>
    <row r="21" customFormat="false" ht="15" hidden="false" customHeight="false" outlineLevel="0" collapsed="false">
      <c r="A21" s="45" t="s">
        <v>310</v>
      </c>
      <c r="B21" s="21" t="str">
        <f aca="false">Schedule_Farmer!A21&amp;IF(Schedule_Farmer!E21&lt;&gt;Schedule_Farmer!D21,"  (to "&amp;TEXT(Schedule_Farmer!E21,"dd mmm")&amp;")","")</f>
        <v>3F4D-5  (to 16 Apr)</v>
      </c>
      <c r="C21" s="46" t="n">
        <f aca="false">IF(Schedule_Farmer!D21="","",Schedule_Farmer!D21)</f>
        <v>46121</v>
      </c>
      <c r="D21" s="46" t="n">
        <f aca="false">IF(Schedule_Farmer!F21="","",Schedule_Farmer!F21)</f>
        <v>46122</v>
      </c>
    </row>
    <row r="22" customFormat="false" ht="15" hidden="false" customHeight="false" outlineLevel="0" collapsed="false">
      <c r="A22" s="45" t="s">
        <v>311</v>
      </c>
      <c r="B22" s="21" t="str">
        <f aca="false">Schedule_Farmer!A22&amp;IF(Schedule_Farmer!E22&lt;&gt;Schedule_Farmer!D22,"  (to "&amp;TEXT(Schedule_Farmer!E22,"dd mmm")&amp;")","")</f>
        <v>3F4D-6  (to 23 Apr)</v>
      </c>
      <c r="C22" s="46" t="n">
        <f aca="false">IF(Schedule_Farmer!D22="","",Schedule_Farmer!D22)</f>
        <v>46128</v>
      </c>
      <c r="D22" s="46" t="n">
        <f aca="false">IF(Schedule_Farmer!F22="","",Schedule_Farmer!F22)</f>
        <v>46129</v>
      </c>
    </row>
    <row r="23" customFormat="false" ht="15" hidden="false" customHeight="false" outlineLevel="0" collapsed="false">
      <c r="A23" s="45" t="s">
        <v>312</v>
      </c>
      <c r="B23" s="21" t="str">
        <f aca="false">Schedule_Farmer!A23&amp;IF(Schedule_Farmer!E23&lt;&gt;Schedule_Farmer!D23,"  (to "&amp;TEXT(Schedule_Farmer!E23,"dd mmm")&amp;")","")</f>
        <v>3F4D end</v>
      </c>
      <c r="C23" s="46" t="n">
        <f aca="false">IF(Schedule_Farmer!D23="","",Schedule_Farmer!D23)</f>
        <v>46135</v>
      </c>
      <c r="D23" s="46" t="n">
        <f aca="false">IF(Schedule_Farmer!F23="","",Schedule_Farmer!F23)</f>
        <v>46136</v>
      </c>
    </row>
    <row r="24" customFormat="false" ht="15" hidden="false" customHeight="false" outlineLevel="0" collapsed="false">
      <c r="A24" s="45" t="s">
        <v>313</v>
      </c>
      <c r="B24" s="21" t="str">
        <f aca="false">Schedule_Farmer!A24&amp;IF(Schedule_Farmer!E24&lt;&gt;Schedule_Farmer!D24,"  (to "&amp;TEXT(Schedule_Farmer!E24,"dd mmm")&amp;")","")</f>
        <v>Last irrigation</v>
      </c>
      <c r="C24" s="46" t="n">
        <f aca="false">IF(Schedule_Farmer!D24="","",Schedule_Farmer!D24)</f>
        <v>46136</v>
      </c>
      <c r="D24" s="46" t="str">
        <f aca="false">IF(Schedule_Farmer!F24="","",Schedule_Farmer!F24)</f>
        <v/>
      </c>
    </row>
    <row r="25" customFormat="false" ht="15" hidden="false" customHeight="false" outlineLevel="0" collapsed="false">
      <c r="A25" s="45" t="s">
        <v>314</v>
      </c>
      <c r="B25" s="21" t="str">
        <f aca="false">Schedule_Farmer!A25&amp;IF(Schedule_Farmer!E25&lt;&gt;Schedule_Farmer!D25,"  (to "&amp;TEXT(Schedule_Farmer!E25,"dd mmm")&amp;")","")</f>
        <v>Harvest</v>
      </c>
      <c r="C25" s="46" t="n">
        <f aca="false">IF(Schedule_Farmer!D25="","",Schedule_Farmer!D25)</f>
        <v>46142</v>
      </c>
      <c r="D25" s="46" t="str">
        <f aca="false">IF(Schedule_Farmer!F25="","",Schedule_Farmer!F25)</f>
        <v/>
      </c>
    </row>
    <row r="27" customFormat="false" ht="15" hidden="false" customHeight="false" outlineLevel="0" collapsed="false">
      <c r="A27" s="22" t="s">
        <v>315</v>
      </c>
    </row>
    <row r="29" customFormat="false" ht="15" hidden="false" customHeight="false" outlineLevel="0" collapsed="false">
      <c r="B29" s="24" t="s">
        <v>316</v>
      </c>
      <c r="C29" s="24" t="s">
        <v>129</v>
      </c>
    </row>
    <row r="30" customFormat="false" ht="15" hidden="false" customHeight="false" outlineLevel="0" collapsed="false">
      <c r="B30" s="21" t="s">
        <v>317</v>
      </c>
      <c r="C30" s="46" t="n">
        <f aca="false">IF(ISNUMBER(SowDate),SowDate+50,"")</f>
        <v>46039</v>
      </c>
    </row>
    <row r="31" customFormat="false" ht="15" hidden="false" customHeight="false" outlineLevel="0" collapsed="false">
      <c r="B31" s="21" t="s">
        <v>318</v>
      </c>
      <c r="C31" s="46" t="n">
        <f aca="false">IF(ISNUMBER(SowDate),SowDate+60,"")</f>
        <v>46049</v>
      </c>
    </row>
    <row r="32" customFormat="false" ht="15" hidden="false" customHeight="false" outlineLevel="0" collapsed="false">
      <c r="B32" s="21" t="s">
        <v>319</v>
      </c>
      <c r="C32" s="46" t="n">
        <f aca="false">IF(ISNUMBER(SowDate),SowDate+70,"")</f>
        <v>46059</v>
      </c>
    </row>
    <row r="33" customFormat="false" ht="15" hidden="false" customHeight="false" outlineLevel="0" collapsed="false">
      <c r="B33" s="21" t="s">
        <v>320</v>
      </c>
      <c r="C33" s="46" t="n">
        <f aca="false">IF(ISNUMBER(SowDate),SowDate+80,"")</f>
        <v>46069</v>
      </c>
    </row>
    <row r="34" customFormat="false" ht="15" hidden="false" customHeight="false" outlineLevel="0" collapsed="false">
      <c r="B34" s="21" t="s">
        <v>321</v>
      </c>
      <c r="C34" s="46" t="n">
        <f aca="false">IF(ISNUMBER(SowDate),SowDate+90,"")</f>
        <v>46079</v>
      </c>
    </row>
    <row r="36" customFormat="false" ht="15" hidden="false" customHeight="false" outlineLevel="0" collapsed="false">
      <c r="B36" s="9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47" t="str">
        <f aca="false">IF(SiteName="","3F4D Water Monitor",SiteName&amp;IF(Place="",""," - "&amp;Place))</f>
        <v>Demo Site-03 - Pirganj, Rangpur</v>
      </c>
    </row>
    <row r="3" customFormat="false" ht="15" hidden="false" customHeight="false" outlineLevel="0" collapsed="false">
      <c r="A3" s="10" t="s">
        <v>323</v>
      </c>
      <c r="B3" s="14" t="n">
        <f aca="true">TODAY()</f>
        <v>46314</v>
      </c>
    </row>
    <row r="4" customFormat="false" ht="15" hidden="false" customHeight="false" outlineLevel="0" collapsed="false">
      <c r="A4" s="10" t="s">
        <v>132</v>
      </c>
      <c r="B4" s="48" t="n">
        <f aca="true">IF(ISNUMBER(TransDate),TODAY()-TransDate,"")</f>
        <v>276</v>
      </c>
    </row>
    <row r="5" customFormat="false" ht="15" hidden="false" customHeight="false" outlineLevel="0" collapsed="false">
      <c r="A5" s="10" t="s">
        <v>324</v>
      </c>
      <c r="B5" s="49" t="str">
        <f aca="true">IF(ISNA(MATCH(TODAY(),Data_Farmer!$D$1:$FQ$1,0)),"(today is not in 2_Daily_input)",IF(AND(ISNUMBER(INDEX(Data_Farmer!$D$12:$FQ$12,MATCH(TODAY(),Data_Farmer!$D$1:$FQ$1,0))),ISNUMBER(INDEX(Data_Farmer!$D$37:$FQ$37,MATCH(TODAY(),Data_Farmer!$D$1:$FQ$1,0)))),"Entered","NOT YET ENTERED"))</f>
        <v>(today is not in 2_Daily_input)</v>
      </c>
    </row>
    <row r="6" customFormat="false" ht="15" hidden="false" customHeight="false" outlineLevel="0" collapsed="false">
      <c r="A6" s="10" t="s">
        <v>325</v>
      </c>
      <c r="B6" s="14" t="n">
        <f aca="false">IF(_xlfn.MAXIFS(Data_Farmer!$D$1:$FQ$1,Data_Farmer!$D$33:$FQ$33,1)=0,"",_xlfn.MAXIFS(Data_Farmer!$D$1:$FQ$1,Data_Farmer!$D$33:$FQ$33,1))</f>
        <v>46132</v>
      </c>
    </row>
    <row r="7" customFormat="false" ht="15" hidden="false" customHeight="false" outlineLevel="0" collapsed="false">
      <c r="A7" s="10" t="s">
        <v>326</v>
      </c>
      <c r="B7" s="48" t="n">
        <f aca="true">IF(B6="","",MAX(0,TODAY()-B6-1))</f>
        <v>181</v>
      </c>
    </row>
    <row r="8" customFormat="false" ht="15" hidden="false" customHeight="false" outlineLevel="0" collapsed="false">
      <c r="A8" s="10" t="s">
        <v>327</v>
      </c>
      <c r="B8" s="48" t="str">
        <f aca="true">IFERROR(INDEX(Data_Farmer!$D$6:$FQ$6,MATCH(TODAY(),Data_Farmer!$D$1:$FQ$1,0)),"")</f>
        <v/>
      </c>
    </row>
    <row r="10" customFormat="false" ht="15" hidden="false" customHeight="false" outlineLevel="0" collapsed="false">
      <c r="A10" s="15"/>
      <c r="B10" s="15" t="s">
        <v>328</v>
      </c>
      <c r="C10" s="15" t="s">
        <v>83</v>
      </c>
    </row>
    <row r="11" customFormat="false" ht="15" hidden="false" customHeight="false" outlineLevel="0" collapsed="false">
      <c r="A11" s="10" t="s">
        <v>329</v>
      </c>
      <c r="B11" s="14" t="n">
        <f aca="false">IF(_xlfn.MAXIFS(Data_Farmer!$D$1:$FQ$1,Data_Farmer!$D$33:$FQ$33,1)=0,"",_xlfn.MAXIFS(Data_Farmer!$D$1:$FQ$1,Data_Farmer!$D$33:$FQ$33,1))</f>
        <v>46132</v>
      </c>
      <c r="C11" s="14" t="n">
        <f aca="false">IF(_xlfn.MAXIFS(Data_Farmer!$D$1:$FQ$1,Data_Farmer!$D$58:$FQ$58,1)=0,"",_xlfn.MAXIFS(Data_Farmer!$D$1:$FQ$1,Data_Farmer!$D$58:$FQ$58,1))</f>
        <v>46132</v>
      </c>
    </row>
    <row r="12" customFormat="false" ht="15" hidden="false" customHeight="false" outlineLevel="0" collapsed="false">
      <c r="A12" s="10" t="s">
        <v>330</v>
      </c>
      <c r="B12" s="48" t="n">
        <f aca="false">IF(B11="","",INDEX(Data_Farmer!$D$32:$FQ$32,MATCH(B11,Data_Farmer!$D$1:$FQ$1,0)))</f>
        <v>-15</v>
      </c>
      <c r="C12" s="48" t="n">
        <f aca="false">IF(C11="","",INDEX(Data_Farmer!$D$57:$FQ$57,MATCH(C11,Data_Farmer!$D$1:$FQ$1,0)))</f>
        <v>-15</v>
      </c>
    </row>
    <row r="13" customFormat="false" ht="15" hidden="false" customHeight="false" outlineLevel="0" collapsed="false">
      <c r="A13" s="10" t="s">
        <v>331</v>
      </c>
      <c r="B13" s="48" t="str">
        <f aca="false">IF(B12="","",IF(B12&gt;0,"water above the soil surface",IF(B12&lt;0,"water below the soil surface","at the soil surface")))</f>
        <v>water below the soil surface</v>
      </c>
      <c r="C13" s="48" t="str">
        <f aca="false">IF(C12="","",IF(C12&gt;0,"water above the soil surface",IF(C12&lt;0,"water below the soil surface","at the soil surface")))</f>
        <v>water below the soil surface</v>
      </c>
    </row>
    <row r="14" customFormat="false" ht="15" hidden="false" customHeight="false" outlineLevel="0" collapsed="false">
      <c r="A14" s="10" t="s">
        <v>332</v>
      </c>
      <c r="B14" s="48" t="n">
        <f aca="false">ROUND(SUM(Data_Farmer!$D$21:$FQ$21),0)</f>
        <v>377</v>
      </c>
      <c r="C14" s="48" t="n">
        <f aca="false">ROUND(SUM(Data_Farmer!$D$46:$FQ$46),0)</f>
        <v>271</v>
      </c>
    </row>
    <row r="15" customFormat="false" ht="15" hidden="false" customHeight="false" outlineLevel="0" collapsed="false">
      <c r="A15" s="10" t="s">
        <v>333</v>
      </c>
      <c r="B15" s="48" t="n">
        <f aca="false">COUNT(Data_Farmer!$D$21:$FQ$21)</f>
        <v>21</v>
      </c>
      <c r="C15" s="48" t="n">
        <f aca="false">COUNT(Data_Farmer!$D$46:$FQ$46)</f>
        <v>15</v>
      </c>
    </row>
    <row r="16" customFormat="false" ht="15" hidden="false" customHeight="false" outlineLevel="0" collapsed="false">
      <c r="A16" s="10" t="s">
        <v>334</v>
      </c>
      <c r="B16" s="48" t="str">
        <f aca="false">IF(B14=0,"",B14-C14&amp;" mm")</f>
        <v>106 mm</v>
      </c>
      <c r="C16" s="48" t="str">
        <f aca="false">IF(B14=0,"",ROUND(100*(B14-C14)/B14,0)&amp;" %")</f>
        <v>28 %</v>
      </c>
    </row>
    <row r="17" customFormat="false" ht="15" hidden="false" customHeight="false" outlineLevel="0" collapsed="false">
      <c r="A17" s="10" t="s">
        <v>335</v>
      </c>
      <c r="B17" s="48" t="n">
        <f aca="false">SUM(Data_Farmer!$D$26:$FQ$26)</f>
        <v>420</v>
      </c>
      <c r="C17" s="48" t="n">
        <f aca="false">SUM(Data_Farmer!$D$51:$FQ$51)</f>
        <v>300</v>
      </c>
    </row>
    <row r="18" customFormat="false" ht="15" hidden="false" customHeight="false" outlineLevel="0" collapsed="false">
      <c r="A18" s="10" t="s">
        <v>336</v>
      </c>
      <c r="B18" s="48" t="n">
        <f aca="false">SUM(Data_Farmer!$D$28:$FQ$28)</f>
        <v>0</v>
      </c>
      <c r="C18" s="48" t="n">
        <f aca="false">SUM(Data_Farmer!$D$53:$FQ$53)</f>
        <v>0</v>
      </c>
    </row>
    <row r="19" customFormat="false" ht="15" hidden="false" customHeight="false" outlineLevel="0" collapsed="false">
      <c r="A19" s="10" t="s">
        <v>337</v>
      </c>
      <c r="B19" s="48" t="n">
        <f aca="false">Other_info!$B$18</f>
        <v>20.2</v>
      </c>
      <c r="C19" s="48" t="n">
        <f aca="false">Other_info!$B$19</f>
        <v>20.2</v>
      </c>
    </row>
    <row r="20" customFormat="false" ht="15" hidden="false" customHeight="false" outlineLevel="0" collapsed="false">
      <c r="A20" s="10" t="s">
        <v>338</v>
      </c>
      <c r="B20" s="48" t="n">
        <f aca="false">Other_info!$C$18</f>
        <v>2.3</v>
      </c>
      <c r="C20" s="48" t="n">
        <f aca="false">Other_info!$C$19</f>
        <v>2.3</v>
      </c>
    </row>
    <row r="22" customFormat="false" ht="15" hidden="false" customHeight="false" outlineLevel="0" collapsed="false">
      <c r="A22" s="15"/>
      <c r="B22" s="15" t="s">
        <v>339</v>
      </c>
      <c r="C22" s="15" t="s">
        <v>129</v>
      </c>
    </row>
    <row r="23" customFormat="false" ht="15" hidden="false" customHeight="false" outlineLevel="0" collapsed="false">
      <c r="A23" s="10" t="s">
        <v>340</v>
      </c>
      <c r="B23" s="50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51" t="str">
        <f aca="false">IFERROR(INT(SMALL(Schedule_Farmer!$L$5:$L$38,1)),"")</f>
        <v/>
      </c>
      <c r="D23" s="50" t="str">
        <f aca="true">IF(C23="","",IF(C23-TODAY()=0,"today","in "&amp;(C23-TODAY())&amp;" days"))</f>
        <v/>
      </c>
    </row>
    <row r="24" customFormat="false" ht="15" hidden="false" customHeight="false" outlineLevel="0" collapsed="false">
      <c r="A24" s="10" t="s">
        <v>341</v>
      </c>
      <c r="B24" s="50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51" t="str">
        <f aca="false">IFERROR(INT(SMALL(Schedule_Farmer!$L$5:$L$38,2)),"")</f>
        <v/>
      </c>
      <c r="D24" s="50" t="str">
        <f aca="true">IF(C24="","",IF(C24-TODAY()=0,"today","in "&amp;(C24-TODAY())&amp;" days"))</f>
        <v/>
      </c>
    </row>
    <row r="25" customFormat="false" ht="15" hidden="false" customHeight="false" outlineLevel="0" collapsed="false">
      <c r="A25" s="10" t="s">
        <v>342</v>
      </c>
      <c r="B25" s="50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51" t="str">
        <f aca="false">IFERROR(INT(SMALL(Schedule_Farmer!$L$5:$L$38,3)),"")</f>
        <v/>
      </c>
      <c r="D25" s="50" t="str">
        <f aca="true">IF(C25="","",IF(C25-TODAY()=0,"today","in "&amp;(C25-TODAY())&amp;" days"))</f>
        <v/>
      </c>
    </row>
    <row r="26" customFormat="false" ht="15" hidden="false" customHeight="false" outlineLevel="0" collapsed="false">
      <c r="A26" s="10" t="s">
        <v>343</v>
      </c>
      <c r="B26" s="50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51" t="str">
        <f aca="false">IFERROR(INT(SMALL(Schedule_Farmer!$L$5:$L$38,4)),"")</f>
        <v/>
      </c>
      <c r="D26" s="50" t="str">
        <f aca="true">IF(C26="","",IF(C26-TODAY()=0,"today","in "&amp;(C26-TODAY())&amp;" days"))</f>
        <v/>
      </c>
    </row>
    <row r="28" customFormat="false" ht="15" hidden="false" customHeight="false" outlineLevel="0" collapsed="false">
      <c r="A28" s="10" t="s">
        <v>344</v>
      </c>
      <c r="B28" s="48" t="n">
        <f aca="false">COUNTIF(Schedule_Farmer!$H$5:$H$38,"OVERDUE")</f>
        <v>23</v>
      </c>
    </row>
  </sheetData>
  <conditionalFormatting sqref="B5">
    <cfRule type="expression" priority="2" aboveAverage="0" equalAverage="0" bottom="0" percent="0" rank="0" text="" dxfId="5">
      <formula>B5="NOT YET ENTERED"</formula>
    </cfRule>
    <cfRule type="expression" priority="3" aboveAverage="0" equalAverage="0" bottom="0" percent="0" rank="0" text="" dxfId="6">
      <formula>B5="Entered"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3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true" outlineLevel="0" max="12" min="12" style="0" width="4"/>
    <col collapsed="false" customWidth="true" hidden="false" outlineLevel="0" max="187" min="13" style="0" width="3.2"/>
  </cols>
  <sheetData>
    <row r="1" customFormat="false" ht="17.15" hidden="false" customHeight="false" outlineLevel="0" collapsed="false">
      <c r="A1" s="23" t="s">
        <v>346</v>
      </c>
    </row>
    <row r="2" customFormat="false" ht="15" hidden="false" customHeight="false" outlineLevel="0" collapsed="false">
      <c r="M2" s="52" t="n">
        <f aca="false">IF(ISNUMBER(SowDate),SowDate-3+0,"")</f>
        <v>45986</v>
      </c>
      <c r="N2" s="52" t="n">
        <f aca="false">IF(ISNUMBER(SowDate),SowDate-3+1,"")</f>
        <v>45987</v>
      </c>
      <c r="O2" s="52" t="n">
        <f aca="false">IF(ISNUMBER(SowDate),SowDate-3+2,"")</f>
        <v>45988</v>
      </c>
      <c r="P2" s="52" t="n">
        <f aca="false">IF(ISNUMBER(SowDate),SowDate-3+3,"")</f>
        <v>45989</v>
      </c>
      <c r="Q2" s="52" t="n">
        <f aca="false">IF(ISNUMBER(SowDate),SowDate-3+4,"")</f>
        <v>45990</v>
      </c>
      <c r="R2" s="52" t="n">
        <f aca="false">IF(ISNUMBER(SowDate),SowDate-3+5,"")</f>
        <v>45991</v>
      </c>
      <c r="S2" s="52" t="n">
        <f aca="false">IF(ISNUMBER(SowDate),SowDate-3+6,"")</f>
        <v>45992</v>
      </c>
      <c r="T2" s="52" t="n">
        <f aca="false">IF(ISNUMBER(SowDate),SowDate-3+7,"")</f>
        <v>45993</v>
      </c>
      <c r="U2" s="52" t="n">
        <f aca="false">IF(ISNUMBER(SowDate),SowDate-3+8,"")</f>
        <v>45994</v>
      </c>
      <c r="V2" s="52" t="n">
        <f aca="false">IF(ISNUMBER(SowDate),SowDate-3+9,"")</f>
        <v>45995</v>
      </c>
      <c r="W2" s="52" t="n">
        <f aca="false">IF(ISNUMBER(SowDate),SowDate-3+10,"")</f>
        <v>45996</v>
      </c>
      <c r="X2" s="52" t="n">
        <f aca="false">IF(ISNUMBER(SowDate),SowDate-3+11,"")</f>
        <v>45997</v>
      </c>
      <c r="Y2" s="52" t="n">
        <f aca="false">IF(ISNUMBER(SowDate),SowDate-3+12,"")</f>
        <v>45998</v>
      </c>
      <c r="Z2" s="52" t="n">
        <f aca="false">IF(ISNUMBER(SowDate),SowDate-3+13,"")</f>
        <v>45999</v>
      </c>
      <c r="AA2" s="52" t="n">
        <f aca="false">IF(ISNUMBER(SowDate),SowDate-3+14,"")</f>
        <v>46000</v>
      </c>
      <c r="AB2" s="52" t="n">
        <f aca="false">IF(ISNUMBER(SowDate),SowDate-3+15,"")</f>
        <v>46001</v>
      </c>
      <c r="AC2" s="52" t="n">
        <f aca="false">IF(ISNUMBER(SowDate),SowDate-3+16,"")</f>
        <v>46002</v>
      </c>
      <c r="AD2" s="52" t="n">
        <f aca="false">IF(ISNUMBER(SowDate),SowDate-3+17,"")</f>
        <v>46003</v>
      </c>
      <c r="AE2" s="52" t="n">
        <f aca="false">IF(ISNUMBER(SowDate),SowDate-3+18,"")</f>
        <v>46004</v>
      </c>
      <c r="AF2" s="52" t="n">
        <f aca="false">IF(ISNUMBER(SowDate),SowDate-3+19,"")</f>
        <v>46005</v>
      </c>
      <c r="AG2" s="52" t="n">
        <f aca="false">IF(ISNUMBER(SowDate),SowDate-3+20,"")</f>
        <v>46006</v>
      </c>
      <c r="AH2" s="52" t="n">
        <f aca="false">IF(ISNUMBER(SowDate),SowDate-3+21,"")</f>
        <v>46007</v>
      </c>
      <c r="AI2" s="52" t="n">
        <f aca="false">IF(ISNUMBER(SowDate),SowDate-3+22,"")</f>
        <v>46008</v>
      </c>
      <c r="AJ2" s="52" t="n">
        <f aca="false">IF(ISNUMBER(SowDate),SowDate-3+23,"")</f>
        <v>46009</v>
      </c>
      <c r="AK2" s="52" t="n">
        <f aca="false">IF(ISNUMBER(SowDate),SowDate-3+24,"")</f>
        <v>46010</v>
      </c>
      <c r="AL2" s="52" t="n">
        <f aca="false">IF(ISNUMBER(SowDate),SowDate-3+25,"")</f>
        <v>46011</v>
      </c>
      <c r="AM2" s="52" t="n">
        <f aca="false">IF(ISNUMBER(SowDate),SowDate-3+26,"")</f>
        <v>46012</v>
      </c>
      <c r="AN2" s="52" t="n">
        <f aca="false">IF(ISNUMBER(SowDate),SowDate-3+27,"")</f>
        <v>46013</v>
      </c>
      <c r="AO2" s="52" t="n">
        <f aca="false">IF(ISNUMBER(SowDate),SowDate-3+28,"")</f>
        <v>46014</v>
      </c>
      <c r="AP2" s="52" t="n">
        <f aca="false">IF(ISNUMBER(SowDate),SowDate-3+29,"")</f>
        <v>46015</v>
      </c>
      <c r="AQ2" s="52" t="n">
        <f aca="false">IF(ISNUMBER(SowDate),SowDate-3+30,"")</f>
        <v>46016</v>
      </c>
      <c r="AR2" s="52" t="n">
        <f aca="false">IF(ISNUMBER(SowDate),SowDate-3+31,"")</f>
        <v>46017</v>
      </c>
      <c r="AS2" s="52" t="n">
        <f aca="false">IF(ISNUMBER(SowDate),SowDate-3+32,"")</f>
        <v>46018</v>
      </c>
      <c r="AT2" s="52" t="n">
        <f aca="false">IF(ISNUMBER(SowDate),SowDate-3+33,"")</f>
        <v>46019</v>
      </c>
      <c r="AU2" s="52" t="n">
        <f aca="false">IF(ISNUMBER(SowDate),SowDate-3+34,"")</f>
        <v>46020</v>
      </c>
      <c r="AV2" s="52" t="n">
        <f aca="false">IF(ISNUMBER(SowDate),SowDate-3+35,"")</f>
        <v>46021</v>
      </c>
      <c r="AW2" s="52" t="n">
        <f aca="false">IF(ISNUMBER(SowDate),SowDate-3+36,"")</f>
        <v>46022</v>
      </c>
      <c r="AX2" s="52" t="n">
        <f aca="false">IF(ISNUMBER(SowDate),SowDate-3+37,"")</f>
        <v>46023</v>
      </c>
      <c r="AY2" s="52" t="n">
        <f aca="false">IF(ISNUMBER(SowDate),SowDate-3+38,"")</f>
        <v>46024</v>
      </c>
      <c r="AZ2" s="52" t="n">
        <f aca="false">IF(ISNUMBER(SowDate),SowDate-3+39,"")</f>
        <v>46025</v>
      </c>
      <c r="BA2" s="52" t="n">
        <f aca="false">IF(ISNUMBER(SowDate),SowDate-3+40,"")</f>
        <v>46026</v>
      </c>
      <c r="BB2" s="52" t="n">
        <f aca="false">IF(ISNUMBER(SowDate),SowDate-3+41,"")</f>
        <v>46027</v>
      </c>
      <c r="BC2" s="52" t="n">
        <f aca="false">IF(ISNUMBER(SowDate),SowDate-3+42,"")</f>
        <v>46028</v>
      </c>
      <c r="BD2" s="52" t="n">
        <f aca="false">IF(ISNUMBER(SowDate),SowDate-3+43,"")</f>
        <v>46029</v>
      </c>
      <c r="BE2" s="52" t="n">
        <f aca="false">IF(ISNUMBER(SowDate),SowDate-3+44,"")</f>
        <v>46030</v>
      </c>
      <c r="BF2" s="52" t="n">
        <f aca="false">IF(ISNUMBER(SowDate),SowDate-3+45,"")</f>
        <v>46031</v>
      </c>
      <c r="BG2" s="52" t="n">
        <f aca="false">IF(ISNUMBER(SowDate),SowDate-3+46,"")</f>
        <v>46032</v>
      </c>
      <c r="BH2" s="52" t="n">
        <f aca="false">IF(ISNUMBER(SowDate),SowDate-3+47,"")</f>
        <v>46033</v>
      </c>
      <c r="BI2" s="52" t="n">
        <f aca="false">IF(ISNUMBER(SowDate),SowDate-3+48,"")</f>
        <v>46034</v>
      </c>
      <c r="BJ2" s="52" t="n">
        <f aca="false">IF(ISNUMBER(SowDate),SowDate-3+49,"")</f>
        <v>46035</v>
      </c>
      <c r="BK2" s="52" t="n">
        <f aca="false">IF(ISNUMBER(SowDate),SowDate-3+50,"")</f>
        <v>46036</v>
      </c>
      <c r="BL2" s="52" t="n">
        <f aca="false">IF(ISNUMBER(SowDate),SowDate-3+51,"")</f>
        <v>46037</v>
      </c>
      <c r="BM2" s="52" t="n">
        <f aca="false">IF(ISNUMBER(SowDate),SowDate-3+52,"")</f>
        <v>46038</v>
      </c>
      <c r="BN2" s="52" t="n">
        <f aca="false">IF(ISNUMBER(SowDate),SowDate-3+53,"")</f>
        <v>46039</v>
      </c>
      <c r="BO2" s="52" t="n">
        <f aca="false">IF(ISNUMBER(SowDate),SowDate-3+54,"")</f>
        <v>46040</v>
      </c>
      <c r="BP2" s="52" t="n">
        <f aca="false">IF(ISNUMBER(SowDate),SowDate-3+55,"")</f>
        <v>46041</v>
      </c>
      <c r="BQ2" s="52" t="n">
        <f aca="false">IF(ISNUMBER(SowDate),SowDate-3+56,"")</f>
        <v>46042</v>
      </c>
      <c r="BR2" s="52" t="n">
        <f aca="false">IF(ISNUMBER(SowDate),SowDate-3+57,"")</f>
        <v>46043</v>
      </c>
      <c r="BS2" s="52" t="n">
        <f aca="false">IF(ISNUMBER(SowDate),SowDate-3+58,"")</f>
        <v>46044</v>
      </c>
      <c r="BT2" s="52" t="n">
        <f aca="false">IF(ISNUMBER(SowDate),SowDate-3+59,"")</f>
        <v>46045</v>
      </c>
      <c r="BU2" s="52" t="n">
        <f aca="false">IF(ISNUMBER(SowDate),SowDate-3+60,"")</f>
        <v>46046</v>
      </c>
      <c r="BV2" s="52" t="n">
        <f aca="false">IF(ISNUMBER(SowDate),SowDate-3+61,"")</f>
        <v>46047</v>
      </c>
      <c r="BW2" s="52" t="n">
        <f aca="false">IF(ISNUMBER(SowDate),SowDate-3+62,"")</f>
        <v>46048</v>
      </c>
      <c r="BX2" s="52" t="n">
        <f aca="false">IF(ISNUMBER(SowDate),SowDate-3+63,"")</f>
        <v>46049</v>
      </c>
      <c r="BY2" s="52" t="n">
        <f aca="false">IF(ISNUMBER(SowDate),SowDate-3+64,"")</f>
        <v>46050</v>
      </c>
      <c r="BZ2" s="52" t="n">
        <f aca="false">IF(ISNUMBER(SowDate),SowDate-3+65,"")</f>
        <v>46051</v>
      </c>
      <c r="CA2" s="52" t="n">
        <f aca="false">IF(ISNUMBER(SowDate),SowDate-3+66,"")</f>
        <v>46052</v>
      </c>
      <c r="CB2" s="52" t="n">
        <f aca="false">IF(ISNUMBER(SowDate),SowDate-3+67,"")</f>
        <v>46053</v>
      </c>
      <c r="CC2" s="52" t="n">
        <f aca="false">IF(ISNUMBER(SowDate),SowDate-3+68,"")</f>
        <v>46054</v>
      </c>
      <c r="CD2" s="52" t="n">
        <f aca="false">IF(ISNUMBER(SowDate),SowDate-3+69,"")</f>
        <v>46055</v>
      </c>
      <c r="CE2" s="52" t="n">
        <f aca="false">IF(ISNUMBER(SowDate),SowDate-3+70,"")</f>
        <v>46056</v>
      </c>
      <c r="CF2" s="52" t="n">
        <f aca="false">IF(ISNUMBER(SowDate),SowDate-3+71,"")</f>
        <v>46057</v>
      </c>
      <c r="CG2" s="52" t="n">
        <f aca="false">IF(ISNUMBER(SowDate),SowDate-3+72,"")</f>
        <v>46058</v>
      </c>
      <c r="CH2" s="52" t="n">
        <f aca="false">IF(ISNUMBER(SowDate),SowDate-3+73,"")</f>
        <v>46059</v>
      </c>
      <c r="CI2" s="52" t="n">
        <f aca="false">IF(ISNUMBER(SowDate),SowDate-3+74,"")</f>
        <v>46060</v>
      </c>
      <c r="CJ2" s="52" t="n">
        <f aca="false">IF(ISNUMBER(SowDate),SowDate-3+75,"")</f>
        <v>46061</v>
      </c>
      <c r="CK2" s="52" t="n">
        <f aca="false">IF(ISNUMBER(SowDate),SowDate-3+76,"")</f>
        <v>46062</v>
      </c>
      <c r="CL2" s="52" t="n">
        <f aca="false">IF(ISNUMBER(SowDate),SowDate-3+77,"")</f>
        <v>46063</v>
      </c>
      <c r="CM2" s="52" t="n">
        <f aca="false">IF(ISNUMBER(SowDate),SowDate-3+78,"")</f>
        <v>46064</v>
      </c>
      <c r="CN2" s="52" t="n">
        <f aca="false">IF(ISNUMBER(SowDate),SowDate-3+79,"")</f>
        <v>46065</v>
      </c>
      <c r="CO2" s="52" t="n">
        <f aca="false">IF(ISNUMBER(SowDate),SowDate-3+80,"")</f>
        <v>46066</v>
      </c>
      <c r="CP2" s="52" t="n">
        <f aca="false">IF(ISNUMBER(SowDate),SowDate-3+81,"")</f>
        <v>46067</v>
      </c>
      <c r="CQ2" s="52" t="n">
        <f aca="false">IF(ISNUMBER(SowDate),SowDate-3+82,"")</f>
        <v>46068</v>
      </c>
      <c r="CR2" s="52" t="n">
        <f aca="false">IF(ISNUMBER(SowDate),SowDate-3+83,"")</f>
        <v>46069</v>
      </c>
      <c r="CS2" s="52" t="n">
        <f aca="false">IF(ISNUMBER(SowDate),SowDate-3+84,"")</f>
        <v>46070</v>
      </c>
      <c r="CT2" s="52" t="n">
        <f aca="false">IF(ISNUMBER(SowDate),SowDate-3+85,"")</f>
        <v>46071</v>
      </c>
      <c r="CU2" s="52" t="n">
        <f aca="false">IF(ISNUMBER(SowDate),SowDate-3+86,"")</f>
        <v>46072</v>
      </c>
      <c r="CV2" s="52" t="n">
        <f aca="false">IF(ISNUMBER(SowDate),SowDate-3+87,"")</f>
        <v>46073</v>
      </c>
      <c r="CW2" s="52" t="n">
        <f aca="false">IF(ISNUMBER(SowDate),SowDate-3+88,"")</f>
        <v>46074</v>
      </c>
      <c r="CX2" s="52" t="n">
        <f aca="false">IF(ISNUMBER(SowDate),SowDate-3+89,"")</f>
        <v>46075</v>
      </c>
      <c r="CY2" s="52" t="n">
        <f aca="false">IF(ISNUMBER(SowDate),SowDate-3+90,"")</f>
        <v>46076</v>
      </c>
      <c r="CZ2" s="52" t="n">
        <f aca="false">IF(ISNUMBER(SowDate),SowDate-3+91,"")</f>
        <v>46077</v>
      </c>
      <c r="DA2" s="52" t="n">
        <f aca="false">IF(ISNUMBER(SowDate),SowDate-3+92,"")</f>
        <v>46078</v>
      </c>
      <c r="DB2" s="52" t="n">
        <f aca="false">IF(ISNUMBER(SowDate),SowDate-3+93,"")</f>
        <v>46079</v>
      </c>
      <c r="DC2" s="52" t="n">
        <f aca="false">IF(ISNUMBER(SowDate),SowDate-3+94,"")</f>
        <v>46080</v>
      </c>
      <c r="DD2" s="52" t="n">
        <f aca="false">IF(ISNUMBER(SowDate),SowDate-3+95,"")</f>
        <v>46081</v>
      </c>
      <c r="DE2" s="52" t="n">
        <f aca="false">IF(ISNUMBER(SowDate),SowDate-3+96,"")</f>
        <v>46082</v>
      </c>
      <c r="DF2" s="52" t="n">
        <f aca="false">IF(ISNUMBER(SowDate),SowDate-3+97,"")</f>
        <v>46083</v>
      </c>
      <c r="DG2" s="52" t="n">
        <f aca="false">IF(ISNUMBER(SowDate),SowDate-3+98,"")</f>
        <v>46084</v>
      </c>
      <c r="DH2" s="52" t="n">
        <f aca="false">IF(ISNUMBER(SowDate),SowDate-3+99,"")</f>
        <v>46085</v>
      </c>
      <c r="DI2" s="52" t="n">
        <f aca="false">IF(ISNUMBER(SowDate),SowDate-3+100,"")</f>
        <v>46086</v>
      </c>
      <c r="DJ2" s="52" t="n">
        <f aca="false">IF(ISNUMBER(SowDate),SowDate-3+101,"")</f>
        <v>46087</v>
      </c>
      <c r="DK2" s="52" t="n">
        <f aca="false">IF(ISNUMBER(SowDate),SowDate-3+102,"")</f>
        <v>46088</v>
      </c>
      <c r="DL2" s="52" t="n">
        <f aca="false">IF(ISNUMBER(SowDate),SowDate-3+103,"")</f>
        <v>46089</v>
      </c>
      <c r="DM2" s="52" t="n">
        <f aca="false">IF(ISNUMBER(SowDate),SowDate-3+104,"")</f>
        <v>46090</v>
      </c>
      <c r="DN2" s="52" t="n">
        <f aca="false">IF(ISNUMBER(SowDate),SowDate-3+105,"")</f>
        <v>46091</v>
      </c>
      <c r="DO2" s="52" t="n">
        <f aca="false">IF(ISNUMBER(SowDate),SowDate-3+106,"")</f>
        <v>46092</v>
      </c>
      <c r="DP2" s="52" t="n">
        <f aca="false">IF(ISNUMBER(SowDate),SowDate-3+107,"")</f>
        <v>46093</v>
      </c>
      <c r="DQ2" s="52" t="n">
        <f aca="false">IF(ISNUMBER(SowDate),SowDate-3+108,"")</f>
        <v>46094</v>
      </c>
      <c r="DR2" s="52" t="n">
        <f aca="false">IF(ISNUMBER(SowDate),SowDate-3+109,"")</f>
        <v>46095</v>
      </c>
      <c r="DS2" s="52" t="n">
        <f aca="false">IF(ISNUMBER(SowDate),SowDate-3+110,"")</f>
        <v>46096</v>
      </c>
      <c r="DT2" s="52" t="n">
        <f aca="false">IF(ISNUMBER(SowDate),SowDate-3+111,"")</f>
        <v>46097</v>
      </c>
      <c r="DU2" s="52" t="n">
        <f aca="false">IF(ISNUMBER(SowDate),SowDate-3+112,"")</f>
        <v>46098</v>
      </c>
      <c r="DV2" s="52" t="n">
        <f aca="false">IF(ISNUMBER(SowDate),SowDate-3+113,"")</f>
        <v>46099</v>
      </c>
      <c r="DW2" s="52" t="n">
        <f aca="false">IF(ISNUMBER(SowDate),SowDate-3+114,"")</f>
        <v>46100</v>
      </c>
      <c r="DX2" s="52" t="n">
        <f aca="false">IF(ISNUMBER(SowDate),SowDate-3+115,"")</f>
        <v>46101</v>
      </c>
      <c r="DY2" s="52" t="n">
        <f aca="false">IF(ISNUMBER(SowDate),SowDate-3+116,"")</f>
        <v>46102</v>
      </c>
      <c r="DZ2" s="52" t="n">
        <f aca="false">IF(ISNUMBER(SowDate),SowDate-3+117,"")</f>
        <v>46103</v>
      </c>
      <c r="EA2" s="52" t="n">
        <f aca="false">IF(ISNUMBER(SowDate),SowDate-3+118,"")</f>
        <v>46104</v>
      </c>
      <c r="EB2" s="52" t="n">
        <f aca="false">IF(ISNUMBER(SowDate),SowDate-3+119,"")</f>
        <v>46105</v>
      </c>
      <c r="EC2" s="52" t="n">
        <f aca="false">IF(ISNUMBER(SowDate),SowDate-3+120,"")</f>
        <v>46106</v>
      </c>
      <c r="ED2" s="52" t="n">
        <f aca="false">IF(ISNUMBER(SowDate),SowDate-3+121,"")</f>
        <v>46107</v>
      </c>
      <c r="EE2" s="52" t="n">
        <f aca="false">IF(ISNUMBER(SowDate),SowDate-3+122,"")</f>
        <v>46108</v>
      </c>
      <c r="EF2" s="52" t="n">
        <f aca="false">IF(ISNUMBER(SowDate),SowDate-3+123,"")</f>
        <v>46109</v>
      </c>
      <c r="EG2" s="52" t="n">
        <f aca="false">IF(ISNUMBER(SowDate),SowDate-3+124,"")</f>
        <v>46110</v>
      </c>
      <c r="EH2" s="52" t="n">
        <f aca="false">IF(ISNUMBER(SowDate),SowDate-3+125,"")</f>
        <v>46111</v>
      </c>
      <c r="EI2" s="52" t="n">
        <f aca="false">IF(ISNUMBER(SowDate),SowDate-3+126,"")</f>
        <v>46112</v>
      </c>
      <c r="EJ2" s="52" t="n">
        <f aca="false">IF(ISNUMBER(SowDate),SowDate-3+127,"")</f>
        <v>46113</v>
      </c>
      <c r="EK2" s="52" t="n">
        <f aca="false">IF(ISNUMBER(SowDate),SowDate-3+128,"")</f>
        <v>46114</v>
      </c>
      <c r="EL2" s="52" t="n">
        <f aca="false">IF(ISNUMBER(SowDate),SowDate-3+129,"")</f>
        <v>46115</v>
      </c>
      <c r="EM2" s="52" t="n">
        <f aca="false">IF(ISNUMBER(SowDate),SowDate-3+130,"")</f>
        <v>46116</v>
      </c>
      <c r="EN2" s="52" t="n">
        <f aca="false">IF(ISNUMBER(SowDate),SowDate-3+131,"")</f>
        <v>46117</v>
      </c>
      <c r="EO2" s="52" t="n">
        <f aca="false">IF(ISNUMBER(SowDate),SowDate-3+132,"")</f>
        <v>46118</v>
      </c>
      <c r="EP2" s="52" t="n">
        <f aca="false">IF(ISNUMBER(SowDate),SowDate-3+133,"")</f>
        <v>46119</v>
      </c>
      <c r="EQ2" s="52" t="n">
        <f aca="false">IF(ISNUMBER(SowDate),SowDate-3+134,"")</f>
        <v>46120</v>
      </c>
      <c r="ER2" s="52" t="n">
        <f aca="false">IF(ISNUMBER(SowDate),SowDate-3+135,"")</f>
        <v>46121</v>
      </c>
      <c r="ES2" s="52" t="n">
        <f aca="false">IF(ISNUMBER(SowDate),SowDate-3+136,"")</f>
        <v>46122</v>
      </c>
      <c r="ET2" s="52" t="n">
        <f aca="false">IF(ISNUMBER(SowDate),SowDate-3+137,"")</f>
        <v>46123</v>
      </c>
      <c r="EU2" s="52" t="n">
        <f aca="false">IF(ISNUMBER(SowDate),SowDate-3+138,"")</f>
        <v>46124</v>
      </c>
      <c r="EV2" s="52" t="n">
        <f aca="false">IF(ISNUMBER(SowDate),SowDate-3+139,"")</f>
        <v>46125</v>
      </c>
      <c r="EW2" s="52" t="n">
        <f aca="false">IF(ISNUMBER(SowDate),SowDate-3+140,"")</f>
        <v>46126</v>
      </c>
      <c r="EX2" s="52" t="n">
        <f aca="false">IF(ISNUMBER(SowDate),SowDate-3+141,"")</f>
        <v>46127</v>
      </c>
      <c r="EY2" s="52" t="n">
        <f aca="false">IF(ISNUMBER(SowDate),SowDate-3+142,"")</f>
        <v>46128</v>
      </c>
      <c r="EZ2" s="52" t="n">
        <f aca="false">IF(ISNUMBER(SowDate),SowDate-3+143,"")</f>
        <v>46129</v>
      </c>
      <c r="FA2" s="52" t="n">
        <f aca="false">IF(ISNUMBER(SowDate),SowDate-3+144,"")</f>
        <v>46130</v>
      </c>
      <c r="FB2" s="52" t="n">
        <f aca="false">IF(ISNUMBER(SowDate),SowDate-3+145,"")</f>
        <v>46131</v>
      </c>
      <c r="FC2" s="52" t="n">
        <f aca="false">IF(ISNUMBER(SowDate),SowDate-3+146,"")</f>
        <v>46132</v>
      </c>
      <c r="FD2" s="52" t="n">
        <f aca="false">IF(ISNUMBER(SowDate),SowDate-3+147,"")</f>
        <v>46133</v>
      </c>
      <c r="FE2" s="52" t="n">
        <f aca="false">IF(ISNUMBER(SowDate),SowDate-3+148,"")</f>
        <v>46134</v>
      </c>
      <c r="FF2" s="52" t="n">
        <f aca="false">IF(ISNUMBER(SowDate),SowDate-3+149,"")</f>
        <v>46135</v>
      </c>
      <c r="FG2" s="52" t="n">
        <f aca="false">IF(ISNUMBER(SowDate),SowDate-3+150,"")</f>
        <v>46136</v>
      </c>
      <c r="FH2" s="52" t="n">
        <f aca="false">IF(ISNUMBER(SowDate),SowDate-3+151,"")</f>
        <v>46137</v>
      </c>
      <c r="FI2" s="52" t="n">
        <f aca="false">IF(ISNUMBER(SowDate),SowDate-3+152,"")</f>
        <v>46138</v>
      </c>
      <c r="FJ2" s="52" t="n">
        <f aca="false">IF(ISNUMBER(SowDate),SowDate-3+153,"")</f>
        <v>46139</v>
      </c>
      <c r="FK2" s="52" t="n">
        <f aca="false">IF(ISNUMBER(SowDate),SowDate-3+154,"")</f>
        <v>46140</v>
      </c>
      <c r="FL2" s="52" t="n">
        <f aca="false">IF(ISNUMBER(SowDate),SowDate-3+155,"")</f>
        <v>46141</v>
      </c>
      <c r="FM2" s="52" t="n">
        <f aca="false">IF(ISNUMBER(SowDate),SowDate-3+156,"")</f>
        <v>46142</v>
      </c>
      <c r="FN2" s="52" t="n">
        <f aca="false">IF(ISNUMBER(SowDate),SowDate-3+157,"")</f>
        <v>46143</v>
      </c>
      <c r="FO2" s="52" t="n">
        <f aca="false">IF(ISNUMBER(SowDate),SowDate-3+158,"")</f>
        <v>46144</v>
      </c>
      <c r="FP2" s="52" t="n">
        <f aca="false">IF(ISNUMBER(SowDate),SowDate-3+159,"")</f>
        <v>46145</v>
      </c>
      <c r="FQ2" s="52" t="n">
        <f aca="false">IF(ISNUMBER(SowDate),SowDate-3+160,"")</f>
        <v>46146</v>
      </c>
      <c r="FR2" s="52" t="n">
        <f aca="false">IF(ISNUMBER(SowDate),SowDate-3+161,"")</f>
        <v>46147</v>
      </c>
      <c r="FS2" s="52" t="n">
        <f aca="false">IF(ISNUMBER(SowDate),SowDate-3+162,"")</f>
        <v>46148</v>
      </c>
      <c r="FT2" s="52" t="n">
        <f aca="false">IF(ISNUMBER(SowDate),SowDate-3+163,"")</f>
        <v>46149</v>
      </c>
      <c r="FU2" s="52" t="n">
        <f aca="false">IF(ISNUMBER(SowDate),SowDate-3+164,"")</f>
        <v>46150</v>
      </c>
      <c r="FV2" s="52" t="n">
        <f aca="false">IF(ISNUMBER(SowDate),SowDate-3+165,"")</f>
        <v>46151</v>
      </c>
      <c r="FW2" s="52" t="n">
        <f aca="false">IF(ISNUMBER(SowDate),SowDate-3+166,"")</f>
        <v>46152</v>
      </c>
      <c r="FX2" s="52" t="n">
        <f aca="false">IF(ISNUMBER(SowDate),SowDate-3+167,"")</f>
        <v>46153</v>
      </c>
      <c r="FY2" s="52" t="n">
        <f aca="false">IF(ISNUMBER(SowDate),SowDate-3+168,"")</f>
        <v>46154</v>
      </c>
      <c r="FZ2" s="52" t="n">
        <f aca="false">IF(ISNUMBER(SowDate),SowDate-3+169,"")</f>
        <v>46155</v>
      </c>
      <c r="GA2" s="52" t="n">
        <f aca="false">IF(ISNUMBER(SowDate),SowDate-3+170,"")</f>
        <v>46156</v>
      </c>
      <c r="GB2" s="52" t="n">
        <f aca="false">IF(ISNUMBER(SowDate),SowDate-3+171,"")</f>
        <v>46157</v>
      </c>
      <c r="GC2" s="52" t="n">
        <f aca="false">IF(ISNUMBER(SowDate),SowDate-3+172,"")</f>
        <v>46158</v>
      </c>
      <c r="GD2" s="52" t="n">
        <f aca="false">IF(ISNUMBER(SowDate),SowDate-3+173,"")</f>
        <v>46159</v>
      </c>
      <c r="GE2" s="52" t="n">
        <f aca="false">IF(ISNUMBER(SowDate),SowDate-3+174,"")</f>
        <v>46160</v>
      </c>
    </row>
    <row r="3" customFormat="false" ht="23.85" hidden="false" customHeight="false" outlineLevel="0" collapsed="false">
      <c r="A3" s="15" t="s">
        <v>347</v>
      </c>
      <c r="B3" s="15" t="s">
        <v>348</v>
      </c>
      <c r="C3" s="15" t="s">
        <v>349</v>
      </c>
      <c r="D3" s="15" t="s">
        <v>350</v>
      </c>
      <c r="E3" s="15" t="s">
        <v>351</v>
      </c>
      <c r="F3" s="15" t="s">
        <v>352</v>
      </c>
      <c r="G3" s="15" t="s">
        <v>353</v>
      </c>
      <c r="H3" s="15" t="s">
        <v>354</v>
      </c>
      <c r="I3" s="15" t="s">
        <v>355</v>
      </c>
      <c r="J3" s="15" t="s">
        <v>356</v>
      </c>
      <c r="K3" s="15" t="s">
        <v>357</v>
      </c>
      <c r="L3" s="15" t="s">
        <v>358</v>
      </c>
      <c r="M3" s="53" t="str">
        <f aca="false">IF(M2="","",TEXT(M2,"mmm"))</f>
        <v>Nov</v>
      </c>
      <c r="N3" s="53" t="str">
        <f aca="false">IF(N2="","",TEXT(N2,"mmm"))</f>
        <v>Nov</v>
      </c>
      <c r="O3" s="53" t="str">
        <f aca="false">IF(O2="","",TEXT(O2,"mmm"))</f>
        <v>Nov</v>
      </c>
      <c r="P3" s="53" t="str">
        <f aca="false">IF(P2="","",TEXT(P2,"mmm"))</f>
        <v>Nov</v>
      </c>
      <c r="Q3" s="53" t="str">
        <f aca="false">IF(Q2="","",TEXT(Q2,"mmm"))</f>
        <v>Nov</v>
      </c>
      <c r="R3" s="53" t="str">
        <f aca="false">IF(R2="","",TEXT(R2,"mmm"))</f>
        <v>Nov</v>
      </c>
      <c r="S3" s="53" t="str">
        <f aca="false">IF(S2="","",TEXT(S2,"mmm"))</f>
        <v>Dec</v>
      </c>
      <c r="T3" s="53" t="str">
        <f aca="false">IF(T2="","",TEXT(T2,"mmm"))</f>
        <v>Dec</v>
      </c>
      <c r="U3" s="53" t="str">
        <f aca="false">IF(U2="","",TEXT(U2,"mmm"))</f>
        <v>Dec</v>
      </c>
      <c r="V3" s="53" t="str">
        <f aca="false">IF(V2="","",TEXT(V2,"mmm"))</f>
        <v>Dec</v>
      </c>
      <c r="W3" s="53" t="str">
        <f aca="false">IF(W2="","",TEXT(W2,"mmm"))</f>
        <v>Dec</v>
      </c>
      <c r="X3" s="53" t="str">
        <f aca="false">IF(X2="","",TEXT(X2,"mmm"))</f>
        <v>Dec</v>
      </c>
      <c r="Y3" s="53" t="str">
        <f aca="false">IF(Y2="","",TEXT(Y2,"mmm"))</f>
        <v>Dec</v>
      </c>
      <c r="Z3" s="53" t="str">
        <f aca="false">IF(Z2="","",TEXT(Z2,"mmm"))</f>
        <v>Dec</v>
      </c>
      <c r="AA3" s="53" t="str">
        <f aca="false">IF(AA2="","",TEXT(AA2,"mmm"))</f>
        <v>Dec</v>
      </c>
      <c r="AB3" s="53" t="str">
        <f aca="false">IF(AB2="","",TEXT(AB2,"mmm"))</f>
        <v>Dec</v>
      </c>
      <c r="AC3" s="53" t="str">
        <f aca="false">IF(AC2="","",TEXT(AC2,"mmm"))</f>
        <v>Dec</v>
      </c>
      <c r="AD3" s="53" t="str">
        <f aca="false">IF(AD2="","",TEXT(AD2,"mmm"))</f>
        <v>Dec</v>
      </c>
      <c r="AE3" s="53" t="str">
        <f aca="false">IF(AE2="","",TEXT(AE2,"mmm"))</f>
        <v>Dec</v>
      </c>
      <c r="AF3" s="53" t="str">
        <f aca="false">IF(AF2="","",TEXT(AF2,"mmm"))</f>
        <v>Dec</v>
      </c>
      <c r="AG3" s="53" t="str">
        <f aca="false">IF(AG2="","",TEXT(AG2,"mmm"))</f>
        <v>Dec</v>
      </c>
      <c r="AH3" s="53" t="str">
        <f aca="false">IF(AH2="","",TEXT(AH2,"mmm"))</f>
        <v>Dec</v>
      </c>
      <c r="AI3" s="53" t="str">
        <f aca="false">IF(AI2="","",TEXT(AI2,"mmm"))</f>
        <v>Dec</v>
      </c>
      <c r="AJ3" s="53" t="str">
        <f aca="false">IF(AJ2="","",TEXT(AJ2,"mmm"))</f>
        <v>Dec</v>
      </c>
      <c r="AK3" s="53" t="str">
        <f aca="false">IF(AK2="","",TEXT(AK2,"mmm"))</f>
        <v>Dec</v>
      </c>
      <c r="AL3" s="53" t="str">
        <f aca="false">IF(AL2="","",TEXT(AL2,"mmm"))</f>
        <v>Dec</v>
      </c>
      <c r="AM3" s="53" t="str">
        <f aca="false">IF(AM2="","",TEXT(AM2,"mmm"))</f>
        <v>Dec</v>
      </c>
      <c r="AN3" s="53" t="str">
        <f aca="false">IF(AN2="","",TEXT(AN2,"mmm"))</f>
        <v>Dec</v>
      </c>
      <c r="AO3" s="53" t="str">
        <f aca="false">IF(AO2="","",TEXT(AO2,"mmm"))</f>
        <v>Dec</v>
      </c>
      <c r="AP3" s="53" t="str">
        <f aca="false">IF(AP2="","",TEXT(AP2,"mmm"))</f>
        <v>Dec</v>
      </c>
      <c r="AQ3" s="53" t="str">
        <f aca="false">IF(AQ2="","",TEXT(AQ2,"mmm"))</f>
        <v>Dec</v>
      </c>
      <c r="AR3" s="53" t="str">
        <f aca="false">IF(AR2="","",TEXT(AR2,"mmm"))</f>
        <v>Dec</v>
      </c>
      <c r="AS3" s="53" t="str">
        <f aca="false">IF(AS2="","",TEXT(AS2,"mmm"))</f>
        <v>Dec</v>
      </c>
      <c r="AT3" s="53" t="str">
        <f aca="false">IF(AT2="","",TEXT(AT2,"mmm"))</f>
        <v>Dec</v>
      </c>
      <c r="AU3" s="53" t="str">
        <f aca="false">IF(AU2="","",TEXT(AU2,"mmm"))</f>
        <v>Dec</v>
      </c>
      <c r="AV3" s="53" t="str">
        <f aca="false">IF(AV2="","",TEXT(AV2,"mmm"))</f>
        <v>Dec</v>
      </c>
      <c r="AW3" s="53" t="str">
        <f aca="false">IF(AW2="","",TEXT(AW2,"mmm"))</f>
        <v>Dec</v>
      </c>
      <c r="AX3" s="53" t="str">
        <f aca="false">IF(AX2="","",TEXT(AX2,"mmm"))</f>
        <v>Jan</v>
      </c>
      <c r="AY3" s="53" t="str">
        <f aca="false">IF(AY2="","",TEXT(AY2,"mmm"))</f>
        <v>Jan</v>
      </c>
      <c r="AZ3" s="53" t="str">
        <f aca="false">IF(AZ2="","",TEXT(AZ2,"mmm"))</f>
        <v>Jan</v>
      </c>
      <c r="BA3" s="53" t="str">
        <f aca="false">IF(BA2="","",TEXT(BA2,"mmm"))</f>
        <v>Jan</v>
      </c>
      <c r="BB3" s="53" t="str">
        <f aca="false">IF(BB2="","",TEXT(BB2,"mmm"))</f>
        <v>Jan</v>
      </c>
      <c r="BC3" s="53" t="str">
        <f aca="false">IF(BC2="","",TEXT(BC2,"mmm"))</f>
        <v>Jan</v>
      </c>
      <c r="BD3" s="53" t="str">
        <f aca="false">IF(BD2="","",TEXT(BD2,"mmm"))</f>
        <v>Jan</v>
      </c>
      <c r="BE3" s="53" t="str">
        <f aca="false">IF(BE2="","",TEXT(BE2,"mmm"))</f>
        <v>Jan</v>
      </c>
      <c r="BF3" s="53" t="str">
        <f aca="false">IF(BF2="","",TEXT(BF2,"mmm"))</f>
        <v>Jan</v>
      </c>
      <c r="BG3" s="53" t="str">
        <f aca="false">IF(BG2="","",TEXT(BG2,"mmm"))</f>
        <v>Jan</v>
      </c>
      <c r="BH3" s="53" t="str">
        <f aca="false">IF(BH2="","",TEXT(BH2,"mmm"))</f>
        <v>Jan</v>
      </c>
      <c r="BI3" s="53" t="str">
        <f aca="false">IF(BI2="","",TEXT(BI2,"mmm"))</f>
        <v>Jan</v>
      </c>
      <c r="BJ3" s="53" t="str">
        <f aca="false">IF(BJ2="","",TEXT(BJ2,"mmm"))</f>
        <v>Jan</v>
      </c>
      <c r="BK3" s="53" t="str">
        <f aca="false">IF(BK2="","",TEXT(BK2,"mmm"))</f>
        <v>Jan</v>
      </c>
      <c r="BL3" s="53" t="str">
        <f aca="false">IF(BL2="","",TEXT(BL2,"mmm"))</f>
        <v>Jan</v>
      </c>
      <c r="BM3" s="53" t="str">
        <f aca="false">IF(BM2="","",TEXT(BM2,"mmm"))</f>
        <v>Jan</v>
      </c>
      <c r="BN3" s="53" t="str">
        <f aca="false">IF(BN2="","",TEXT(BN2,"mmm"))</f>
        <v>Jan</v>
      </c>
      <c r="BO3" s="53" t="str">
        <f aca="false">IF(BO2="","",TEXT(BO2,"mmm"))</f>
        <v>Jan</v>
      </c>
      <c r="BP3" s="53" t="str">
        <f aca="false">IF(BP2="","",TEXT(BP2,"mmm"))</f>
        <v>Jan</v>
      </c>
      <c r="BQ3" s="53" t="str">
        <f aca="false">IF(BQ2="","",TEXT(BQ2,"mmm"))</f>
        <v>Jan</v>
      </c>
      <c r="BR3" s="53" t="str">
        <f aca="false">IF(BR2="","",TEXT(BR2,"mmm"))</f>
        <v>Jan</v>
      </c>
      <c r="BS3" s="53" t="str">
        <f aca="false">IF(BS2="","",TEXT(BS2,"mmm"))</f>
        <v>Jan</v>
      </c>
      <c r="BT3" s="53" t="str">
        <f aca="false">IF(BT2="","",TEXT(BT2,"mmm"))</f>
        <v>Jan</v>
      </c>
      <c r="BU3" s="53" t="str">
        <f aca="false">IF(BU2="","",TEXT(BU2,"mmm"))</f>
        <v>Jan</v>
      </c>
      <c r="BV3" s="53" t="str">
        <f aca="false">IF(BV2="","",TEXT(BV2,"mmm"))</f>
        <v>Jan</v>
      </c>
      <c r="BW3" s="53" t="str">
        <f aca="false">IF(BW2="","",TEXT(BW2,"mmm"))</f>
        <v>Jan</v>
      </c>
      <c r="BX3" s="53" t="str">
        <f aca="false">IF(BX2="","",TEXT(BX2,"mmm"))</f>
        <v>Jan</v>
      </c>
      <c r="BY3" s="53" t="str">
        <f aca="false">IF(BY2="","",TEXT(BY2,"mmm"))</f>
        <v>Jan</v>
      </c>
      <c r="BZ3" s="53" t="str">
        <f aca="false">IF(BZ2="","",TEXT(BZ2,"mmm"))</f>
        <v>Jan</v>
      </c>
      <c r="CA3" s="53" t="str">
        <f aca="false">IF(CA2="","",TEXT(CA2,"mmm"))</f>
        <v>Jan</v>
      </c>
      <c r="CB3" s="53" t="str">
        <f aca="false">IF(CB2="","",TEXT(CB2,"mmm"))</f>
        <v>Jan</v>
      </c>
      <c r="CC3" s="53" t="str">
        <f aca="false">IF(CC2="","",TEXT(CC2,"mmm"))</f>
        <v>Feb</v>
      </c>
      <c r="CD3" s="53" t="str">
        <f aca="false">IF(CD2="","",TEXT(CD2,"mmm"))</f>
        <v>Feb</v>
      </c>
      <c r="CE3" s="53" t="str">
        <f aca="false">IF(CE2="","",TEXT(CE2,"mmm"))</f>
        <v>Feb</v>
      </c>
      <c r="CF3" s="53" t="str">
        <f aca="false">IF(CF2="","",TEXT(CF2,"mmm"))</f>
        <v>Feb</v>
      </c>
      <c r="CG3" s="53" t="str">
        <f aca="false">IF(CG2="","",TEXT(CG2,"mmm"))</f>
        <v>Feb</v>
      </c>
      <c r="CH3" s="53" t="str">
        <f aca="false">IF(CH2="","",TEXT(CH2,"mmm"))</f>
        <v>Feb</v>
      </c>
      <c r="CI3" s="53" t="str">
        <f aca="false">IF(CI2="","",TEXT(CI2,"mmm"))</f>
        <v>Feb</v>
      </c>
      <c r="CJ3" s="53" t="str">
        <f aca="false">IF(CJ2="","",TEXT(CJ2,"mmm"))</f>
        <v>Feb</v>
      </c>
      <c r="CK3" s="53" t="str">
        <f aca="false">IF(CK2="","",TEXT(CK2,"mmm"))</f>
        <v>Feb</v>
      </c>
      <c r="CL3" s="53" t="str">
        <f aca="false">IF(CL2="","",TEXT(CL2,"mmm"))</f>
        <v>Feb</v>
      </c>
      <c r="CM3" s="53" t="str">
        <f aca="false">IF(CM2="","",TEXT(CM2,"mmm"))</f>
        <v>Feb</v>
      </c>
      <c r="CN3" s="53" t="str">
        <f aca="false">IF(CN2="","",TEXT(CN2,"mmm"))</f>
        <v>Feb</v>
      </c>
      <c r="CO3" s="53" t="str">
        <f aca="false">IF(CO2="","",TEXT(CO2,"mmm"))</f>
        <v>Feb</v>
      </c>
      <c r="CP3" s="53" t="str">
        <f aca="false">IF(CP2="","",TEXT(CP2,"mmm"))</f>
        <v>Feb</v>
      </c>
      <c r="CQ3" s="53" t="str">
        <f aca="false">IF(CQ2="","",TEXT(CQ2,"mmm"))</f>
        <v>Feb</v>
      </c>
      <c r="CR3" s="53" t="str">
        <f aca="false">IF(CR2="","",TEXT(CR2,"mmm"))</f>
        <v>Feb</v>
      </c>
      <c r="CS3" s="53" t="str">
        <f aca="false">IF(CS2="","",TEXT(CS2,"mmm"))</f>
        <v>Feb</v>
      </c>
      <c r="CT3" s="53" t="str">
        <f aca="false">IF(CT2="","",TEXT(CT2,"mmm"))</f>
        <v>Feb</v>
      </c>
      <c r="CU3" s="53" t="str">
        <f aca="false">IF(CU2="","",TEXT(CU2,"mmm"))</f>
        <v>Feb</v>
      </c>
      <c r="CV3" s="53" t="str">
        <f aca="false">IF(CV2="","",TEXT(CV2,"mmm"))</f>
        <v>Feb</v>
      </c>
      <c r="CW3" s="53" t="str">
        <f aca="false">IF(CW2="","",TEXT(CW2,"mmm"))</f>
        <v>Feb</v>
      </c>
      <c r="CX3" s="53" t="str">
        <f aca="false">IF(CX2="","",TEXT(CX2,"mmm"))</f>
        <v>Feb</v>
      </c>
      <c r="CY3" s="53" t="str">
        <f aca="false">IF(CY2="","",TEXT(CY2,"mmm"))</f>
        <v>Feb</v>
      </c>
      <c r="CZ3" s="53" t="str">
        <f aca="false">IF(CZ2="","",TEXT(CZ2,"mmm"))</f>
        <v>Feb</v>
      </c>
      <c r="DA3" s="53" t="str">
        <f aca="false">IF(DA2="","",TEXT(DA2,"mmm"))</f>
        <v>Feb</v>
      </c>
      <c r="DB3" s="53" t="str">
        <f aca="false">IF(DB2="","",TEXT(DB2,"mmm"))</f>
        <v>Feb</v>
      </c>
      <c r="DC3" s="53" t="str">
        <f aca="false">IF(DC2="","",TEXT(DC2,"mmm"))</f>
        <v>Feb</v>
      </c>
      <c r="DD3" s="53" t="str">
        <f aca="false">IF(DD2="","",TEXT(DD2,"mmm"))</f>
        <v>Feb</v>
      </c>
      <c r="DE3" s="53" t="str">
        <f aca="false">IF(DE2="","",TEXT(DE2,"mmm"))</f>
        <v>Mar</v>
      </c>
      <c r="DF3" s="53" t="str">
        <f aca="false">IF(DF2="","",TEXT(DF2,"mmm"))</f>
        <v>Mar</v>
      </c>
      <c r="DG3" s="53" t="str">
        <f aca="false">IF(DG2="","",TEXT(DG2,"mmm"))</f>
        <v>Mar</v>
      </c>
      <c r="DH3" s="53" t="str">
        <f aca="false">IF(DH2="","",TEXT(DH2,"mmm"))</f>
        <v>Mar</v>
      </c>
      <c r="DI3" s="53" t="str">
        <f aca="false">IF(DI2="","",TEXT(DI2,"mmm"))</f>
        <v>Mar</v>
      </c>
      <c r="DJ3" s="53" t="str">
        <f aca="false">IF(DJ2="","",TEXT(DJ2,"mmm"))</f>
        <v>Mar</v>
      </c>
      <c r="DK3" s="53" t="str">
        <f aca="false">IF(DK2="","",TEXT(DK2,"mmm"))</f>
        <v>Mar</v>
      </c>
      <c r="DL3" s="53" t="str">
        <f aca="false">IF(DL2="","",TEXT(DL2,"mmm"))</f>
        <v>Mar</v>
      </c>
      <c r="DM3" s="53" t="str">
        <f aca="false">IF(DM2="","",TEXT(DM2,"mmm"))</f>
        <v>Mar</v>
      </c>
      <c r="DN3" s="53" t="str">
        <f aca="false">IF(DN2="","",TEXT(DN2,"mmm"))</f>
        <v>Mar</v>
      </c>
      <c r="DO3" s="53" t="str">
        <f aca="false">IF(DO2="","",TEXT(DO2,"mmm"))</f>
        <v>Mar</v>
      </c>
      <c r="DP3" s="53" t="str">
        <f aca="false">IF(DP2="","",TEXT(DP2,"mmm"))</f>
        <v>Mar</v>
      </c>
      <c r="DQ3" s="53" t="str">
        <f aca="false">IF(DQ2="","",TEXT(DQ2,"mmm"))</f>
        <v>Mar</v>
      </c>
      <c r="DR3" s="53" t="str">
        <f aca="false">IF(DR2="","",TEXT(DR2,"mmm"))</f>
        <v>Mar</v>
      </c>
      <c r="DS3" s="53" t="str">
        <f aca="false">IF(DS2="","",TEXT(DS2,"mmm"))</f>
        <v>Mar</v>
      </c>
      <c r="DT3" s="53" t="str">
        <f aca="false">IF(DT2="","",TEXT(DT2,"mmm"))</f>
        <v>Mar</v>
      </c>
      <c r="DU3" s="53" t="str">
        <f aca="false">IF(DU2="","",TEXT(DU2,"mmm"))</f>
        <v>Mar</v>
      </c>
      <c r="DV3" s="53" t="str">
        <f aca="false">IF(DV2="","",TEXT(DV2,"mmm"))</f>
        <v>Mar</v>
      </c>
      <c r="DW3" s="53" t="str">
        <f aca="false">IF(DW2="","",TEXT(DW2,"mmm"))</f>
        <v>Mar</v>
      </c>
      <c r="DX3" s="53" t="str">
        <f aca="false">IF(DX2="","",TEXT(DX2,"mmm"))</f>
        <v>Mar</v>
      </c>
      <c r="DY3" s="53" t="str">
        <f aca="false">IF(DY2="","",TEXT(DY2,"mmm"))</f>
        <v>Mar</v>
      </c>
      <c r="DZ3" s="53" t="str">
        <f aca="false">IF(DZ2="","",TEXT(DZ2,"mmm"))</f>
        <v>Mar</v>
      </c>
      <c r="EA3" s="53" t="str">
        <f aca="false">IF(EA2="","",TEXT(EA2,"mmm"))</f>
        <v>Mar</v>
      </c>
      <c r="EB3" s="53" t="str">
        <f aca="false">IF(EB2="","",TEXT(EB2,"mmm"))</f>
        <v>Mar</v>
      </c>
      <c r="EC3" s="53" t="str">
        <f aca="false">IF(EC2="","",TEXT(EC2,"mmm"))</f>
        <v>Mar</v>
      </c>
      <c r="ED3" s="53" t="str">
        <f aca="false">IF(ED2="","",TEXT(ED2,"mmm"))</f>
        <v>Mar</v>
      </c>
      <c r="EE3" s="53" t="str">
        <f aca="false">IF(EE2="","",TEXT(EE2,"mmm"))</f>
        <v>Mar</v>
      </c>
      <c r="EF3" s="53" t="str">
        <f aca="false">IF(EF2="","",TEXT(EF2,"mmm"))</f>
        <v>Mar</v>
      </c>
      <c r="EG3" s="53" t="str">
        <f aca="false">IF(EG2="","",TEXT(EG2,"mmm"))</f>
        <v>Mar</v>
      </c>
      <c r="EH3" s="53" t="str">
        <f aca="false">IF(EH2="","",TEXT(EH2,"mmm"))</f>
        <v>Mar</v>
      </c>
      <c r="EI3" s="53" t="str">
        <f aca="false">IF(EI2="","",TEXT(EI2,"mmm"))</f>
        <v>Mar</v>
      </c>
      <c r="EJ3" s="53" t="str">
        <f aca="false">IF(EJ2="","",TEXT(EJ2,"mmm"))</f>
        <v>Apr</v>
      </c>
      <c r="EK3" s="53" t="str">
        <f aca="false">IF(EK2="","",TEXT(EK2,"mmm"))</f>
        <v>Apr</v>
      </c>
      <c r="EL3" s="53" t="str">
        <f aca="false">IF(EL2="","",TEXT(EL2,"mmm"))</f>
        <v>Apr</v>
      </c>
      <c r="EM3" s="53" t="str">
        <f aca="false">IF(EM2="","",TEXT(EM2,"mmm"))</f>
        <v>Apr</v>
      </c>
      <c r="EN3" s="53" t="str">
        <f aca="false">IF(EN2="","",TEXT(EN2,"mmm"))</f>
        <v>Apr</v>
      </c>
      <c r="EO3" s="53" t="str">
        <f aca="false">IF(EO2="","",TEXT(EO2,"mmm"))</f>
        <v>Apr</v>
      </c>
      <c r="EP3" s="53" t="str">
        <f aca="false">IF(EP2="","",TEXT(EP2,"mmm"))</f>
        <v>Apr</v>
      </c>
      <c r="EQ3" s="53" t="str">
        <f aca="false">IF(EQ2="","",TEXT(EQ2,"mmm"))</f>
        <v>Apr</v>
      </c>
      <c r="ER3" s="53" t="str">
        <f aca="false">IF(ER2="","",TEXT(ER2,"mmm"))</f>
        <v>Apr</v>
      </c>
      <c r="ES3" s="53" t="str">
        <f aca="false">IF(ES2="","",TEXT(ES2,"mmm"))</f>
        <v>Apr</v>
      </c>
      <c r="ET3" s="53" t="str">
        <f aca="false">IF(ET2="","",TEXT(ET2,"mmm"))</f>
        <v>Apr</v>
      </c>
      <c r="EU3" s="53" t="str">
        <f aca="false">IF(EU2="","",TEXT(EU2,"mmm"))</f>
        <v>Apr</v>
      </c>
      <c r="EV3" s="53" t="str">
        <f aca="false">IF(EV2="","",TEXT(EV2,"mmm"))</f>
        <v>Apr</v>
      </c>
      <c r="EW3" s="53" t="str">
        <f aca="false">IF(EW2="","",TEXT(EW2,"mmm"))</f>
        <v>Apr</v>
      </c>
      <c r="EX3" s="53" t="str">
        <f aca="false">IF(EX2="","",TEXT(EX2,"mmm"))</f>
        <v>Apr</v>
      </c>
      <c r="EY3" s="53" t="str">
        <f aca="false">IF(EY2="","",TEXT(EY2,"mmm"))</f>
        <v>Apr</v>
      </c>
      <c r="EZ3" s="53" t="str">
        <f aca="false">IF(EZ2="","",TEXT(EZ2,"mmm"))</f>
        <v>Apr</v>
      </c>
      <c r="FA3" s="53" t="str">
        <f aca="false">IF(FA2="","",TEXT(FA2,"mmm"))</f>
        <v>Apr</v>
      </c>
      <c r="FB3" s="53" t="str">
        <f aca="false">IF(FB2="","",TEXT(FB2,"mmm"))</f>
        <v>Apr</v>
      </c>
      <c r="FC3" s="53" t="str">
        <f aca="false">IF(FC2="","",TEXT(FC2,"mmm"))</f>
        <v>Apr</v>
      </c>
      <c r="FD3" s="53" t="str">
        <f aca="false">IF(FD2="","",TEXT(FD2,"mmm"))</f>
        <v>Apr</v>
      </c>
      <c r="FE3" s="53" t="str">
        <f aca="false">IF(FE2="","",TEXT(FE2,"mmm"))</f>
        <v>Apr</v>
      </c>
      <c r="FF3" s="53" t="str">
        <f aca="false">IF(FF2="","",TEXT(FF2,"mmm"))</f>
        <v>Apr</v>
      </c>
      <c r="FG3" s="53" t="str">
        <f aca="false">IF(FG2="","",TEXT(FG2,"mmm"))</f>
        <v>Apr</v>
      </c>
      <c r="FH3" s="53" t="str">
        <f aca="false">IF(FH2="","",TEXT(FH2,"mmm"))</f>
        <v>Apr</v>
      </c>
      <c r="FI3" s="53" t="str">
        <f aca="false">IF(FI2="","",TEXT(FI2,"mmm"))</f>
        <v>Apr</v>
      </c>
      <c r="FJ3" s="53" t="str">
        <f aca="false">IF(FJ2="","",TEXT(FJ2,"mmm"))</f>
        <v>Apr</v>
      </c>
      <c r="FK3" s="53" t="str">
        <f aca="false">IF(FK2="","",TEXT(FK2,"mmm"))</f>
        <v>Apr</v>
      </c>
      <c r="FL3" s="53" t="str">
        <f aca="false">IF(FL2="","",TEXT(FL2,"mmm"))</f>
        <v>Apr</v>
      </c>
      <c r="FM3" s="53" t="str">
        <f aca="false">IF(FM2="","",TEXT(FM2,"mmm"))</f>
        <v>Apr</v>
      </c>
      <c r="FN3" s="53" t="str">
        <f aca="false">IF(FN2="","",TEXT(FN2,"mmm"))</f>
        <v>May</v>
      </c>
      <c r="FO3" s="53" t="str">
        <f aca="false">IF(FO2="","",TEXT(FO2,"mmm"))</f>
        <v>May</v>
      </c>
      <c r="FP3" s="53" t="str">
        <f aca="false">IF(FP2="","",TEXT(FP2,"mmm"))</f>
        <v>May</v>
      </c>
      <c r="FQ3" s="53" t="str">
        <f aca="false">IF(FQ2="","",TEXT(FQ2,"mmm"))</f>
        <v>May</v>
      </c>
      <c r="FR3" s="53" t="str">
        <f aca="false">IF(FR2="","",TEXT(FR2,"mmm"))</f>
        <v>May</v>
      </c>
      <c r="FS3" s="53" t="str">
        <f aca="false">IF(FS2="","",TEXT(FS2,"mmm"))</f>
        <v>May</v>
      </c>
      <c r="FT3" s="53" t="str">
        <f aca="false">IF(FT2="","",TEXT(FT2,"mmm"))</f>
        <v>May</v>
      </c>
      <c r="FU3" s="53" t="str">
        <f aca="false">IF(FU2="","",TEXT(FU2,"mmm"))</f>
        <v>May</v>
      </c>
      <c r="FV3" s="53" t="str">
        <f aca="false">IF(FV2="","",TEXT(FV2,"mmm"))</f>
        <v>May</v>
      </c>
      <c r="FW3" s="53" t="str">
        <f aca="false">IF(FW2="","",TEXT(FW2,"mmm"))</f>
        <v>May</v>
      </c>
      <c r="FX3" s="53" t="str">
        <f aca="false">IF(FX2="","",TEXT(FX2,"mmm"))</f>
        <v>May</v>
      </c>
      <c r="FY3" s="53" t="str">
        <f aca="false">IF(FY2="","",TEXT(FY2,"mmm"))</f>
        <v>May</v>
      </c>
      <c r="FZ3" s="53" t="str">
        <f aca="false">IF(FZ2="","",TEXT(FZ2,"mmm"))</f>
        <v>May</v>
      </c>
      <c r="GA3" s="53" t="str">
        <f aca="false">IF(GA2="","",TEXT(GA2,"mmm"))</f>
        <v>May</v>
      </c>
      <c r="GB3" s="53" t="str">
        <f aca="false">IF(GB2="","",TEXT(GB2,"mmm"))</f>
        <v>May</v>
      </c>
      <c r="GC3" s="53" t="str">
        <f aca="false">IF(GC2="","",TEXT(GC2,"mmm"))</f>
        <v>May</v>
      </c>
      <c r="GD3" s="53" t="str">
        <f aca="false">IF(GD2="","",TEXT(GD2,"mmm"))</f>
        <v>May</v>
      </c>
      <c r="GE3" s="53" t="str">
        <f aca="false">IF(GE2="","",TEXT(GE2,"mmm"))</f>
        <v>May</v>
      </c>
    </row>
    <row r="4" customFormat="false" ht="15" hidden="false" customHeight="false" outlineLevel="0" collapsed="false">
      <c r="A4" s="24" t="s">
        <v>359</v>
      </c>
    </row>
    <row r="5" customFormat="false" ht="15" hidden="false" customHeight="false" outlineLevel="0" collapsed="false">
      <c r="A5" s="54" t="s">
        <v>212</v>
      </c>
      <c r="B5" s="21" t="s">
        <v>360</v>
      </c>
      <c r="C5" s="21" t="s">
        <v>83</v>
      </c>
      <c r="D5" s="51" t="n">
        <f aca="false">IF(ISNUMBER(1_Settings!C26),1_Settings!C26,"")</f>
        <v>45986</v>
      </c>
      <c r="E5" s="51" t="n">
        <f aca="false">IF(D5="","",D5)</f>
        <v>45986</v>
      </c>
      <c r="F5" s="51" t="n">
        <f aca="false">IF(_xlfn.MINIFS(2_Daily_input!$D$1:$FQ$1,2_Daily_input!$D$71:$FQ$71,"Seed wetting")+_xlfn.MINIFS(2_Daily_input!$D$1:$FQ$1,2_Daily_input!$D$72:$FQ$72,"Seed wetting")=0,"",IF(_xlfn.MINIFS(2_Daily_input!$D$1:$FQ$1,2_Daily_input!$D$71:$FQ$71,"Seed wetting")=0,_xlfn.MINIFS(2_Daily_input!$D$1:$FQ$1,2_Daily_input!$D$72:$FQ$72,"Seed wetting"),IF(_xlfn.MINIFS(2_Daily_input!$D$1:$FQ$1,2_Daily_input!$D$72:$FQ$72,"Seed wetting")=0,_xlfn.MINIFS(2_Daily_input!$D$1:$FQ$1,2_Daily_input!$D$71:$FQ$71,"Seed wetting"),MIN(_xlfn.MINIFS(2_Daily_input!$D$1:$FQ$1,2_Daily_input!$D$71:$FQ$71,"Seed wetting"),_xlfn.MINIFS(2_Daily_input!$D$1:$FQ$1,2_Daily_input!$D$72:$FQ$72,"Seed wetting")))))</f>
        <v>45986</v>
      </c>
      <c r="G5" s="51" t="str">
        <f aca="false">""</f>
        <v/>
      </c>
      <c r="H5" s="50" t="str">
        <f aca="true">IF(D5="","no plan",IF(F5&lt;&gt;"",IF(F5-D5&gt;=2,"LATE","OK"),IF(TODAY()&gt;D5+2,"OVERDUE","upcoming")))</f>
        <v>OK</v>
      </c>
      <c r="I5" s="50" t="n">
        <f aca="false">IF(AND(D5&lt;&gt;"",F5&lt;&gt;""),F5-D5,"")</f>
        <v>0</v>
      </c>
      <c r="J5" s="51" t="n">
        <f aca="false">IF(F5&lt;&gt;"",F5,D5)</f>
        <v>45986</v>
      </c>
      <c r="K5" s="51" t="n">
        <f aca="false">IF(G5&lt;&gt;"",G5,IF(AND(F5&lt;&gt;"",E5=D5),F5,E5))</f>
        <v>45986</v>
      </c>
      <c r="L5" s="50" t="str">
        <f aca="true">IF(AND(D5&lt;&gt;"",F5="",D5&gt;=TODAY()),D5+ROW()/1000,"")</f>
        <v/>
      </c>
      <c r="M5" s="55" t="n">
        <f aca="false">IF(OR(M$2="",$D5=""),"",IF(IF(ISNUMBER($F5),AND(M$2&gt;=$F5,M$2&lt;=IF(ISNUMBER($G5),$G5,$F5+$E5-$D5)),FALSE()),2,IF(AND(M$2&gt;=$D5,M$2&lt;=$E5),1,"")))</f>
        <v>2</v>
      </c>
      <c r="N5" s="55" t="str">
        <f aca="false">IF(OR(N$2="",$D5=""),"",IF(IF(ISNUMBER($F5),AND(N$2&gt;=$F5,N$2&lt;=IF(ISNUMBER($G5),$G5,$F5+$E5-$D5)),FALSE()),2,IF(AND(N$2&gt;=$D5,N$2&lt;=$E5),1,"")))</f>
        <v/>
      </c>
      <c r="O5" s="55" t="str">
        <f aca="false">IF(OR(O$2="",$D5=""),"",IF(IF(ISNUMBER($F5),AND(O$2&gt;=$F5,O$2&lt;=IF(ISNUMBER($G5),$G5,$F5+$E5-$D5)),FALSE()),2,IF(AND(O$2&gt;=$D5,O$2&lt;=$E5),1,"")))</f>
        <v/>
      </c>
      <c r="P5" s="55" t="str">
        <f aca="false">IF(OR(P$2="",$D5=""),"",IF(IF(ISNUMBER($F5),AND(P$2&gt;=$F5,P$2&lt;=IF(ISNUMBER($G5),$G5,$F5+$E5-$D5)),FALSE()),2,IF(AND(P$2&gt;=$D5,P$2&lt;=$E5),1,"")))</f>
        <v/>
      </c>
      <c r="Q5" s="55" t="str">
        <f aca="false">IF(OR(Q$2="",$D5=""),"",IF(IF(ISNUMBER($F5),AND(Q$2&gt;=$F5,Q$2&lt;=IF(ISNUMBER($G5),$G5,$F5+$E5-$D5)),FALSE()),2,IF(AND(Q$2&gt;=$D5,Q$2&lt;=$E5),1,"")))</f>
        <v/>
      </c>
      <c r="R5" s="55" t="str">
        <f aca="false">IF(OR(R$2="",$D5=""),"",IF(IF(ISNUMBER($F5),AND(R$2&gt;=$F5,R$2&lt;=IF(ISNUMBER($G5),$G5,$F5+$E5-$D5)),FALSE()),2,IF(AND(R$2&gt;=$D5,R$2&lt;=$E5),1,"")))</f>
        <v/>
      </c>
      <c r="S5" s="55" t="str">
        <f aca="false">IF(OR(S$2="",$D5=""),"",IF(IF(ISNUMBER($F5),AND(S$2&gt;=$F5,S$2&lt;=IF(ISNUMBER($G5),$G5,$F5+$E5-$D5)),FALSE()),2,IF(AND(S$2&gt;=$D5,S$2&lt;=$E5),1,"")))</f>
        <v/>
      </c>
      <c r="T5" s="55" t="str">
        <f aca="false">IF(OR(T$2="",$D5=""),"",IF(IF(ISNUMBER($F5),AND(T$2&gt;=$F5,T$2&lt;=IF(ISNUMBER($G5),$G5,$F5+$E5-$D5)),FALSE()),2,IF(AND(T$2&gt;=$D5,T$2&lt;=$E5),1,"")))</f>
        <v/>
      </c>
      <c r="U5" s="55" t="str">
        <f aca="false">IF(OR(U$2="",$D5=""),"",IF(IF(ISNUMBER($F5),AND(U$2&gt;=$F5,U$2&lt;=IF(ISNUMBER($G5),$G5,$F5+$E5-$D5)),FALSE()),2,IF(AND(U$2&gt;=$D5,U$2&lt;=$E5),1,"")))</f>
        <v/>
      </c>
      <c r="V5" s="55" t="str">
        <f aca="false">IF(OR(V$2="",$D5=""),"",IF(IF(ISNUMBER($F5),AND(V$2&gt;=$F5,V$2&lt;=IF(ISNUMBER($G5),$G5,$F5+$E5-$D5)),FALSE()),2,IF(AND(V$2&gt;=$D5,V$2&lt;=$E5),1,"")))</f>
        <v/>
      </c>
      <c r="W5" s="55" t="str">
        <f aca="false">IF(OR(W$2="",$D5=""),"",IF(IF(ISNUMBER($F5),AND(W$2&gt;=$F5,W$2&lt;=IF(ISNUMBER($G5),$G5,$F5+$E5-$D5)),FALSE()),2,IF(AND(W$2&gt;=$D5,W$2&lt;=$E5),1,"")))</f>
        <v/>
      </c>
      <c r="X5" s="55" t="str">
        <f aca="false">IF(OR(X$2="",$D5=""),"",IF(IF(ISNUMBER($F5),AND(X$2&gt;=$F5,X$2&lt;=IF(ISNUMBER($G5),$G5,$F5+$E5-$D5)),FALSE()),2,IF(AND(X$2&gt;=$D5,X$2&lt;=$E5),1,"")))</f>
        <v/>
      </c>
      <c r="Y5" s="55" t="str">
        <f aca="false">IF(OR(Y$2="",$D5=""),"",IF(IF(ISNUMBER($F5),AND(Y$2&gt;=$F5,Y$2&lt;=IF(ISNUMBER($G5),$G5,$F5+$E5-$D5)),FALSE()),2,IF(AND(Y$2&gt;=$D5,Y$2&lt;=$E5),1,"")))</f>
        <v/>
      </c>
      <c r="Z5" s="55" t="str">
        <f aca="false">IF(OR(Z$2="",$D5=""),"",IF(IF(ISNUMBER($F5),AND(Z$2&gt;=$F5,Z$2&lt;=IF(ISNUMBER($G5),$G5,$F5+$E5-$D5)),FALSE()),2,IF(AND(Z$2&gt;=$D5,Z$2&lt;=$E5),1,"")))</f>
        <v/>
      </c>
      <c r="AA5" s="55" t="str">
        <f aca="false">IF(OR(AA$2="",$D5=""),"",IF(IF(ISNUMBER($F5),AND(AA$2&gt;=$F5,AA$2&lt;=IF(ISNUMBER($G5),$G5,$F5+$E5-$D5)),FALSE()),2,IF(AND(AA$2&gt;=$D5,AA$2&lt;=$E5),1,"")))</f>
        <v/>
      </c>
      <c r="AB5" s="55" t="str">
        <f aca="false">IF(OR(AB$2="",$D5=""),"",IF(IF(ISNUMBER($F5),AND(AB$2&gt;=$F5,AB$2&lt;=IF(ISNUMBER($G5),$G5,$F5+$E5-$D5)),FALSE()),2,IF(AND(AB$2&gt;=$D5,AB$2&lt;=$E5),1,"")))</f>
        <v/>
      </c>
      <c r="AC5" s="55" t="str">
        <f aca="false">IF(OR(AC$2="",$D5=""),"",IF(IF(ISNUMBER($F5),AND(AC$2&gt;=$F5,AC$2&lt;=IF(ISNUMBER($G5),$G5,$F5+$E5-$D5)),FALSE()),2,IF(AND(AC$2&gt;=$D5,AC$2&lt;=$E5),1,"")))</f>
        <v/>
      </c>
      <c r="AD5" s="55" t="str">
        <f aca="false">IF(OR(AD$2="",$D5=""),"",IF(IF(ISNUMBER($F5),AND(AD$2&gt;=$F5,AD$2&lt;=IF(ISNUMBER($G5),$G5,$F5+$E5-$D5)),FALSE()),2,IF(AND(AD$2&gt;=$D5,AD$2&lt;=$E5),1,"")))</f>
        <v/>
      </c>
      <c r="AE5" s="55" t="str">
        <f aca="false">IF(OR(AE$2="",$D5=""),"",IF(IF(ISNUMBER($F5),AND(AE$2&gt;=$F5,AE$2&lt;=IF(ISNUMBER($G5),$G5,$F5+$E5-$D5)),FALSE()),2,IF(AND(AE$2&gt;=$D5,AE$2&lt;=$E5),1,"")))</f>
        <v/>
      </c>
      <c r="AF5" s="55" t="str">
        <f aca="false">IF(OR(AF$2="",$D5=""),"",IF(IF(ISNUMBER($F5),AND(AF$2&gt;=$F5,AF$2&lt;=IF(ISNUMBER($G5),$G5,$F5+$E5-$D5)),FALSE()),2,IF(AND(AF$2&gt;=$D5,AF$2&lt;=$E5),1,"")))</f>
        <v/>
      </c>
      <c r="AG5" s="55" t="str">
        <f aca="false">IF(OR(AG$2="",$D5=""),"",IF(IF(ISNUMBER($F5),AND(AG$2&gt;=$F5,AG$2&lt;=IF(ISNUMBER($G5),$G5,$F5+$E5-$D5)),FALSE()),2,IF(AND(AG$2&gt;=$D5,AG$2&lt;=$E5),1,"")))</f>
        <v/>
      </c>
      <c r="AH5" s="55" t="str">
        <f aca="false">IF(OR(AH$2="",$D5=""),"",IF(IF(ISNUMBER($F5),AND(AH$2&gt;=$F5,AH$2&lt;=IF(ISNUMBER($G5),$G5,$F5+$E5-$D5)),FALSE()),2,IF(AND(AH$2&gt;=$D5,AH$2&lt;=$E5),1,"")))</f>
        <v/>
      </c>
      <c r="AI5" s="55" t="str">
        <f aca="false">IF(OR(AI$2="",$D5=""),"",IF(IF(ISNUMBER($F5),AND(AI$2&gt;=$F5,AI$2&lt;=IF(ISNUMBER($G5),$G5,$F5+$E5-$D5)),FALSE()),2,IF(AND(AI$2&gt;=$D5,AI$2&lt;=$E5),1,"")))</f>
        <v/>
      </c>
      <c r="AJ5" s="55" t="str">
        <f aca="false">IF(OR(AJ$2="",$D5=""),"",IF(IF(ISNUMBER($F5),AND(AJ$2&gt;=$F5,AJ$2&lt;=IF(ISNUMBER($G5),$G5,$F5+$E5-$D5)),FALSE()),2,IF(AND(AJ$2&gt;=$D5,AJ$2&lt;=$E5),1,"")))</f>
        <v/>
      </c>
      <c r="AK5" s="55" t="str">
        <f aca="false">IF(OR(AK$2="",$D5=""),"",IF(IF(ISNUMBER($F5),AND(AK$2&gt;=$F5,AK$2&lt;=IF(ISNUMBER($G5),$G5,$F5+$E5-$D5)),FALSE()),2,IF(AND(AK$2&gt;=$D5,AK$2&lt;=$E5),1,"")))</f>
        <v/>
      </c>
      <c r="AL5" s="55" t="str">
        <f aca="false">IF(OR(AL$2="",$D5=""),"",IF(IF(ISNUMBER($F5),AND(AL$2&gt;=$F5,AL$2&lt;=IF(ISNUMBER($G5),$G5,$F5+$E5-$D5)),FALSE()),2,IF(AND(AL$2&gt;=$D5,AL$2&lt;=$E5),1,"")))</f>
        <v/>
      </c>
      <c r="AM5" s="55" t="str">
        <f aca="false">IF(OR(AM$2="",$D5=""),"",IF(IF(ISNUMBER($F5),AND(AM$2&gt;=$F5,AM$2&lt;=IF(ISNUMBER($G5),$G5,$F5+$E5-$D5)),FALSE()),2,IF(AND(AM$2&gt;=$D5,AM$2&lt;=$E5),1,"")))</f>
        <v/>
      </c>
      <c r="AN5" s="55" t="str">
        <f aca="false">IF(OR(AN$2="",$D5=""),"",IF(IF(ISNUMBER($F5),AND(AN$2&gt;=$F5,AN$2&lt;=IF(ISNUMBER($G5),$G5,$F5+$E5-$D5)),FALSE()),2,IF(AND(AN$2&gt;=$D5,AN$2&lt;=$E5),1,"")))</f>
        <v/>
      </c>
      <c r="AO5" s="55" t="str">
        <f aca="false">IF(OR(AO$2="",$D5=""),"",IF(IF(ISNUMBER($F5),AND(AO$2&gt;=$F5,AO$2&lt;=IF(ISNUMBER($G5),$G5,$F5+$E5-$D5)),FALSE()),2,IF(AND(AO$2&gt;=$D5,AO$2&lt;=$E5),1,"")))</f>
        <v/>
      </c>
      <c r="AP5" s="55" t="str">
        <f aca="false">IF(OR(AP$2="",$D5=""),"",IF(IF(ISNUMBER($F5),AND(AP$2&gt;=$F5,AP$2&lt;=IF(ISNUMBER($G5),$G5,$F5+$E5-$D5)),FALSE()),2,IF(AND(AP$2&gt;=$D5,AP$2&lt;=$E5),1,"")))</f>
        <v/>
      </c>
      <c r="AQ5" s="55" t="str">
        <f aca="false">IF(OR(AQ$2="",$D5=""),"",IF(IF(ISNUMBER($F5),AND(AQ$2&gt;=$F5,AQ$2&lt;=IF(ISNUMBER($G5),$G5,$F5+$E5-$D5)),FALSE()),2,IF(AND(AQ$2&gt;=$D5,AQ$2&lt;=$E5),1,"")))</f>
        <v/>
      </c>
      <c r="AR5" s="55" t="str">
        <f aca="false">IF(OR(AR$2="",$D5=""),"",IF(IF(ISNUMBER($F5),AND(AR$2&gt;=$F5,AR$2&lt;=IF(ISNUMBER($G5),$G5,$F5+$E5-$D5)),FALSE()),2,IF(AND(AR$2&gt;=$D5,AR$2&lt;=$E5),1,"")))</f>
        <v/>
      </c>
      <c r="AS5" s="55" t="str">
        <f aca="false">IF(OR(AS$2="",$D5=""),"",IF(IF(ISNUMBER($F5),AND(AS$2&gt;=$F5,AS$2&lt;=IF(ISNUMBER($G5),$G5,$F5+$E5-$D5)),FALSE()),2,IF(AND(AS$2&gt;=$D5,AS$2&lt;=$E5),1,"")))</f>
        <v/>
      </c>
      <c r="AT5" s="55" t="str">
        <f aca="false">IF(OR(AT$2="",$D5=""),"",IF(IF(ISNUMBER($F5),AND(AT$2&gt;=$F5,AT$2&lt;=IF(ISNUMBER($G5),$G5,$F5+$E5-$D5)),FALSE()),2,IF(AND(AT$2&gt;=$D5,AT$2&lt;=$E5),1,"")))</f>
        <v/>
      </c>
      <c r="AU5" s="55" t="str">
        <f aca="false">IF(OR(AU$2="",$D5=""),"",IF(IF(ISNUMBER($F5),AND(AU$2&gt;=$F5,AU$2&lt;=IF(ISNUMBER($G5),$G5,$F5+$E5-$D5)),FALSE()),2,IF(AND(AU$2&gt;=$D5,AU$2&lt;=$E5),1,"")))</f>
        <v/>
      </c>
      <c r="AV5" s="55" t="str">
        <f aca="false">IF(OR(AV$2="",$D5=""),"",IF(IF(ISNUMBER($F5),AND(AV$2&gt;=$F5,AV$2&lt;=IF(ISNUMBER($G5),$G5,$F5+$E5-$D5)),FALSE()),2,IF(AND(AV$2&gt;=$D5,AV$2&lt;=$E5),1,"")))</f>
        <v/>
      </c>
      <c r="AW5" s="55" t="str">
        <f aca="false">IF(OR(AW$2="",$D5=""),"",IF(IF(ISNUMBER($F5),AND(AW$2&gt;=$F5,AW$2&lt;=IF(ISNUMBER($G5),$G5,$F5+$E5-$D5)),FALSE()),2,IF(AND(AW$2&gt;=$D5,AW$2&lt;=$E5),1,"")))</f>
        <v/>
      </c>
      <c r="AX5" s="55" t="str">
        <f aca="false">IF(OR(AX$2="",$D5=""),"",IF(IF(ISNUMBER($F5),AND(AX$2&gt;=$F5,AX$2&lt;=IF(ISNUMBER($G5),$G5,$F5+$E5-$D5)),FALSE()),2,IF(AND(AX$2&gt;=$D5,AX$2&lt;=$E5),1,"")))</f>
        <v/>
      </c>
      <c r="AY5" s="55" t="str">
        <f aca="false">IF(OR(AY$2="",$D5=""),"",IF(IF(ISNUMBER($F5),AND(AY$2&gt;=$F5,AY$2&lt;=IF(ISNUMBER($G5),$G5,$F5+$E5-$D5)),FALSE()),2,IF(AND(AY$2&gt;=$D5,AY$2&lt;=$E5),1,"")))</f>
        <v/>
      </c>
      <c r="AZ5" s="55" t="str">
        <f aca="false">IF(OR(AZ$2="",$D5=""),"",IF(IF(ISNUMBER($F5),AND(AZ$2&gt;=$F5,AZ$2&lt;=IF(ISNUMBER($G5),$G5,$F5+$E5-$D5)),FALSE()),2,IF(AND(AZ$2&gt;=$D5,AZ$2&lt;=$E5),1,"")))</f>
        <v/>
      </c>
      <c r="BA5" s="55" t="str">
        <f aca="false">IF(OR(BA$2="",$D5=""),"",IF(IF(ISNUMBER($F5),AND(BA$2&gt;=$F5,BA$2&lt;=IF(ISNUMBER($G5),$G5,$F5+$E5-$D5)),FALSE()),2,IF(AND(BA$2&gt;=$D5,BA$2&lt;=$E5),1,"")))</f>
        <v/>
      </c>
      <c r="BB5" s="55" t="str">
        <f aca="false">IF(OR(BB$2="",$D5=""),"",IF(IF(ISNUMBER($F5),AND(BB$2&gt;=$F5,BB$2&lt;=IF(ISNUMBER($G5),$G5,$F5+$E5-$D5)),FALSE()),2,IF(AND(BB$2&gt;=$D5,BB$2&lt;=$E5),1,"")))</f>
        <v/>
      </c>
      <c r="BC5" s="55" t="str">
        <f aca="false">IF(OR(BC$2="",$D5=""),"",IF(IF(ISNUMBER($F5),AND(BC$2&gt;=$F5,BC$2&lt;=IF(ISNUMBER($G5),$G5,$F5+$E5-$D5)),FALSE()),2,IF(AND(BC$2&gt;=$D5,BC$2&lt;=$E5),1,"")))</f>
        <v/>
      </c>
      <c r="BD5" s="55" t="str">
        <f aca="false">IF(OR(BD$2="",$D5=""),"",IF(IF(ISNUMBER($F5),AND(BD$2&gt;=$F5,BD$2&lt;=IF(ISNUMBER($G5),$G5,$F5+$E5-$D5)),FALSE()),2,IF(AND(BD$2&gt;=$D5,BD$2&lt;=$E5),1,"")))</f>
        <v/>
      </c>
      <c r="BE5" s="55" t="str">
        <f aca="false">IF(OR(BE$2="",$D5=""),"",IF(IF(ISNUMBER($F5),AND(BE$2&gt;=$F5,BE$2&lt;=IF(ISNUMBER($G5),$G5,$F5+$E5-$D5)),FALSE()),2,IF(AND(BE$2&gt;=$D5,BE$2&lt;=$E5),1,"")))</f>
        <v/>
      </c>
      <c r="BF5" s="55" t="str">
        <f aca="false">IF(OR(BF$2="",$D5=""),"",IF(IF(ISNUMBER($F5),AND(BF$2&gt;=$F5,BF$2&lt;=IF(ISNUMBER($G5),$G5,$F5+$E5-$D5)),FALSE()),2,IF(AND(BF$2&gt;=$D5,BF$2&lt;=$E5),1,"")))</f>
        <v/>
      </c>
      <c r="BG5" s="55" t="str">
        <f aca="false">IF(OR(BG$2="",$D5=""),"",IF(IF(ISNUMBER($F5),AND(BG$2&gt;=$F5,BG$2&lt;=IF(ISNUMBER($G5),$G5,$F5+$E5-$D5)),FALSE()),2,IF(AND(BG$2&gt;=$D5,BG$2&lt;=$E5),1,"")))</f>
        <v/>
      </c>
      <c r="BH5" s="55" t="str">
        <f aca="false">IF(OR(BH$2="",$D5=""),"",IF(IF(ISNUMBER($F5),AND(BH$2&gt;=$F5,BH$2&lt;=IF(ISNUMBER($G5),$G5,$F5+$E5-$D5)),FALSE()),2,IF(AND(BH$2&gt;=$D5,BH$2&lt;=$E5),1,"")))</f>
        <v/>
      </c>
      <c r="BI5" s="55" t="str">
        <f aca="false">IF(OR(BI$2="",$D5=""),"",IF(IF(ISNUMBER($F5),AND(BI$2&gt;=$F5,BI$2&lt;=IF(ISNUMBER($G5),$G5,$F5+$E5-$D5)),FALSE()),2,IF(AND(BI$2&gt;=$D5,BI$2&lt;=$E5),1,"")))</f>
        <v/>
      </c>
      <c r="BJ5" s="55" t="str">
        <f aca="false">IF(OR(BJ$2="",$D5=""),"",IF(IF(ISNUMBER($F5),AND(BJ$2&gt;=$F5,BJ$2&lt;=IF(ISNUMBER($G5),$G5,$F5+$E5-$D5)),FALSE()),2,IF(AND(BJ$2&gt;=$D5,BJ$2&lt;=$E5),1,"")))</f>
        <v/>
      </c>
      <c r="BK5" s="55" t="str">
        <f aca="false">IF(OR(BK$2="",$D5=""),"",IF(IF(ISNUMBER($F5),AND(BK$2&gt;=$F5,BK$2&lt;=IF(ISNUMBER($G5),$G5,$F5+$E5-$D5)),FALSE()),2,IF(AND(BK$2&gt;=$D5,BK$2&lt;=$E5),1,"")))</f>
        <v/>
      </c>
      <c r="BL5" s="55" t="str">
        <f aca="false">IF(OR(BL$2="",$D5=""),"",IF(IF(ISNUMBER($F5),AND(BL$2&gt;=$F5,BL$2&lt;=IF(ISNUMBER($G5),$G5,$F5+$E5-$D5)),FALSE()),2,IF(AND(BL$2&gt;=$D5,BL$2&lt;=$E5),1,"")))</f>
        <v/>
      </c>
      <c r="BM5" s="55" t="str">
        <f aca="false">IF(OR(BM$2="",$D5=""),"",IF(IF(ISNUMBER($F5),AND(BM$2&gt;=$F5,BM$2&lt;=IF(ISNUMBER($G5),$G5,$F5+$E5-$D5)),FALSE()),2,IF(AND(BM$2&gt;=$D5,BM$2&lt;=$E5),1,"")))</f>
        <v/>
      </c>
      <c r="BN5" s="55" t="str">
        <f aca="false">IF(OR(BN$2="",$D5=""),"",IF(IF(ISNUMBER($F5),AND(BN$2&gt;=$F5,BN$2&lt;=IF(ISNUMBER($G5),$G5,$F5+$E5-$D5)),FALSE()),2,IF(AND(BN$2&gt;=$D5,BN$2&lt;=$E5),1,"")))</f>
        <v/>
      </c>
      <c r="BO5" s="55" t="str">
        <f aca="false">IF(OR(BO$2="",$D5=""),"",IF(IF(ISNUMBER($F5),AND(BO$2&gt;=$F5,BO$2&lt;=IF(ISNUMBER($G5),$G5,$F5+$E5-$D5)),FALSE()),2,IF(AND(BO$2&gt;=$D5,BO$2&lt;=$E5),1,"")))</f>
        <v/>
      </c>
      <c r="BP5" s="55" t="str">
        <f aca="false">IF(OR(BP$2="",$D5=""),"",IF(IF(ISNUMBER($F5),AND(BP$2&gt;=$F5,BP$2&lt;=IF(ISNUMBER($G5),$G5,$F5+$E5-$D5)),FALSE()),2,IF(AND(BP$2&gt;=$D5,BP$2&lt;=$E5),1,"")))</f>
        <v/>
      </c>
      <c r="BQ5" s="55" t="str">
        <f aca="false">IF(OR(BQ$2="",$D5=""),"",IF(IF(ISNUMBER($F5),AND(BQ$2&gt;=$F5,BQ$2&lt;=IF(ISNUMBER($G5),$G5,$F5+$E5-$D5)),FALSE()),2,IF(AND(BQ$2&gt;=$D5,BQ$2&lt;=$E5),1,"")))</f>
        <v/>
      </c>
      <c r="BR5" s="55" t="str">
        <f aca="false">IF(OR(BR$2="",$D5=""),"",IF(IF(ISNUMBER($F5),AND(BR$2&gt;=$F5,BR$2&lt;=IF(ISNUMBER($G5),$G5,$F5+$E5-$D5)),FALSE()),2,IF(AND(BR$2&gt;=$D5,BR$2&lt;=$E5),1,"")))</f>
        <v/>
      </c>
      <c r="BS5" s="55" t="str">
        <f aca="false">IF(OR(BS$2="",$D5=""),"",IF(IF(ISNUMBER($F5),AND(BS$2&gt;=$F5,BS$2&lt;=IF(ISNUMBER($G5),$G5,$F5+$E5-$D5)),FALSE()),2,IF(AND(BS$2&gt;=$D5,BS$2&lt;=$E5),1,"")))</f>
        <v/>
      </c>
      <c r="BT5" s="55" t="str">
        <f aca="false">IF(OR(BT$2="",$D5=""),"",IF(IF(ISNUMBER($F5),AND(BT$2&gt;=$F5,BT$2&lt;=IF(ISNUMBER($G5),$G5,$F5+$E5-$D5)),FALSE()),2,IF(AND(BT$2&gt;=$D5,BT$2&lt;=$E5),1,"")))</f>
        <v/>
      </c>
      <c r="BU5" s="55" t="str">
        <f aca="false">IF(OR(BU$2="",$D5=""),"",IF(IF(ISNUMBER($F5),AND(BU$2&gt;=$F5,BU$2&lt;=IF(ISNUMBER($G5),$G5,$F5+$E5-$D5)),FALSE()),2,IF(AND(BU$2&gt;=$D5,BU$2&lt;=$E5),1,"")))</f>
        <v/>
      </c>
      <c r="BV5" s="55" t="str">
        <f aca="false">IF(OR(BV$2="",$D5=""),"",IF(IF(ISNUMBER($F5),AND(BV$2&gt;=$F5,BV$2&lt;=IF(ISNUMBER($G5),$G5,$F5+$E5-$D5)),FALSE()),2,IF(AND(BV$2&gt;=$D5,BV$2&lt;=$E5),1,"")))</f>
        <v/>
      </c>
      <c r="BW5" s="55" t="str">
        <f aca="false">IF(OR(BW$2="",$D5=""),"",IF(IF(ISNUMBER($F5),AND(BW$2&gt;=$F5,BW$2&lt;=IF(ISNUMBER($G5),$G5,$F5+$E5-$D5)),FALSE()),2,IF(AND(BW$2&gt;=$D5,BW$2&lt;=$E5),1,"")))</f>
        <v/>
      </c>
      <c r="BX5" s="55" t="str">
        <f aca="false">IF(OR(BX$2="",$D5=""),"",IF(IF(ISNUMBER($F5),AND(BX$2&gt;=$F5,BX$2&lt;=IF(ISNUMBER($G5),$G5,$F5+$E5-$D5)),FALSE()),2,IF(AND(BX$2&gt;=$D5,BX$2&lt;=$E5),1,"")))</f>
        <v/>
      </c>
      <c r="BY5" s="55" t="str">
        <f aca="false">IF(OR(BY$2="",$D5=""),"",IF(IF(ISNUMBER($F5),AND(BY$2&gt;=$F5,BY$2&lt;=IF(ISNUMBER($G5),$G5,$F5+$E5-$D5)),FALSE()),2,IF(AND(BY$2&gt;=$D5,BY$2&lt;=$E5),1,"")))</f>
        <v/>
      </c>
      <c r="BZ5" s="55" t="str">
        <f aca="false">IF(OR(BZ$2="",$D5=""),"",IF(IF(ISNUMBER($F5),AND(BZ$2&gt;=$F5,BZ$2&lt;=IF(ISNUMBER($G5),$G5,$F5+$E5-$D5)),FALSE()),2,IF(AND(BZ$2&gt;=$D5,BZ$2&lt;=$E5),1,"")))</f>
        <v/>
      </c>
      <c r="CA5" s="55" t="str">
        <f aca="false">IF(OR(CA$2="",$D5=""),"",IF(IF(ISNUMBER($F5),AND(CA$2&gt;=$F5,CA$2&lt;=IF(ISNUMBER($G5),$G5,$F5+$E5-$D5)),FALSE()),2,IF(AND(CA$2&gt;=$D5,CA$2&lt;=$E5),1,"")))</f>
        <v/>
      </c>
      <c r="CB5" s="55" t="str">
        <f aca="false">IF(OR(CB$2="",$D5=""),"",IF(IF(ISNUMBER($F5),AND(CB$2&gt;=$F5,CB$2&lt;=IF(ISNUMBER($G5),$G5,$F5+$E5-$D5)),FALSE()),2,IF(AND(CB$2&gt;=$D5,CB$2&lt;=$E5),1,"")))</f>
        <v/>
      </c>
      <c r="CC5" s="55" t="str">
        <f aca="false">IF(OR(CC$2="",$D5=""),"",IF(IF(ISNUMBER($F5),AND(CC$2&gt;=$F5,CC$2&lt;=IF(ISNUMBER($G5),$G5,$F5+$E5-$D5)),FALSE()),2,IF(AND(CC$2&gt;=$D5,CC$2&lt;=$E5),1,"")))</f>
        <v/>
      </c>
      <c r="CD5" s="55" t="str">
        <f aca="false">IF(OR(CD$2="",$D5=""),"",IF(IF(ISNUMBER($F5),AND(CD$2&gt;=$F5,CD$2&lt;=IF(ISNUMBER($G5),$G5,$F5+$E5-$D5)),FALSE()),2,IF(AND(CD$2&gt;=$D5,CD$2&lt;=$E5),1,"")))</f>
        <v/>
      </c>
      <c r="CE5" s="55" t="str">
        <f aca="false">IF(OR(CE$2="",$D5=""),"",IF(IF(ISNUMBER($F5),AND(CE$2&gt;=$F5,CE$2&lt;=IF(ISNUMBER($G5),$G5,$F5+$E5-$D5)),FALSE()),2,IF(AND(CE$2&gt;=$D5,CE$2&lt;=$E5),1,"")))</f>
        <v/>
      </c>
      <c r="CF5" s="55" t="str">
        <f aca="false">IF(OR(CF$2="",$D5=""),"",IF(IF(ISNUMBER($F5),AND(CF$2&gt;=$F5,CF$2&lt;=IF(ISNUMBER($G5),$G5,$F5+$E5-$D5)),FALSE()),2,IF(AND(CF$2&gt;=$D5,CF$2&lt;=$E5),1,"")))</f>
        <v/>
      </c>
      <c r="CG5" s="55" t="str">
        <f aca="false">IF(OR(CG$2="",$D5=""),"",IF(IF(ISNUMBER($F5),AND(CG$2&gt;=$F5,CG$2&lt;=IF(ISNUMBER($G5),$G5,$F5+$E5-$D5)),FALSE()),2,IF(AND(CG$2&gt;=$D5,CG$2&lt;=$E5),1,"")))</f>
        <v/>
      </c>
      <c r="CH5" s="55" t="str">
        <f aca="false">IF(OR(CH$2="",$D5=""),"",IF(IF(ISNUMBER($F5),AND(CH$2&gt;=$F5,CH$2&lt;=IF(ISNUMBER($G5),$G5,$F5+$E5-$D5)),FALSE()),2,IF(AND(CH$2&gt;=$D5,CH$2&lt;=$E5),1,"")))</f>
        <v/>
      </c>
      <c r="CI5" s="55" t="str">
        <f aca="false">IF(OR(CI$2="",$D5=""),"",IF(IF(ISNUMBER($F5),AND(CI$2&gt;=$F5,CI$2&lt;=IF(ISNUMBER($G5),$G5,$F5+$E5-$D5)),FALSE()),2,IF(AND(CI$2&gt;=$D5,CI$2&lt;=$E5),1,"")))</f>
        <v/>
      </c>
      <c r="CJ5" s="55" t="str">
        <f aca="false">IF(OR(CJ$2="",$D5=""),"",IF(IF(ISNUMBER($F5),AND(CJ$2&gt;=$F5,CJ$2&lt;=IF(ISNUMBER($G5),$G5,$F5+$E5-$D5)),FALSE()),2,IF(AND(CJ$2&gt;=$D5,CJ$2&lt;=$E5),1,"")))</f>
        <v/>
      </c>
      <c r="CK5" s="55" t="str">
        <f aca="false">IF(OR(CK$2="",$D5=""),"",IF(IF(ISNUMBER($F5),AND(CK$2&gt;=$F5,CK$2&lt;=IF(ISNUMBER($G5),$G5,$F5+$E5-$D5)),FALSE()),2,IF(AND(CK$2&gt;=$D5,CK$2&lt;=$E5),1,"")))</f>
        <v/>
      </c>
      <c r="CL5" s="55" t="str">
        <f aca="false">IF(OR(CL$2="",$D5=""),"",IF(IF(ISNUMBER($F5),AND(CL$2&gt;=$F5,CL$2&lt;=IF(ISNUMBER($G5),$G5,$F5+$E5-$D5)),FALSE()),2,IF(AND(CL$2&gt;=$D5,CL$2&lt;=$E5),1,"")))</f>
        <v/>
      </c>
      <c r="CM5" s="55" t="str">
        <f aca="false">IF(OR(CM$2="",$D5=""),"",IF(IF(ISNUMBER($F5),AND(CM$2&gt;=$F5,CM$2&lt;=IF(ISNUMBER($G5),$G5,$F5+$E5-$D5)),FALSE()),2,IF(AND(CM$2&gt;=$D5,CM$2&lt;=$E5),1,"")))</f>
        <v/>
      </c>
      <c r="CN5" s="55" t="str">
        <f aca="false">IF(OR(CN$2="",$D5=""),"",IF(IF(ISNUMBER($F5),AND(CN$2&gt;=$F5,CN$2&lt;=IF(ISNUMBER($G5),$G5,$F5+$E5-$D5)),FALSE()),2,IF(AND(CN$2&gt;=$D5,CN$2&lt;=$E5),1,"")))</f>
        <v/>
      </c>
      <c r="CO5" s="55" t="str">
        <f aca="false">IF(OR(CO$2="",$D5=""),"",IF(IF(ISNUMBER($F5),AND(CO$2&gt;=$F5,CO$2&lt;=IF(ISNUMBER($G5),$G5,$F5+$E5-$D5)),FALSE()),2,IF(AND(CO$2&gt;=$D5,CO$2&lt;=$E5),1,"")))</f>
        <v/>
      </c>
      <c r="CP5" s="55" t="str">
        <f aca="false">IF(OR(CP$2="",$D5=""),"",IF(IF(ISNUMBER($F5),AND(CP$2&gt;=$F5,CP$2&lt;=IF(ISNUMBER($G5),$G5,$F5+$E5-$D5)),FALSE()),2,IF(AND(CP$2&gt;=$D5,CP$2&lt;=$E5),1,"")))</f>
        <v/>
      </c>
      <c r="CQ5" s="55" t="str">
        <f aca="false">IF(OR(CQ$2="",$D5=""),"",IF(IF(ISNUMBER($F5),AND(CQ$2&gt;=$F5,CQ$2&lt;=IF(ISNUMBER($G5),$G5,$F5+$E5-$D5)),FALSE()),2,IF(AND(CQ$2&gt;=$D5,CQ$2&lt;=$E5),1,"")))</f>
        <v/>
      </c>
      <c r="CR5" s="55" t="str">
        <f aca="false">IF(OR(CR$2="",$D5=""),"",IF(IF(ISNUMBER($F5),AND(CR$2&gt;=$F5,CR$2&lt;=IF(ISNUMBER($G5),$G5,$F5+$E5-$D5)),FALSE()),2,IF(AND(CR$2&gt;=$D5,CR$2&lt;=$E5),1,"")))</f>
        <v/>
      </c>
      <c r="CS5" s="55" t="str">
        <f aca="false">IF(OR(CS$2="",$D5=""),"",IF(IF(ISNUMBER($F5),AND(CS$2&gt;=$F5,CS$2&lt;=IF(ISNUMBER($G5),$G5,$F5+$E5-$D5)),FALSE()),2,IF(AND(CS$2&gt;=$D5,CS$2&lt;=$E5),1,"")))</f>
        <v/>
      </c>
      <c r="CT5" s="55" t="str">
        <f aca="false">IF(OR(CT$2="",$D5=""),"",IF(IF(ISNUMBER($F5),AND(CT$2&gt;=$F5,CT$2&lt;=IF(ISNUMBER($G5),$G5,$F5+$E5-$D5)),FALSE()),2,IF(AND(CT$2&gt;=$D5,CT$2&lt;=$E5),1,"")))</f>
        <v/>
      </c>
      <c r="CU5" s="55" t="str">
        <f aca="false">IF(OR(CU$2="",$D5=""),"",IF(IF(ISNUMBER($F5),AND(CU$2&gt;=$F5,CU$2&lt;=IF(ISNUMBER($G5),$G5,$F5+$E5-$D5)),FALSE()),2,IF(AND(CU$2&gt;=$D5,CU$2&lt;=$E5),1,"")))</f>
        <v/>
      </c>
      <c r="CV5" s="55" t="str">
        <f aca="false">IF(OR(CV$2="",$D5=""),"",IF(IF(ISNUMBER($F5),AND(CV$2&gt;=$F5,CV$2&lt;=IF(ISNUMBER($G5),$G5,$F5+$E5-$D5)),FALSE()),2,IF(AND(CV$2&gt;=$D5,CV$2&lt;=$E5),1,"")))</f>
        <v/>
      </c>
      <c r="CW5" s="55" t="str">
        <f aca="false">IF(OR(CW$2="",$D5=""),"",IF(IF(ISNUMBER($F5),AND(CW$2&gt;=$F5,CW$2&lt;=IF(ISNUMBER($G5),$G5,$F5+$E5-$D5)),FALSE()),2,IF(AND(CW$2&gt;=$D5,CW$2&lt;=$E5),1,"")))</f>
        <v/>
      </c>
      <c r="CX5" s="55" t="str">
        <f aca="false">IF(OR(CX$2="",$D5=""),"",IF(IF(ISNUMBER($F5),AND(CX$2&gt;=$F5,CX$2&lt;=IF(ISNUMBER($G5),$G5,$F5+$E5-$D5)),FALSE()),2,IF(AND(CX$2&gt;=$D5,CX$2&lt;=$E5),1,"")))</f>
        <v/>
      </c>
      <c r="CY5" s="55" t="str">
        <f aca="false">IF(OR(CY$2="",$D5=""),"",IF(IF(ISNUMBER($F5),AND(CY$2&gt;=$F5,CY$2&lt;=IF(ISNUMBER($G5),$G5,$F5+$E5-$D5)),FALSE()),2,IF(AND(CY$2&gt;=$D5,CY$2&lt;=$E5),1,"")))</f>
        <v/>
      </c>
      <c r="CZ5" s="55" t="str">
        <f aca="false">IF(OR(CZ$2="",$D5=""),"",IF(IF(ISNUMBER($F5),AND(CZ$2&gt;=$F5,CZ$2&lt;=IF(ISNUMBER($G5),$G5,$F5+$E5-$D5)),FALSE()),2,IF(AND(CZ$2&gt;=$D5,CZ$2&lt;=$E5),1,"")))</f>
        <v/>
      </c>
      <c r="DA5" s="55" t="str">
        <f aca="false">IF(OR(DA$2="",$D5=""),"",IF(IF(ISNUMBER($F5),AND(DA$2&gt;=$F5,DA$2&lt;=IF(ISNUMBER($G5),$G5,$F5+$E5-$D5)),FALSE()),2,IF(AND(DA$2&gt;=$D5,DA$2&lt;=$E5),1,"")))</f>
        <v/>
      </c>
      <c r="DB5" s="55" t="str">
        <f aca="false">IF(OR(DB$2="",$D5=""),"",IF(IF(ISNUMBER($F5),AND(DB$2&gt;=$F5,DB$2&lt;=IF(ISNUMBER($G5),$G5,$F5+$E5-$D5)),FALSE()),2,IF(AND(DB$2&gt;=$D5,DB$2&lt;=$E5),1,"")))</f>
        <v/>
      </c>
      <c r="DC5" s="55" t="str">
        <f aca="false">IF(OR(DC$2="",$D5=""),"",IF(IF(ISNUMBER($F5),AND(DC$2&gt;=$F5,DC$2&lt;=IF(ISNUMBER($G5),$G5,$F5+$E5-$D5)),FALSE()),2,IF(AND(DC$2&gt;=$D5,DC$2&lt;=$E5),1,"")))</f>
        <v/>
      </c>
      <c r="DD5" s="55" t="str">
        <f aca="false">IF(OR(DD$2="",$D5=""),"",IF(IF(ISNUMBER($F5),AND(DD$2&gt;=$F5,DD$2&lt;=IF(ISNUMBER($G5),$G5,$F5+$E5-$D5)),FALSE()),2,IF(AND(DD$2&gt;=$D5,DD$2&lt;=$E5),1,"")))</f>
        <v/>
      </c>
      <c r="DE5" s="55" t="str">
        <f aca="false">IF(OR(DE$2="",$D5=""),"",IF(IF(ISNUMBER($F5),AND(DE$2&gt;=$F5,DE$2&lt;=IF(ISNUMBER($G5),$G5,$F5+$E5-$D5)),FALSE()),2,IF(AND(DE$2&gt;=$D5,DE$2&lt;=$E5),1,"")))</f>
        <v/>
      </c>
      <c r="DF5" s="55" t="str">
        <f aca="false">IF(OR(DF$2="",$D5=""),"",IF(IF(ISNUMBER($F5),AND(DF$2&gt;=$F5,DF$2&lt;=IF(ISNUMBER($G5),$G5,$F5+$E5-$D5)),FALSE()),2,IF(AND(DF$2&gt;=$D5,DF$2&lt;=$E5),1,"")))</f>
        <v/>
      </c>
      <c r="DG5" s="55" t="str">
        <f aca="false">IF(OR(DG$2="",$D5=""),"",IF(IF(ISNUMBER($F5),AND(DG$2&gt;=$F5,DG$2&lt;=IF(ISNUMBER($G5),$G5,$F5+$E5-$D5)),FALSE()),2,IF(AND(DG$2&gt;=$D5,DG$2&lt;=$E5),1,"")))</f>
        <v/>
      </c>
      <c r="DH5" s="55" t="str">
        <f aca="false">IF(OR(DH$2="",$D5=""),"",IF(IF(ISNUMBER($F5),AND(DH$2&gt;=$F5,DH$2&lt;=IF(ISNUMBER($G5),$G5,$F5+$E5-$D5)),FALSE()),2,IF(AND(DH$2&gt;=$D5,DH$2&lt;=$E5),1,"")))</f>
        <v/>
      </c>
      <c r="DI5" s="55" t="str">
        <f aca="false">IF(OR(DI$2="",$D5=""),"",IF(IF(ISNUMBER($F5),AND(DI$2&gt;=$F5,DI$2&lt;=IF(ISNUMBER($G5),$G5,$F5+$E5-$D5)),FALSE()),2,IF(AND(DI$2&gt;=$D5,DI$2&lt;=$E5),1,"")))</f>
        <v/>
      </c>
      <c r="DJ5" s="55" t="str">
        <f aca="false">IF(OR(DJ$2="",$D5=""),"",IF(IF(ISNUMBER($F5),AND(DJ$2&gt;=$F5,DJ$2&lt;=IF(ISNUMBER($G5),$G5,$F5+$E5-$D5)),FALSE()),2,IF(AND(DJ$2&gt;=$D5,DJ$2&lt;=$E5),1,"")))</f>
        <v/>
      </c>
      <c r="DK5" s="55" t="str">
        <f aca="false">IF(OR(DK$2="",$D5=""),"",IF(IF(ISNUMBER($F5),AND(DK$2&gt;=$F5,DK$2&lt;=IF(ISNUMBER($G5),$G5,$F5+$E5-$D5)),FALSE()),2,IF(AND(DK$2&gt;=$D5,DK$2&lt;=$E5),1,"")))</f>
        <v/>
      </c>
      <c r="DL5" s="55" t="str">
        <f aca="false">IF(OR(DL$2="",$D5=""),"",IF(IF(ISNUMBER($F5),AND(DL$2&gt;=$F5,DL$2&lt;=IF(ISNUMBER($G5),$G5,$F5+$E5-$D5)),FALSE()),2,IF(AND(DL$2&gt;=$D5,DL$2&lt;=$E5),1,"")))</f>
        <v/>
      </c>
      <c r="DM5" s="55" t="str">
        <f aca="false">IF(OR(DM$2="",$D5=""),"",IF(IF(ISNUMBER($F5),AND(DM$2&gt;=$F5,DM$2&lt;=IF(ISNUMBER($G5),$G5,$F5+$E5-$D5)),FALSE()),2,IF(AND(DM$2&gt;=$D5,DM$2&lt;=$E5),1,"")))</f>
        <v/>
      </c>
      <c r="DN5" s="55" t="str">
        <f aca="false">IF(OR(DN$2="",$D5=""),"",IF(IF(ISNUMBER($F5),AND(DN$2&gt;=$F5,DN$2&lt;=IF(ISNUMBER($G5),$G5,$F5+$E5-$D5)),FALSE()),2,IF(AND(DN$2&gt;=$D5,DN$2&lt;=$E5),1,"")))</f>
        <v/>
      </c>
      <c r="DO5" s="55" t="str">
        <f aca="false">IF(OR(DO$2="",$D5=""),"",IF(IF(ISNUMBER($F5),AND(DO$2&gt;=$F5,DO$2&lt;=IF(ISNUMBER($G5),$G5,$F5+$E5-$D5)),FALSE()),2,IF(AND(DO$2&gt;=$D5,DO$2&lt;=$E5),1,"")))</f>
        <v/>
      </c>
      <c r="DP5" s="55" t="str">
        <f aca="false">IF(OR(DP$2="",$D5=""),"",IF(IF(ISNUMBER($F5),AND(DP$2&gt;=$F5,DP$2&lt;=IF(ISNUMBER($G5),$G5,$F5+$E5-$D5)),FALSE()),2,IF(AND(DP$2&gt;=$D5,DP$2&lt;=$E5),1,"")))</f>
        <v/>
      </c>
      <c r="DQ5" s="55" t="str">
        <f aca="false">IF(OR(DQ$2="",$D5=""),"",IF(IF(ISNUMBER($F5),AND(DQ$2&gt;=$F5,DQ$2&lt;=IF(ISNUMBER($G5),$G5,$F5+$E5-$D5)),FALSE()),2,IF(AND(DQ$2&gt;=$D5,DQ$2&lt;=$E5),1,"")))</f>
        <v/>
      </c>
      <c r="DR5" s="55" t="str">
        <f aca="false">IF(OR(DR$2="",$D5=""),"",IF(IF(ISNUMBER($F5),AND(DR$2&gt;=$F5,DR$2&lt;=IF(ISNUMBER($G5),$G5,$F5+$E5-$D5)),FALSE()),2,IF(AND(DR$2&gt;=$D5,DR$2&lt;=$E5),1,"")))</f>
        <v/>
      </c>
      <c r="DS5" s="55" t="str">
        <f aca="false">IF(OR(DS$2="",$D5=""),"",IF(IF(ISNUMBER($F5),AND(DS$2&gt;=$F5,DS$2&lt;=IF(ISNUMBER($G5),$G5,$F5+$E5-$D5)),FALSE()),2,IF(AND(DS$2&gt;=$D5,DS$2&lt;=$E5),1,"")))</f>
        <v/>
      </c>
      <c r="DT5" s="55" t="str">
        <f aca="false">IF(OR(DT$2="",$D5=""),"",IF(IF(ISNUMBER($F5),AND(DT$2&gt;=$F5,DT$2&lt;=IF(ISNUMBER($G5),$G5,$F5+$E5-$D5)),FALSE()),2,IF(AND(DT$2&gt;=$D5,DT$2&lt;=$E5),1,"")))</f>
        <v/>
      </c>
      <c r="DU5" s="55" t="str">
        <f aca="false">IF(OR(DU$2="",$D5=""),"",IF(IF(ISNUMBER($F5),AND(DU$2&gt;=$F5,DU$2&lt;=IF(ISNUMBER($G5),$G5,$F5+$E5-$D5)),FALSE()),2,IF(AND(DU$2&gt;=$D5,DU$2&lt;=$E5),1,"")))</f>
        <v/>
      </c>
      <c r="DV5" s="55" t="str">
        <f aca="false">IF(OR(DV$2="",$D5=""),"",IF(IF(ISNUMBER($F5),AND(DV$2&gt;=$F5,DV$2&lt;=IF(ISNUMBER($G5),$G5,$F5+$E5-$D5)),FALSE()),2,IF(AND(DV$2&gt;=$D5,DV$2&lt;=$E5),1,"")))</f>
        <v/>
      </c>
      <c r="DW5" s="55" t="str">
        <f aca="false">IF(OR(DW$2="",$D5=""),"",IF(IF(ISNUMBER($F5),AND(DW$2&gt;=$F5,DW$2&lt;=IF(ISNUMBER($G5),$G5,$F5+$E5-$D5)),FALSE()),2,IF(AND(DW$2&gt;=$D5,DW$2&lt;=$E5),1,"")))</f>
        <v/>
      </c>
      <c r="DX5" s="55" t="str">
        <f aca="false">IF(OR(DX$2="",$D5=""),"",IF(IF(ISNUMBER($F5),AND(DX$2&gt;=$F5,DX$2&lt;=IF(ISNUMBER($G5),$G5,$F5+$E5-$D5)),FALSE()),2,IF(AND(DX$2&gt;=$D5,DX$2&lt;=$E5),1,"")))</f>
        <v/>
      </c>
      <c r="DY5" s="55" t="str">
        <f aca="false">IF(OR(DY$2="",$D5=""),"",IF(IF(ISNUMBER($F5),AND(DY$2&gt;=$F5,DY$2&lt;=IF(ISNUMBER($G5),$G5,$F5+$E5-$D5)),FALSE()),2,IF(AND(DY$2&gt;=$D5,DY$2&lt;=$E5),1,"")))</f>
        <v/>
      </c>
      <c r="DZ5" s="55" t="str">
        <f aca="false">IF(OR(DZ$2="",$D5=""),"",IF(IF(ISNUMBER($F5),AND(DZ$2&gt;=$F5,DZ$2&lt;=IF(ISNUMBER($G5),$G5,$F5+$E5-$D5)),FALSE()),2,IF(AND(DZ$2&gt;=$D5,DZ$2&lt;=$E5),1,"")))</f>
        <v/>
      </c>
      <c r="EA5" s="55" t="str">
        <f aca="false">IF(OR(EA$2="",$D5=""),"",IF(IF(ISNUMBER($F5),AND(EA$2&gt;=$F5,EA$2&lt;=IF(ISNUMBER($G5),$G5,$F5+$E5-$D5)),FALSE()),2,IF(AND(EA$2&gt;=$D5,EA$2&lt;=$E5),1,"")))</f>
        <v/>
      </c>
      <c r="EB5" s="55" t="str">
        <f aca="false">IF(OR(EB$2="",$D5=""),"",IF(IF(ISNUMBER($F5),AND(EB$2&gt;=$F5,EB$2&lt;=IF(ISNUMBER($G5),$G5,$F5+$E5-$D5)),FALSE()),2,IF(AND(EB$2&gt;=$D5,EB$2&lt;=$E5),1,"")))</f>
        <v/>
      </c>
      <c r="EC5" s="55" t="str">
        <f aca="false">IF(OR(EC$2="",$D5=""),"",IF(IF(ISNUMBER($F5),AND(EC$2&gt;=$F5,EC$2&lt;=IF(ISNUMBER($G5),$G5,$F5+$E5-$D5)),FALSE()),2,IF(AND(EC$2&gt;=$D5,EC$2&lt;=$E5),1,"")))</f>
        <v/>
      </c>
      <c r="ED5" s="55" t="str">
        <f aca="false">IF(OR(ED$2="",$D5=""),"",IF(IF(ISNUMBER($F5),AND(ED$2&gt;=$F5,ED$2&lt;=IF(ISNUMBER($G5),$G5,$F5+$E5-$D5)),FALSE()),2,IF(AND(ED$2&gt;=$D5,ED$2&lt;=$E5),1,"")))</f>
        <v/>
      </c>
      <c r="EE5" s="55" t="str">
        <f aca="false">IF(OR(EE$2="",$D5=""),"",IF(IF(ISNUMBER($F5),AND(EE$2&gt;=$F5,EE$2&lt;=IF(ISNUMBER($G5),$G5,$F5+$E5-$D5)),FALSE()),2,IF(AND(EE$2&gt;=$D5,EE$2&lt;=$E5),1,"")))</f>
        <v/>
      </c>
      <c r="EF5" s="55" t="str">
        <f aca="false">IF(OR(EF$2="",$D5=""),"",IF(IF(ISNUMBER($F5),AND(EF$2&gt;=$F5,EF$2&lt;=IF(ISNUMBER($G5),$G5,$F5+$E5-$D5)),FALSE()),2,IF(AND(EF$2&gt;=$D5,EF$2&lt;=$E5),1,"")))</f>
        <v/>
      </c>
      <c r="EG5" s="55" t="str">
        <f aca="false">IF(OR(EG$2="",$D5=""),"",IF(IF(ISNUMBER($F5),AND(EG$2&gt;=$F5,EG$2&lt;=IF(ISNUMBER($G5),$G5,$F5+$E5-$D5)),FALSE()),2,IF(AND(EG$2&gt;=$D5,EG$2&lt;=$E5),1,"")))</f>
        <v/>
      </c>
      <c r="EH5" s="55" t="str">
        <f aca="false">IF(OR(EH$2="",$D5=""),"",IF(IF(ISNUMBER($F5),AND(EH$2&gt;=$F5,EH$2&lt;=IF(ISNUMBER($G5),$G5,$F5+$E5-$D5)),FALSE()),2,IF(AND(EH$2&gt;=$D5,EH$2&lt;=$E5),1,"")))</f>
        <v/>
      </c>
      <c r="EI5" s="55" t="str">
        <f aca="false">IF(OR(EI$2="",$D5=""),"",IF(IF(ISNUMBER($F5),AND(EI$2&gt;=$F5,EI$2&lt;=IF(ISNUMBER($G5),$G5,$F5+$E5-$D5)),FALSE()),2,IF(AND(EI$2&gt;=$D5,EI$2&lt;=$E5),1,"")))</f>
        <v/>
      </c>
      <c r="EJ5" s="55" t="str">
        <f aca="false">IF(OR(EJ$2="",$D5=""),"",IF(IF(ISNUMBER($F5),AND(EJ$2&gt;=$F5,EJ$2&lt;=IF(ISNUMBER($G5),$G5,$F5+$E5-$D5)),FALSE()),2,IF(AND(EJ$2&gt;=$D5,EJ$2&lt;=$E5),1,"")))</f>
        <v/>
      </c>
      <c r="EK5" s="55" t="str">
        <f aca="false">IF(OR(EK$2="",$D5=""),"",IF(IF(ISNUMBER($F5),AND(EK$2&gt;=$F5,EK$2&lt;=IF(ISNUMBER($G5),$G5,$F5+$E5-$D5)),FALSE()),2,IF(AND(EK$2&gt;=$D5,EK$2&lt;=$E5),1,"")))</f>
        <v/>
      </c>
      <c r="EL5" s="55" t="str">
        <f aca="false">IF(OR(EL$2="",$D5=""),"",IF(IF(ISNUMBER($F5),AND(EL$2&gt;=$F5,EL$2&lt;=IF(ISNUMBER($G5),$G5,$F5+$E5-$D5)),FALSE()),2,IF(AND(EL$2&gt;=$D5,EL$2&lt;=$E5),1,"")))</f>
        <v/>
      </c>
      <c r="EM5" s="55" t="str">
        <f aca="false">IF(OR(EM$2="",$D5=""),"",IF(IF(ISNUMBER($F5),AND(EM$2&gt;=$F5,EM$2&lt;=IF(ISNUMBER($G5),$G5,$F5+$E5-$D5)),FALSE()),2,IF(AND(EM$2&gt;=$D5,EM$2&lt;=$E5),1,"")))</f>
        <v/>
      </c>
      <c r="EN5" s="55" t="str">
        <f aca="false">IF(OR(EN$2="",$D5=""),"",IF(IF(ISNUMBER($F5),AND(EN$2&gt;=$F5,EN$2&lt;=IF(ISNUMBER($G5),$G5,$F5+$E5-$D5)),FALSE()),2,IF(AND(EN$2&gt;=$D5,EN$2&lt;=$E5),1,"")))</f>
        <v/>
      </c>
      <c r="EO5" s="55" t="str">
        <f aca="false">IF(OR(EO$2="",$D5=""),"",IF(IF(ISNUMBER($F5),AND(EO$2&gt;=$F5,EO$2&lt;=IF(ISNUMBER($G5),$G5,$F5+$E5-$D5)),FALSE()),2,IF(AND(EO$2&gt;=$D5,EO$2&lt;=$E5),1,"")))</f>
        <v/>
      </c>
      <c r="EP5" s="55" t="str">
        <f aca="false">IF(OR(EP$2="",$D5=""),"",IF(IF(ISNUMBER($F5),AND(EP$2&gt;=$F5,EP$2&lt;=IF(ISNUMBER($G5),$G5,$F5+$E5-$D5)),FALSE()),2,IF(AND(EP$2&gt;=$D5,EP$2&lt;=$E5),1,"")))</f>
        <v/>
      </c>
      <c r="EQ5" s="55" t="str">
        <f aca="false">IF(OR(EQ$2="",$D5=""),"",IF(IF(ISNUMBER($F5),AND(EQ$2&gt;=$F5,EQ$2&lt;=IF(ISNUMBER($G5),$G5,$F5+$E5-$D5)),FALSE()),2,IF(AND(EQ$2&gt;=$D5,EQ$2&lt;=$E5),1,"")))</f>
        <v/>
      </c>
      <c r="ER5" s="55" t="str">
        <f aca="false">IF(OR(ER$2="",$D5=""),"",IF(IF(ISNUMBER($F5),AND(ER$2&gt;=$F5,ER$2&lt;=IF(ISNUMBER($G5),$G5,$F5+$E5-$D5)),FALSE()),2,IF(AND(ER$2&gt;=$D5,ER$2&lt;=$E5),1,"")))</f>
        <v/>
      </c>
      <c r="ES5" s="55" t="str">
        <f aca="false">IF(OR(ES$2="",$D5=""),"",IF(IF(ISNUMBER($F5),AND(ES$2&gt;=$F5,ES$2&lt;=IF(ISNUMBER($G5),$G5,$F5+$E5-$D5)),FALSE()),2,IF(AND(ES$2&gt;=$D5,ES$2&lt;=$E5),1,"")))</f>
        <v/>
      </c>
      <c r="ET5" s="55" t="str">
        <f aca="false">IF(OR(ET$2="",$D5=""),"",IF(IF(ISNUMBER($F5),AND(ET$2&gt;=$F5,ET$2&lt;=IF(ISNUMBER($G5),$G5,$F5+$E5-$D5)),FALSE()),2,IF(AND(ET$2&gt;=$D5,ET$2&lt;=$E5),1,"")))</f>
        <v/>
      </c>
      <c r="EU5" s="55" t="str">
        <f aca="false">IF(OR(EU$2="",$D5=""),"",IF(IF(ISNUMBER($F5),AND(EU$2&gt;=$F5,EU$2&lt;=IF(ISNUMBER($G5),$G5,$F5+$E5-$D5)),FALSE()),2,IF(AND(EU$2&gt;=$D5,EU$2&lt;=$E5),1,"")))</f>
        <v/>
      </c>
      <c r="EV5" s="55" t="str">
        <f aca="false">IF(OR(EV$2="",$D5=""),"",IF(IF(ISNUMBER($F5),AND(EV$2&gt;=$F5,EV$2&lt;=IF(ISNUMBER($G5),$G5,$F5+$E5-$D5)),FALSE()),2,IF(AND(EV$2&gt;=$D5,EV$2&lt;=$E5),1,"")))</f>
        <v/>
      </c>
      <c r="EW5" s="55" t="str">
        <f aca="false">IF(OR(EW$2="",$D5=""),"",IF(IF(ISNUMBER($F5),AND(EW$2&gt;=$F5,EW$2&lt;=IF(ISNUMBER($G5),$G5,$F5+$E5-$D5)),FALSE()),2,IF(AND(EW$2&gt;=$D5,EW$2&lt;=$E5),1,"")))</f>
        <v/>
      </c>
      <c r="EX5" s="55" t="str">
        <f aca="false">IF(OR(EX$2="",$D5=""),"",IF(IF(ISNUMBER($F5),AND(EX$2&gt;=$F5,EX$2&lt;=IF(ISNUMBER($G5),$G5,$F5+$E5-$D5)),FALSE()),2,IF(AND(EX$2&gt;=$D5,EX$2&lt;=$E5),1,"")))</f>
        <v/>
      </c>
      <c r="EY5" s="55" t="str">
        <f aca="false">IF(OR(EY$2="",$D5=""),"",IF(IF(ISNUMBER($F5),AND(EY$2&gt;=$F5,EY$2&lt;=IF(ISNUMBER($G5),$G5,$F5+$E5-$D5)),FALSE()),2,IF(AND(EY$2&gt;=$D5,EY$2&lt;=$E5),1,"")))</f>
        <v/>
      </c>
      <c r="EZ5" s="55" t="str">
        <f aca="false">IF(OR(EZ$2="",$D5=""),"",IF(IF(ISNUMBER($F5),AND(EZ$2&gt;=$F5,EZ$2&lt;=IF(ISNUMBER($G5),$G5,$F5+$E5-$D5)),FALSE()),2,IF(AND(EZ$2&gt;=$D5,EZ$2&lt;=$E5),1,"")))</f>
        <v/>
      </c>
      <c r="FA5" s="55" t="str">
        <f aca="false">IF(OR(FA$2="",$D5=""),"",IF(IF(ISNUMBER($F5),AND(FA$2&gt;=$F5,FA$2&lt;=IF(ISNUMBER($G5),$G5,$F5+$E5-$D5)),FALSE()),2,IF(AND(FA$2&gt;=$D5,FA$2&lt;=$E5),1,"")))</f>
        <v/>
      </c>
      <c r="FB5" s="55" t="str">
        <f aca="false">IF(OR(FB$2="",$D5=""),"",IF(IF(ISNUMBER($F5),AND(FB$2&gt;=$F5,FB$2&lt;=IF(ISNUMBER($G5),$G5,$F5+$E5-$D5)),FALSE()),2,IF(AND(FB$2&gt;=$D5,FB$2&lt;=$E5),1,"")))</f>
        <v/>
      </c>
      <c r="FC5" s="55" t="str">
        <f aca="false">IF(OR(FC$2="",$D5=""),"",IF(IF(ISNUMBER($F5),AND(FC$2&gt;=$F5,FC$2&lt;=IF(ISNUMBER($G5),$G5,$F5+$E5-$D5)),FALSE()),2,IF(AND(FC$2&gt;=$D5,FC$2&lt;=$E5),1,"")))</f>
        <v/>
      </c>
      <c r="FD5" s="55" t="str">
        <f aca="false">IF(OR(FD$2="",$D5=""),"",IF(IF(ISNUMBER($F5),AND(FD$2&gt;=$F5,FD$2&lt;=IF(ISNUMBER($G5),$G5,$F5+$E5-$D5)),FALSE()),2,IF(AND(FD$2&gt;=$D5,FD$2&lt;=$E5),1,"")))</f>
        <v/>
      </c>
      <c r="FE5" s="55" t="str">
        <f aca="false">IF(OR(FE$2="",$D5=""),"",IF(IF(ISNUMBER($F5),AND(FE$2&gt;=$F5,FE$2&lt;=IF(ISNUMBER($G5),$G5,$F5+$E5-$D5)),FALSE()),2,IF(AND(FE$2&gt;=$D5,FE$2&lt;=$E5),1,"")))</f>
        <v/>
      </c>
      <c r="FF5" s="55" t="str">
        <f aca="false">IF(OR(FF$2="",$D5=""),"",IF(IF(ISNUMBER($F5),AND(FF$2&gt;=$F5,FF$2&lt;=IF(ISNUMBER($G5),$G5,$F5+$E5-$D5)),FALSE()),2,IF(AND(FF$2&gt;=$D5,FF$2&lt;=$E5),1,"")))</f>
        <v/>
      </c>
      <c r="FG5" s="55" t="str">
        <f aca="false">IF(OR(FG$2="",$D5=""),"",IF(IF(ISNUMBER($F5),AND(FG$2&gt;=$F5,FG$2&lt;=IF(ISNUMBER($G5),$G5,$F5+$E5-$D5)),FALSE()),2,IF(AND(FG$2&gt;=$D5,FG$2&lt;=$E5),1,"")))</f>
        <v/>
      </c>
      <c r="FH5" s="55" t="str">
        <f aca="false">IF(OR(FH$2="",$D5=""),"",IF(IF(ISNUMBER($F5),AND(FH$2&gt;=$F5,FH$2&lt;=IF(ISNUMBER($G5),$G5,$F5+$E5-$D5)),FALSE()),2,IF(AND(FH$2&gt;=$D5,FH$2&lt;=$E5),1,"")))</f>
        <v/>
      </c>
      <c r="FI5" s="55" t="str">
        <f aca="false">IF(OR(FI$2="",$D5=""),"",IF(IF(ISNUMBER($F5),AND(FI$2&gt;=$F5,FI$2&lt;=IF(ISNUMBER($G5),$G5,$F5+$E5-$D5)),FALSE()),2,IF(AND(FI$2&gt;=$D5,FI$2&lt;=$E5),1,"")))</f>
        <v/>
      </c>
      <c r="FJ5" s="55" t="str">
        <f aca="false">IF(OR(FJ$2="",$D5=""),"",IF(IF(ISNUMBER($F5),AND(FJ$2&gt;=$F5,FJ$2&lt;=IF(ISNUMBER($G5),$G5,$F5+$E5-$D5)),FALSE()),2,IF(AND(FJ$2&gt;=$D5,FJ$2&lt;=$E5),1,"")))</f>
        <v/>
      </c>
      <c r="FK5" s="55" t="str">
        <f aca="false">IF(OR(FK$2="",$D5=""),"",IF(IF(ISNUMBER($F5),AND(FK$2&gt;=$F5,FK$2&lt;=IF(ISNUMBER($G5),$G5,$F5+$E5-$D5)),FALSE()),2,IF(AND(FK$2&gt;=$D5,FK$2&lt;=$E5),1,"")))</f>
        <v/>
      </c>
      <c r="FL5" s="55" t="str">
        <f aca="false">IF(OR(FL$2="",$D5=""),"",IF(IF(ISNUMBER($F5),AND(FL$2&gt;=$F5,FL$2&lt;=IF(ISNUMBER($G5),$G5,$F5+$E5-$D5)),FALSE()),2,IF(AND(FL$2&gt;=$D5,FL$2&lt;=$E5),1,"")))</f>
        <v/>
      </c>
      <c r="FM5" s="55" t="str">
        <f aca="false">IF(OR(FM$2="",$D5=""),"",IF(IF(ISNUMBER($F5),AND(FM$2&gt;=$F5,FM$2&lt;=IF(ISNUMBER($G5),$G5,$F5+$E5-$D5)),FALSE()),2,IF(AND(FM$2&gt;=$D5,FM$2&lt;=$E5),1,"")))</f>
        <v/>
      </c>
      <c r="FN5" s="55" t="str">
        <f aca="false">IF(OR(FN$2="",$D5=""),"",IF(IF(ISNUMBER($F5),AND(FN$2&gt;=$F5,FN$2&lt;=IF(ISNUMBER($G5),$G5,$F5+$E5-$D5)),FALSE()),2,IF(AND(FN$2&gt;=$D5,FN$2&lt;=$E5),1,"")))</f>
        <v/>
      </c>
      <c r="FO5" s="55" t="str">
        <f aca="false">IF(OR(FO$2="",$D5=""),"",IF(IF(ISNUMBER($F5),AND(FO$2&gt;=$F5,FO$2&lt;=IF(ISNUMBER($G5),$G5,$F5+$E5-$D5)),FALSE()),2,IF(AND(FO$2&gt;=$D5,FO$2&lt;=$E5),1,"")))</f>
        <v/>
      </c>
      <c r="FP5" s="55" t="str">
        <f aca="false">IF(OR(FP$2="",$D5=""),"",IF(IF(ISNUMBER($F5),AND(FP$2&gt;=$F5,FP$2&lt;=IF(ISNUMBER($G5),$G5,$F5+$E5-$D5)),FALSE()),2,IF(AND(FP$2&gt;=$D5,FP$2&lt;=$E5),1,"")))</f>
        <v/>
      </c>
      <c r="FQ5" s="55" t="str">
        <f aca="false">IF(OR(FQ$2="",$D5=""),"",IF(IF(ISNUMBER($F5),AND(FQ$2&gt;=$F5,FQ$2&lt;=IF(ISNUMBER($G5),$G5,$F5+$E5-$D5)),FALSE()),2,IF(AND(FQ$2&gt;=$D5,FQ$2&lt;=$E5),1,"")))</f>
        <v/>
      </c>
      <c r="FR5" s="55" t="str">
        <f aca="false">IF(OR(FR$2="",$D5=""),"",IF(IF(ISNUMBER($F5),AND(FR$2&gt;=$F5,FR$2&lt;=IF(ISNUMBER($G5),$G5,$F5+$E5-$D5)),FALSE()),2,IF(AND(FR$2&gt;=$D5,FR$2&lt;=$E5),1,"")))</f>
        <v/>
      </c>
      <c r="FS5" s="55" t="str">
        <f aca="false">IF(OR(FS$2="",$D5=""),"",IF(IF(ISNUMBER($F5),AND(FS$2&gt;=$F5,FS$2&lt;=IF(ISNUMBER($G5),$G5,$F5+$E5-$D5)),FALSE()),2,IF(AND(FS$2&gt;=$D5,FS$2&lt;=$E5),1,"")))</f>
        <v/>
      </c>
      <c r="FT5" s="55" t="str">
        <f aca="false">IF(OR(FT$2="",$D5=""),"",IF(IF(ISNUMBER($F5),AND(FT$2&gt;=$F5,FT$2&lt;=IF(ISNUMBER($G5),$G5,$F5+$E5-$D5)),FALSE()),2,IF(AND(FT$2&gt;=$D5,FT$2&lt;=$E5),1,"")))</f>
        <v/>
      </c>
      <c r="FU5" s="55" t="str">
        <f aca="false">IF(OR(FU$2="",$D5=""),"",IF(IF(ISNUMBER($F5),AND(FU$2&gt;=$F5,FU$2&lt;=IF(ISNUMBER($G5),$G5,$F5+$E5-$D5)),FALSE()),2,IF(AND(FU$2&gt;=$D5,FU$2&lt;=$E5),1,"")))</f>
        <v/>
      </c>
      <c r="FV5" s="55" t="str">
        <f aca="false">IF(OR(FV$2="",$D5=""),"",IF(IF(ISNUMBER($F5),AND(FV$2&gt;=$F5,FV$2&lt;=IF(ISNUMBER($G5),$G5,$F5+$E5-$D5)),FALSE()),2,IF(AND(FV$2&gt;=$D5,FV$2&lt;=$E5),1,"")))</f>
        <v/>
      </c>
      <c r="FW5" s="55" t="str">
        <f aca="false">IF(OR(FW$2="",$D5=""),"",IF(IF(ISNUMBER($F5),AND(FW$2&gt;=$F5,FW$2&lt;=IF(ISNUMBER($G5),$G5,$F5+$E5-$D5)),FALSE()),2,IF(AND(FW$2&gt;=$D5,FW$2&lt;=$E5),1,"")))</f>
        <v/>
      </c>
      <c r="FX5" s="55" t="str">
        <f aca="false">IF(OR(FX$2="",$D5=""),"",IF(IF(ISNUMBER($F5),AND(FX$2&gt;=$F5,FX$2&lt;=IF(ISNUMBER($G5),$G5,$F5+$E5-$D5)),FALSE()),2,IF(AND(FX$2&gt;=$D5,FX$2&lt;=$E5),1,"")))</f>
        <v/>
      </c>
      <c r="FY5" s="55" t="str">
        <f aca="false">IF(OR(FY$2="",$D5=""),"",IF(IF(ISNUMBER($F5),AND(FY$2&gt;=$F5,FY$2&lt;=IF(ISNUMBER($G5),$G5,$F5+$E5-$D5)),FALSE()),2,IF(AND(FY$2&gt;=$D5,FY$2&lt;=$E5),1,"")))</f>
        <v/>
      </c>
      <c r="FZ5" s="55" t="str">
        <f aca="false">IF(OR(FZ$2="",$D5=""),"",IF(IF(ISNUMBER($F5),AND(FZ$2&gt;=$F5,FZ$2&lt;=IF(ISNUMBER($G5),$G5,$F5+$E5-$D5)),FALSE()),2,IF(AND(FZ$2&gt;=$D5,FZ$2&lt;=$E5),1,"")))</f>
        <v/>
      </c>
      <c r="GA5" s="55" t="str">
        <f aca="false">IF(OR(GA$2="",$D5=""),"",IF(IF(ISNUMBER($F5),AND(GA$2&gt;=$F5,GA$2&lt;=IF(ISNUMBER($G5),$G5,$F5+$E5-$D5)),FALSE()),2,IF(AND(GA$2&gt;=$D5,GA$2&lt;=$E5),1,"")))</f>
        <v/>
      </c>
      <c r="GB5" s="55" t="str">
        <f aca="false">IF(OR(GB$2="",$D5=""),"",IF(IF(ISNUMBER($F5),AND(GB$2&gt;=$F5,GB$2&lt;=IF(ISNUMBER($G5),$G5,$F5+$E5-$D5)),FALSE()),2,IF(AND(GB$2&gt;=$D5,GB$2&lt;=$E5),1,"")))</f>
        <v/>
      </c>
      <c r="GC5" s="55" t="str">
        <f aca="false">IF(OR(GC$2="",$D5=""),"",IF(IF(ISNUMBER($F5),AND(GC$2&gt;=$F5,GC$2&lt;=IF(ISNUMBER($G5),$G5,$F5+$E5-$D5)),FALSE()),2,IF(AND(GC$2&gt;=$D5,GC$2&lt;=$E5),1,"")))</f>
        <v/>
      </c>
      <c r="GD5" s="55" t="str">
        <f aca="false">IF(OR(GD$2="",$D5=""),"",IF(IF(ISNUMBER($F5),AND(GD$2&gt;=$F5,GD$2&lt;=IF(ISNUMBER($G5),$G5,$F5+$E5-$D5)),FALSE()),2,IF(AND(GD$2&gt;=$D5,GD$2&lt;=$E5),1,"")))</f>
        <v/>
      </c>
      <c r="GE5" s="55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false" outlineLevel="0" collapsed="false">
      <c r="A6" s="54" t="s">
        <v>213</v>
      </c>
      <c r="B6" s="21" t="s">
        <v>361</v>
      </c>
      <c r="C6" s="21" t="s">
        <v>83</v>
      </c>
      <c r="D6" s="51" t="n">
        <f aca="false">IF(ISNUMBER(SowDate),SowDate,"")</f>
        <v>45989</v>
      </c>
      <c r="E6" s="51" t="n">
        <f aca="false">IF(D6="","",D6)</f>
        <v>45989</v>
      </c>
      <c r="F6" s="51" t="n">
        <f aca="false">IF(_xlfn.MINIFS(2_Daily_input!$D$1:$FQ$1,2_Daily_input!$D$71:$FQ$71,"Sowing")+_xlfn.MINIFS(2_Daily_input!$D$1:$FQ$1,2_Daily_input!$D$72:$FQ$72,"Sowing")=0,"",IF(_xlfn.MINIFS(2_Daily_input!$D$1:$FQ$1,2_Daily_input!$D$71:$FQ$71,"Sowing")=0,_xlfn.MINIFS(2_Daily_input!$D$1:$FQ$1,2_Daily_input!$D$72:$FQ$72,"Sowing"),IF(_xlfn.MINIFS(2_Daily_input!$D$1:$FQ$1,2_Daily_input!$D$72:$FQ$72,"Sowing")=0,_xlfn.MINIFS(2_Daily_input!$D$1:$FQ$1,2_Daily_input!$D$71:$FQ$71,"Sowing"),MIN(_xlfn.MINIFS(2_Daily_input!$D$1:$FQ$1,2_Daily_input!$D$71:$FQ$71,"Sowing"),_xlfn.MINIFS(2_Daily_input!$D$1:$FQ$1,2_Daily_input!$D$72:$FQ$72,"Sowing")))))</f>
        <v>45989</v>
      </c>
      <c r="G6" s="51" t="str">
        <f aca="false">""</f>
        <v/>
      </c>
      <c r="H6" s="50" t="str">
        <f aca="true">IF(D6="","no plan",IF(F6&lt;&gt;"",IF(F6-D6&gt;=2,"LATE","OK"),IF(TODAY()&gt;D6+2,"OVERDUE","upcoming")))</f>
        <v>OK</v>
      </c>
      <c r="I6" s="50" t="n">
        <f aca="false">IF(AND(D6&lt;&gt;"",F6&lt;&gt;""),F6-D6,"")</f>
        <v>0</v>
      </c>
      <c r="J6" s="51" t="n">
        <f aca="false">IF(F6&lt;&gt;"",F6,D6)</f>
        <v>45989</v>
      </c>
      <c r="K6" s="51" t="n">
        <f aca="false">IF(G6&lt;&gt;"",G6,IF(AND(F6&lt;&gt;"",E6=D6),F6,E6))</f>
        <v>45989</v>
      </c>
      <c r="L6" s="50" t="str">
        <f aca="true">IF(AND(D6&lt;&gt;"",F6="",D6&gt;=TODAY()),D6+ROW()/1000,"")</f>
        <v/>
      </c>
      <c r="M6" s="55" t="str">
        <f aca="false">IF(OR(M$2="",$D6=""),"",IF(IF(ISNUMBER($F6),AND(M$2&gt;=$F6,M$2&lt;=IF(ISNUMBER($G6),$G6,$F6+$E6-$D6)),FALSE()),2,IF(AND(M$2&gt;=$D6,M$2&lt;=$E6),1,"")))</f>
        <v/>
      </c>
      <c r="N6" s="55" t="str">
        <f aca="false">IF(OR(N$2="",$D6=""),"",IF(IF(ISNUMBER($F6),AND(N$2&gt;=$F6,N$2&lt;=IF(ISNUMBER($G6),$G6,$F6+$E6-$D6)),FALSE()),2,IF(AND(N$2&gt;=$D6,N$2&lt;=$E6),1,"")))</f>
        <v/>
      </c>
      <c r="O6" s="55" t="str">
        <f aca="false">IF(OR(O$2="",$D6=""),"",IF(IF(ISNUMBER($F6),AND(O$2&gt;=$F6,O$2&lt;=IF(ISNUMBER($G6),$G6,$F6+$E6-$D6)),FALSE()),2,IF(AND(O$2&gt;=$D6,O$2&lt;=$E6),1,"")))</f>
        <v/>
      </c>
      <c r="P6" s="55" t="n">
        <f aca="false">IF(OR(P$2="",$D6=""),"",IF(IF(ISNUMBER($F6),AND(P$2&gt;=$F6,P$2&lt;=IF(ISNUMBER($G6),$G6,$F6+$E6-$D6)),FALSE()),2,IF(AND(P$2&gt;=$D6,P$2&lt;=$E6),1,"")))</f>
        <v>2</v>
      </c>
      <c r="Q6" s="55" t="str">
        <f aca="false">IF(OR(Q$2="",$D6=""),"",IF(IF(ISNUMBER($F6),AND(Q$2&gt;=$F6,Q$2&lt;=IF(ISNUMBER($G6),$G6,$F6+$E6-$D6)),FALSE()),2,IF(AND(Q$2&gt;=$D6,Q$2&lt;=$E6),1,"")))</f>
        <v/>
      </c>
      <c r="R6" s="55" t="str">
        <f aca="false">IF(OR(R$2="",$D6=""),"",IF(IF(ISNUMBER($F6),AND(R$2&gt;=$F6,R$2&lt;=IF(ISNUMBER($G6),$G6,$F6+$E6-$D6)),FALSE()),2,IF(AND(R$2&gt;=$D6,R$2&lt;=$E6),1,"")))</f>
        <v/>
      </c>
      <c r="S6" s="55" t="str">
        <f aca="false">IF(OR(S$2="",$D6=""),"",IF(IF(ISNUMBER($F6),AND(S$2&gt;=$F6,S$2&lt;=IF(ISNUMBER($G6),$G6,$F6+$E6-$D6)),FALSE()),2,IF(AND(S$2&gt;=$D6,S$2&lt;=$E6),1,"")))</f>
        <v/>
      </c>
      <c r="T6" s="55" t="str">
        <f aca="false">IF(OR(T$2="",$D6=""),"",IF(IF(ISNUMBER($F6),AND(T$2&gt;=$F6,T$2&lt;=IF(ISNUMBER($G6),$G6,$F6+$E6-$D6)),FALSE()),2,IF(AND(T$2&gt;=$D6,T$2&lt;=$E6),1,"")))</f>
        <v/>
      </c>
      <c r="U6" s="55" t="str">
        <f aca="false">IF(OR(U$2="",$D6=""),"",IF(IF(ISNUMBER($F6),AND(U$2&gt;=$F6,U$2&lt;=IF(ISNUMBER($G6),$G6,$F6+$E6-$D6)),FALSE()),2,IF(AND(U$2&gt;=$D6,U$2&lt;=$E6),1,"")))</f>
        <v/>
      </c>
      <c r="V6" s="55" t="str">
        <f aca="false">IF(OR(V$2="",$D6=""),"",IF(IF(ISNUMBER($F6),AND(V$2&gt;=$F6,V$2&lt;=IF(ISNUMBER($G6),$G6,$F6+$E6-$D6)),FALSE()),2,IF(AND(V$2&gt;=$D6,V$2&lt;=$E6),1,"")))</f>
        <v/>
      </c>
      <c r="W6" s="55" t="str">
        <f aca="false">IF(OR(W$2="",$D6=""),"",IF(IF(ISNUMBER($F6),AND(W$2&gt;=$F6,W$2&lt;=IF(ISNUMBER($G6),$G6,$F6+$E6-$D6)),FALSE()),2,IF(AND(W$2&gt;=$D6,W$2&lt;=$E6),1,"")))</f>
        <v/>
      </c>
      <c r="X6" s="55" t="str">
        <f aca="false">IF(OR(X$2="",$D6=""),"",IF(IF(ISNUMBER($F6),AND(X$2&gt;=$F6,X$2&lt;=IF(ISNUMBER($G6),$G6,$F6+$E6-$D6)),FALSE()),2,IF(AND(X$2&gt;=$D6,X$2&lt;=$E6),1,"")))</f>
        <v/>
      </c>
      <c r="Y6" s="55" t="str">
        <f aca="false">IF(OR(Y$2="",$D6=""),"",IF(IF(ISNUMBER($F6),AND(Y$2&gt;=$F6,Y$2&lt;=IF(ISNUMBER($G6),$G6,$F6+$E6-$D6)),FALSE()),2,IF(AND(Y$2&gt;=$D6,Y$2&lt;=$E6),1,"")))</f>
        <v/>
      </c>
      <c r="Z6" s="55" t="str">
        <f aca="false">IF(OR(Z$2="",$D6=""),"",IF(IF(ISNUMBER($F6),AND(Z$2&gt;=$F6,Z$2&lt;=IF(ISNUMBER($G6),$G6,$F6+$E6-$D6)),FALSE()),2,IF(AND(Z$2&gt;=$D6,Z$2&lt;=$E6),1,"")))</f>
        <v/>
      </c>
      <c r="AA6" s="55" t="str">
        <f aca="false">IF(OR(AA$2="",$D6=""),"",IF(IF(ISNUMBER($F6),AND(AA$2&gt;=$F6,AA$2&lt;=IF(ISNUMBER($G6),$G6,$F6+$E6-$D6)),FALSE()),2,IF(AND(AA$2&gt;=$D6,AA$2&lt;=$E6),1,"")))</f>
        <v/>
      </c>
      <c r="AB6" s="55" t="str">
        <f aca="false">IF(OR(AB$2="",$D6=""),"",IF(IF(ISNUMBER($F6),AND(AB$2&gt;=$F6,AB$2&lt;=IF(ISNUMBER($G6),$G6,$F6+$E6-$D6)),FALSE()),2,IF(AND(AB$2&gt;=$D6,AB$2&lt;=$E6),1,"")))</f>
        <v/>
      </c>
      <c r="AC6" s="55" t="str">
        <f aca="false">IF(OR(AC$2="",$D6=""),"",IF(IF(ISNUMBER($F6),AND(AC$2&gt;=$F6,AC$2&lt;=IF(ISNUMBER($G6),$G6,$F6+$E6-$D6)),FALSE()),2,IF(AND(AC$2&gt;=$D6,AC$2&lt;=$E6),1,"")))</f>
        <v/>
      </c>
      <c r="AD6" s="55" t="str">
        <f aca="false">IF(OR(AD$2="",$D6=""),"",IF(IF(ISNUMBER($F6),AND(AD$2&gt;=$F6,AD$2&lt;=IF(ISNUMBER($G6),$G6,$F6+$E6-$D6)),FALSE()),2,IF(AND(AD$2&gt;=$D6,AD$2&lt;=$E6),1,"")))</f>
        <v/>
      </c>
      <c r="AE6" s="55" t="str">
        <f aca="false">IF(OR(AE$2="",$D6=""),"",IF(IF(ISNUMBER($F6),AND(AE$2&gt;=$F6,AE$2&lt;=IF(ISNUMBER($G6),$G6,$F6+$E6-$D6)),FALSE()),2,IF(AND(AE$2&gt;=$D6,AE$2&lt;=$E6),1,"")))</f>
        <v/>
      </c>
      <c r="AF6" s="55" t="str">
        <f aca="false">IF(OR(AF$2="",$D6=""),"",IF(IF(ISNUMBER($F6),AND(AF$2&gt;=$F6,AF$2&lt;=IF(ISNUMBER($G6),$G6,$F6+$E6-$D6)),FALSE()),2,IF(AND(AF$2&gt;=$D6,AF$2&lt;=$E6),1,"")))</f>
        <v/>
      </c>
      <c r="AG6" s="55" t="str">
        <f aca="false">IF(OR(AG$2="",$D6=""),"",IF(IF(ISNUMBER($F6),AND(AG$2&gt;=$F6,AG$2&lt;=IF(ISNUMBER($G6),$G6,$F6+$E6-$D6)),FALSE()),2,IF(AND(AG$2&gt;=$D6,AG$2&lt;=$E6),1,"")))</f>
        <v/>
      </c>
      <c r="AH6" s="55" t="str">
        <f aca="false">IF(OR(AH$2="",$D6=""),"",IF(IF(ISNUMBER($F6),AND(AH$2&gt;=$F6,AH$2&lt;=IF(ISNUMBER($G6),$G6,$F6+$E6-$D6)),FALSE()),2,IF(AND(AH$2&gt;=$D6,AH$2&lt;=$E6),1,"")))</f>
        <v/>
      </c>
      <c r="AI6" s="55" t="str">
        <f aca="false">IF(OR(AI$2="",$D6=""),"",IF(IF(ISNUMBER($F6),AND(AI$2&gt;=$F6,AI$2&lt;=IF(ISNUMBER($G6),$G6,$F6+$E6-$D6)),FALSE()),2,IF(AND(AI$2&gt;=$D6,AI$2&lt;=$E6),1,"")))</f>
        <v/>
      </c>
      <c r="AJ6" s="55" t="str">
        <f aca="false">IF(OR(AJ$2="",$D6=""),"",IF(IF(ISNUMBER($F6),AND(AJ$2&gt;=$F6,AJ$2&lt;=IF(ISNUMBER($G6),$G6,$F6+$E6-$D6)),FALSE()),2,IF(AND(AJ$2&gt;=$D6,AJ$2&lt;=$E6),1,"")))</f>
        <v/>
      </c>
      <c r="AK6" s="55" t="str">
        <f aca="false">IF(OR(AK$2="",$D6=""),"",IF(IF(ISNUMBER($F6),AND(AK$2&gt;=$F6,AK$2&lt;=IF(ISNUMBER($G6),$G6,$F6+$E6-$D6)),FALSE()),2,IF(AND(AK$2&gt;=$D6,AK$2&lt;=$E6),1,"")))</f>
        <v/>
      </c>
      <c r="AL6" s="55" t="str">
        <f aca="false">IF(OR(AL$2="",$D6=""),"",IF(IF(ISNUMBER($F6),AND(AL$2&gt;=$F6,AL$2&lt;=IF(ISNUMBER($G6),$G6,$F6+$E6-$D6)),FALSE()),2,IF(AND(AL$2&gt;=$D6,AL$2&lt;=$E6),1,"")))</f>
        <v/>
      </c>
      <c r="AM6" s="55" t="str">
        <f aca="false">IF(OR(AM$2="",$D6=""),"",IF(IF(ISNUMBER($F6),AND(AM$2&gt;=$F6,AM$2&lt;=IF(ISNUMBER($G6),$G6,$F6+$E6-$D6)),FALSE()),2,IF(AND(AM$2&gt;=$D6,AM$2&lt;=$E6),1,"")))</f>
        <v/>
      </c>
      <c r="AN6" s="55" t="str">
        <f aca="false">IF(OR(AN$2="",$D6=""),"",IF(IF(ISNUMBER($F6),AND(AN$2&gt;=$F6,AN$2&lt;=IF(ISNUMBER($G6),$G6,$F6+$E6-$D6)),FALSE()),2,IF(AND(AN$2&gt;=$D6,AN$2&lt;=$E6),1,"")))</f>
        <v/>
      </c>
      <c r="AO6" s="55" t="str">
        <f aca="false">IF(OR(AO$2="",$D6=""),"",IF(IF(ISNUMBER($F6),AND(AO$2&gt;=$F6,AO$2&lt;=IF(ISNUMBER($G6),$G6,$F6+$E6-$D6)),FALSE()),2,IF(AND(AO$2&gt;=$D6,AO$2&lt;=$E6),1,"")))</f>
        <v/>
      </c>
      <c r="AP6" s="55" t="str">
        <f aca="false">IF(OR(AP$2="",$D6=""),"",IF(IF(ISNUMBER($F6),AND(AP$2&gt;=$F6,AP$2&lt;=IF(ISNUMBER($G6),$G6,$F6+$E6-$D6)),FALSE()),2,IF(AND(AP$2&gt;=$D6,AP$2&lt;=$E6),1,"")))</f>
        <v/>
      </c>
      <c r="AQ6" s="55" t="str">
        <f aca="false">IF(OR(AQ$2="",$D6=""),"",IF(IF(ISNUMBER($F6),AND(AQ$2&gt;=$F6,AQ$2&lt;=IF(ISNUMBER($G6),$G6,$F6+$E6-$D6)),FALSE()),2,IF(AND(AQ$2&gt;=$D6,AQ$2&lt;=$E6),1,"")))</f>
        <v/>
      </c>
      <c r="AR6" s="55" t="str">
        <f aca="false">IF(OR(AR$2="",$D6=""),"",IF(IF(ISNUMBER($F6),AND(AR$2&gt;=$F6,AR$2&lt;=IF(ISNUMBER($G6),$G6,$F6+$E6-$D6)),FALSE()),2,IF(AND(AR$2&gt;=$D6,AR$2&lt;=$E6),1,"")))</f>
        <v/>
      </c>
      <c r="AS6" s="55" t="str">
        <f aca="false">IF(OR(AS$2="",$D6=""),"",IF(IF(ISNUMBER($F6),AND(AS$2&gt;=$F6,AS$2&lt;=IF(ISNUMBER($G6),$G6,$F6+$E6-$D6)),FALSE()),2,IF(AND(AS$2&gt;=$D6,AS$2&lt;=$E6),1,"")))</f>
        <v/>
      </c>
      <c r="AT6" s="55" t="str">
        <f aca="false">IF(OR(AT$2="",$D6=""),"",IF(IF(ISNUMBER($F6),AND(AT$2&gt;=$F6,AT$2&lt;=IF(ISNUMBER($G6),$G6,$F6+$E6-$D6)),FALSE()),2,IF(AND(AT$2&gt;=$D6,AT$2&lt;=$E6),1,"")))</f>
        <v/>
      </c>
      <c r="AU6" s="55" t="str">
        <f aca="false">IF(OR(AU$2="",$D6=""),"",IF(IF(ISNUMBER($F6),AND(AU$2&gt;=$F6,AU$2&lt;=IF(ISNUMBER($G6),$G6,$F6+$E6-$D6)),FALSE()),2,IF(AND(AU$2&gt;=$D6,AU$2&lt;=$E6),1,"")))</f>
        <v/>
      </c>
      <c r="AV6" s="55" t="str">
        <f aca="false">IF(OR(AV$2="",$D6=""),"",IF(IF(ISNUMBER($F6),AND(AV$2&gt;=$F6,AV$2&lt;=IF(ISNUMBER($G6),$G6,$F6+$E6-$D6)),FALSE()),2,IF(AND(AV$2&gt;=$D6,AV$2&lt;=$E6),1,"")))</f>
        <v/>
      </c>
      <c r="AW6" s="55" t="str">
        <f aca="false">IF(OR(AW$2="",$D6=""),"",IF(IF(ISNUMBER($F6),AND(AW$2&gt;=$F6,AW$2&lt;=IF(ISNUMBER($G6),$G6,$F6+$E6-$D6)),FALSE()),2,IF(AND(AW$2&gt;=$D6,AW$2&lt;=$E6),1,"")))</f>
        <v/>
      </c>
      <c r="AX6" s="55" t="str">
        <f aca="false">IF(OR(AX$2="",$D6=""),"",IF(IF(ISNUMBER($F6),AND(AX$2&gt;=$F6,AX$2&lt;=IF(ISNUMBER($G6),$G6,$F6+$E6-$D6)),FALSE()),2,IF(AND(AX$2&gt;=$D6,AX$2&lt;=$E6),1,"")))</f>
        <v/>
      </c>
      <c r="AY6" s="55" t="str">
        <f aca="false">IF(OR(AY$2="",$D6=""),"",IF(IF(ISNUMBER($F6),AND(AY$2&gt;=$F6,AY$2&lt;=IF(ISNUMBER($G6),$G6,$F6+$E6-$D6)),FALSE()),2,IF(AND(AY$2&gt;=$D6,AY$2&lt;=$E6),1,"")))</f>
        <v/>
      </c>
      <c r="AZ6" s="55" t="str">
        <f aca="false">IF(OR(AZ$2="",$D6=""),"",IF(IF(ISNUMBER($F6),AND(AZ$2&gt;=$F6,AZ$2&lt;=IF(ISNUMBER($G6),$G6,$F6+$E6-$D6)),FALSE()),2,IF(AND(AZ$2&gt;=$D6,AZ$2&lt;=$E6),1,"")))</f>
        <v/>
      </c>
      <c r="BA6" s="55" t="str">
        <f aca="false">IF(OR(BA$2="",$D6=""),"",IF(IF(ISNUMBER($F6),AND(BA$2&gt;=$F6,BA$2&lt;=IF(ISNUMBER($G6),$G6,$F6+$E6-$D6)),FALSE()),2,IF(AND(BA$2&gt;=$D6,BA$2&lt;=$E6),1,"")))</f>
        <v/>
      </c>
      <c r="BB6" s="55" t="str">
        <f aca="false">IF(OR(BB$2="",$D6=""),"",IF(IF(ISNUMBER($F6),AND(BB$2&gt;=$F6,BB$2&lt;=IF(ISNUMBER($G6),$G6,$F6+$E6-$D6)),FALSE()),2,IF(AND(BB$2&gt;=$D6,BB$2&lt;=$E6),1,"")))</f>
        <v/>
      </c>
      <c r="BC6" s="55" t="str">
        <f aca="false">IF(OR(BC$2="",$D6=""),"",IF(IF(ISNUMBER($F6),AND(BC$2&gt;=$F6,BC$2&lt;=IF(ISNUMBER($G6),$G6,$F6+$E6-$D6)),FALSE()),2,IF(AND(BC$2&gt;=$D6,BC$2&lt;=$E6),1,"")))</f>
        <v/>
      </c>
      <c r="BD6" s="55" t="str">
        <f aca="false">IF(OR(BD$2="",$D6=""),"",IF(IF(ISNUMBER($F6),AND(BD$2&gt;=$F6,BD$2&lt;=IF(ISNUMBER($G6),$G6,$F6+$E6-$D6)),FALSE()),2,IF(AND(BD$2&gt;=$D6,BD$2&lt;=$E6),1,"")))</f>
        <v/>
      </c>
      <c r="BE6" s="55" t="str">
        <f aca="false">IF(OR(BE$2="",$D6=""),"",IF(IF(ISNUMBER($F6),AND(BE$2&gt;=$F6,BE$2&lt;=IF(ISNUMBER($G6),$G6,$F6+$E6-$D6)),FALSE()),2,IF(AND(BE$2&gt;=$D6,BE$2&lt;=$E6),1,"")))</f>
        <v/>
      </c>
      <c r="BF6" s="55" t="str">
        <f aca="false">IF(OR(BF$2="",$D6=""),"",IF(IF(ISNUMBER($F6),AND(BF$2&gt;=$F6,BF$2&lt;=IF(ISNUMBER($G6),$G6,$F6+$E6-$D6)),FALSE()),2,IF(AND(BF$2&gt;=$D6,BF$2&lt;=$E6),1,"")))</f>
        <v/>
      </c>
      <c r="BG6" s="55" t="str">
        <f aca="false">IF(OR(BG$2="",$D6=""),"",IF(IF(ISNUMBER($F6),AND(BG$2&gt;=$F6,BG$2&lt;=IF(ISNUMBER($G6),$G6,$F6+$E6-$D6)),FALSE()),2,IF(AND(BG$2&gt;=$D6,BG$2&lt;=$E6),1,"")))</f>
        <v/>
      </c>
      <c r="BH6" s="55" t="str">
        <f aca="false">IF(OR(BH$2="",$D6=""),"",IF(IF(ISNUMBER($F6),AND(BH$2&gt;=$F6,BH$2&lt;=IF(ISNUMBER($G6),$G6,$F6+$E6-$D6)),FALSE()),2,IF(AND(BH$2&gt;=$D6,BH$2&lt;=$E6),1,"")))</f>
        <v/>
      </c>
      <c r="BI6" s="55" t="str">
        <f aca="false">IF(OR(BI$2="",$D6=""),"",IF(IF(ISNUMBER($F6),AND(BI$2&gt;=$F6,BI$2&lt;=IF(ISNUMBER($G6),$G6,$F6+$E6-$D6)),FALSE()),2,IF(AND(BI$2&gt;=$D6,BI$2&lt;=$E6),1,"")))</f>
        <v/>
      </c>
      <c r="BJ6" s="55" t="str">
        <f aca="false">IF(OR(BJ$2="",$D6=""),"",IF(IF(ISNUMBER($F6),AND(BJ$2&gt;=$F6,BJ$2&lt;=IF(ISNUMBER($G6),$G6,$F6+$E6-$D6)),FALSE()),2,IF(AND(BJ$2&gt;=$D6,BJ$2&lt;=$E6),1,"")))</f>
        <v/>
      </c>
      <c r="BK6" s="55" t="str">
        <f aca="false">IF(OR(BK$2="",$D6=""),"",IF(IF(ISNUMBER($F6),AND(BK$2&gt;=$F6,BK$2&lt;=IF(ISNUMBER($G6),$G6,$F6+$E6-$D6)),FALSE()),2,IF(AND(BK$2&gt;=$D6,BK$2&lt;=$E6),1,"")))</f>
        <v/>
      </c>
      <c r="BL6" s="55" t="str">
        <f aca="false">IF(OR(BL$2="",$D6=""),"",IF(IF(ISNUMBER($F6),AND(BL$2&gt;=$F6,BL$2&lt;=IF(ISNUMBER($G6),$G6,$F6+$E6-$D6)),FALSE()),2,IF(AND(BL$2&gt;=$D6,BL$2&lt;=$E6),1,"")))</f>
        <v/>
      </c>
      <c r="BM6" s="55" t="str">
        <f aca="false">IF(OR(BM$2="",$D6=""),"",IF(IF(ISNUMBER($F6),AND(BM$2&gt;=$F6,BM$2&lt;=IF(ISNUMBER($G6),$G6,$F6+$E6-$D6)),FALSE()),2,IF(AND(BM$2&gt;=$D6,BM$2&lt;=$E6),1,"")))</f>
        <v/>
      </c>
      <c r="BN6" s="55" t="str">
        <f aca="false">IF(OR(BN$2="",$D6=""),"",IF(IF(ISNUMBER($F6),AND(BN$2&gt;=$F6,BN$2&lt;=IF(ISNUMBER($G6),$G6,$F6+$E6-$D6)),FALSE()),2,IF(AND(BN$2&gt;=$D6,BN$2&lt;=$E6),1,"")))</f>
        <v/>
      </c>
      <c r="BO6" s="55" t="str">
        <f aca="false">IF(OR(BO$2="",$D6=""),"",IF(IF(ISNUMBER($F6),AND(BO$2&gt;=$F6,BO$2&lt;=IF(ISNUMBER($G6),$G6,$F6+$E6-$D6)),FALSE()),2,IF(AND(BO$2&gt;=$D6,BO$2&lt;=$E6),1,"")))</f>
        <v/>
      </c>
      <c r="BP6" s="55" t="str">
        <f aca="false">IF(OR(BP$2="",$D6=""),"",IF(IF(ISNUMBER($F6),AND(BP$2&gt;=$F6,BP$2&lt;=IF(ISNUMBER($G6),$G6,$F6+$E6-$D6)),FALSE()),2,IF(AND(BP$2&gt;=$D6,BP$2&lt;=$E6),1,"")))</f>
        <v/>
      </c>
      <c r="BQ6" s="55" t="str">
        <f aca="false">IF(OR(BQ$2="",$D6=""),"",IF(IF(ISNUMBER($F6),AND(BQ$2&gt;=$F6,BQ$2&lt;=IF(ISNUMBER($G6),$G6,$F6+$E6-$D6)),FALSE()),2,IF(AND(BQ$2&gt;=$D6,BQ$2&lt;=$E6),1,"")))</f>
        <v/>
      </c>
      <c r="BR6" s="55" t="str">
        <f aca="false">IF(OR(BR$2="",$D6=""),"",IF(IF(ISNUMBER($F6),AND(BR$2&gt;=$F6,BR$2&lt;=IF(ISNUMBER($G6),$G6,$F6+$E6-$D6)),FALSE()),2,IF(AND(BR$2&gt;=$D6,BR$2&lt;=$E6),1,"")))</f>
        <v/>
      </c>
      <c r="BS6" s="55" t="str">
        <f aca="false">IF(OR(BS$2="",$D6=""),"",IF(IF(ISNUMBER($F6),AND(BS$2&gt;=$F6,BS$2&lt;=IF(ISNUMBER($G6),$G6,$F6+$E6-$D6)),FALSE()),2,IF(AND(BS$2&gt;=$D6,BS$2&lt;=$E6),1,"")))</f>
        <v/>
      </c>
      <c r="BT6" s="55" t="str">
        <f aca="false">IF(OR(BT$2="",$D6=""),"",IF(IF(ISNUMBER($F6),AND(BT$2&gt;=$F6,BT$2&lt;=IF(ISNUMBER($G6),$G6,$F6+$E6-$D6)),FALSE()),2,IF(AND(BT$2&gt;=$D6,BT$2&lt;=$E6),1,"")))</f>
        <v/>
      </c>
      <c r="BU6" s="55" t="str">
        <f aca="false">IF(OR(BU$2="",$D6=""),"",IF(IF(ISNUMBER($F6),AND(BU$2&gt;=$F6,BU$2&lt;=IF(ISNUMBER($G6),$G6,$F6+$E6-$D6)),FALSE()),2,IF(AND(BU$2&gt;=$D6,BU$2&lt;=$E6),1,"")))</f>
        <v/>
      </c>
      <c r="BV6" s="55" t="str">
        <f aca="false">IF(OR(BV$2="",$D6=""),"",IF(IF(ISNUMBER($F6),AND(BV$2&gt;=$F6,BV$2&lt;=IF(ISNUMBER($G6),$G6,$F6+$E6-$D6)),FALSE()),2,IF(AND(BV$2&gt;=$D6,BV$2&lt;=$E6),1,"")))</f>
        <v/>
      </c>
      <c r="BW6" s="55" t="str">
        <f aca="false">IF(OR(BW$2="",$D6=""),"",IF(IF(ISNUMBER($F6),AND(BW$2&gt;=$F6,BW$2&lt;=IF(ISNUMBER($G6),$G6,$F6+$E6-$D6)),FALSE()),2,IF(AND(BW$2&gt;=$D6,BW$2&lt;=$E6),1,"")))</f>
        <v/>
      </c>
      <c r="BX6" s="55" t="str">
        <f aca="false">IF(OR(BX$2="",$D6=""),"",IF(IF(ISNUMBER($F6),AND(BX$2&gt;=$F6,BX$2&lt;=IF(ISNUMBER($G6),$G6,$F6+$E6-$D6)),FALSE()),2,IF(AND(BX$2&gt;=$D6,BX$2&lt;=$E6),1,"")))</f>
        <v/>
      </c>
      <c r="BY6" s="55" t="str">
        <f aca="false">IF(OR(BY$2="",$D6=""),"",IF(IF(ISNUMBER($F6),AND(BY$2&gt;=$F6,BY$2&lt;=IF(ISNUMBER($G6),$G6,$F6+$E6-$D6)),FALSE()),2,IF(AND(BY$2&gt;=$D6,BY$2&lt;=$E6),1,"")))</f>
        <v/>
      </c>
      <c r="BZ6" s="55" t="str">
        <f aca="false">IF(OR(BZ$2="",$D6=""),"",IF(IF(ISNUMBER($F6),AND(BZ$2&gt;=$F6,BZ$2&lt;=IF(ISNUMBER($G6),$G6,$F6+$E6-$D6)),FALSE()),2,IF(AND(BZ$2&gt;=$D6,BZ$2&lt;=$E6),1,"")))</f>
        <v/>
      </c>
      <c r="CA6" s="55" t="str">
        <f aca="false">IF(OR(CA$2="",$D6=""),"",IF(IF(ISNUMBER($F6),AND(CA$2&gt;=$F6,CA$2&lt;=IF(ISNUMBER($G6),$G6,$F6+$E6-$D6)),FALSE()),2,IF(AND(CA$2&gt;=$D6,CA$2&lt;=$E6),1,"")))</f>
        <v/>
      </c>
      <c r="CB6" s="55" t="str">
        <f aca="false">IF(OR(CB$2="",$D6=""),"",IF(IF(ISNUMBER($F6),AND(CB$2&gt;=$F6,CB$2&lt;=IF(ISNUMBER($G6),$G6,$F6+$E6-$D6)),FALSE()),2,IF(AND(CB$2&gt;=$D6,CB$2&lt;=$E6),1,"")))</f>
        <v/>
      </c>
      <c r="CC6" s="55" t="str">
        <f aca="false">IF(OR(CC$2="",$D6=""),"",IF(IF(ISNUMBER($F6),AND(CC$2&gt;=$F6,CC$2&lt;=IF(ISNUMBER($G6),$G6,$F6+$E6-$D6)),FALSE()),2,IF(AND(CC$2&gt;=$D6,CC$2&lt;=$E6),1,"")))</f>
        <v/>
      </c>
      <c r="CD6" s="55" t="str">
        <f aca="false">IF(OR(CD$2="",$D6=""),"",IF(IF(ISNUMBER($F6),AND(CD$2&gt;=$F6,CD$2&lt;=IF(ISNUMBER($G6),$G6,$F6+$E6-$D6)),FALSE()),2,IF(AND(CD$2&gt;=$D6,CD$2&lt;=$E6),1,"")))</f>
        <v/>
      </c>
      <c r="CE6" s="55" t="str">
        <f aca="false">IF(OR(CE$2="",$D6=""),"",IF(IF(ISNUMBER($F6),AND(CE$2&gt;=$F6,CE$2&lt;=IF(ISNUMBER($G6),$G6,$F6+$E6-$D6)),FALSE()),2,IF(AND(CE$2&gt;=$D6,CE$2&lt;=$E6),1,"")))</f>
        <v/>
      </c>
      <c r="CF6" s="55" t="str">
        <f aca="false">IF(OR(CF$2="",$D6=""),"",IF(IF(ISNUMBER($F6),AND(CF$2&gt;=$F6,CF$2&lt;=IF(ISNUMBER($G6),$G6,$F6+$E6-$D6)),FALSE()),2,IF(AND(CF$2&gt;=$D6,CF$2&lt;=$E6),1,"")))</f>
        <v/>
      </c>
      <c r="CG6" s="55" t="str">
        <f aca="false">IF(OR(CG$2="",$D6=""),"",IF(IF(ISNUMBER($F6),AND(CG$2&gt;=$F6,CG$2&lt;=IF(ISNUMBER($G6),$G6,$F6+$E6-$D6)),FALSE()),2,IF(AND(CG$2&gt;=$D6,CG$2&lt;=$E6),1,"")))</f>
        <v/>
      </c>
      <c r="CH6" s="55" t="str">
        <f aca="false">IF(OR(CH$2="",$D6=""),"",IF(IF(ISNUMBER($F6),AND(CH$2&gt;=$F6,CH$2&lt;=IF(ISNUMBER($G6),$G6,$F6+$E6-$D6)),FALSE()),2,IF(AND(CH$2&gt;=$D6,CH$2&lt;=$E6),1,"")))</f>
        <v/>
      </c>
      <c r="CI6" s="55" t="str">
        <f aca="false">IF(OR(CI$2="",$D6=""),"",IF(IF(ISNUMBER($F6),AND(CI$2&gt;=$F6,CI$2&lt;=IF(ISNUMBER($G6),$G6,$F6+$E6-$D6)),FALSE()),2,IF(AND(CI$2&gt;=$D6,CI$2&lt;=$E6),1,"")))</f>
        <v/>
      </c>
      <c r="CJ6" s="55" t="str">
        <f aca="false">IF(OR(CJ$2="",$D6=""),"",IF(IF(ISNUMBER($F6),AND(CJ$2&gt;=$F6,CJ$2&lt;=IF(ISNUMBER($G6),$G6,$F6+$E6-$D6)),FALSE()),2,IF(AND(CJ$2&gt;=$D6,CJ$2&lt;=$E6),1,"")))</f>
        <v/>
      </c>
      <c r="CK6" s="55" t="str">
        <f aca="false">IF(OR(CK$2="",$D6=""),"",IF(IF(ISNUMBER($F6),AND(CK$2&gt;=$F6,CK$2&lt;=IF(ISNUMBER($G6),$G6,$F6+$E6-$D6)),FALSE()),2,IF(AND(CK$2&gt;=$D6,CK$2&lt;=$E6),1,"")))</f>
        <v/>
      </c>
      <c r="CL6" s="55" t="str">
        <f aca="false">IF(OR(CL$2="",$D6=""),"",IF(IF(ISNUMBER($F6),AND(CL$2&gt;=$F6,CL$2&lt;=IF(ISNUMBER($G6),$G6,$F6+$E6-$D6)),FALSE()),2,IF(AND(CL$2&gt;=$D6,CL$2&lt;=$E6),1,"")))</f>
        <v/>
      </c>
      <c r="CM6" s="55" t="str">
        <f aca="false">IF(OR(CM$2="",$D6=""),"",IF(IF(ISNUMBER($F6),AND(CM$2&gt;=$F6,CM$2&lt;=IF(ISNUMBER($G6),$G6,$F6+$E6-$D6)),FALSE()),2,IF(AND(CM$2&gt;=$D6,CM$2&lt;=$E6),1,"")))</f>
        <v/>
      </c>
      <c r="CN6" s="55" t="str">
        <f aca="false">IF(OR(CN$2="",$D6=""),"",IF(IF(ISNUMBER($F6),AND(CN$2&gt;=$F6,CN$2&lt;=IF(ISNUMBER($G6),$G6,$F6+$E6-$D6)),FALSE()),2,IF(AND(CN$2&gt;=$D6,CN$2&lt;=$E6),1,"")))</f>
        <v/>
      </c>
      <c r="CO6" s="55" t="str">
        <f aca="false">IF(OR(CO$2="",$D6=""),"",IF(IF(ISNUMBER($F6),AND(CO$2&gt;=$F6,CO$2&lt;=IF(ISNUMBER($G6),$G6,$F6+$E6-$D6)),FALSE()),2,IF(AND(CO$2&gt;=$D6,CO$2&lt;=$E6),1,"")))</f>
        <v/>
      </c>
      <c r="CP6" s="55" t="str">
        <f aca="false">IF(OR(CP$2="",$D6=""),"",IF(IF(ISNUMBER($F6),AND(CP$2&gt;=$F6,CP$2&lt;=IF(ISNUMBER($G6),$G6,$F6+$E6-$D6)),FALSE()),2,IF(AND(CP$2&gt;=$D6,CP$2&lt;=$E6),1,"")))</f>
        <v/>
      </c>
      <c r="CQ6" s="55" t="str">
        <f aca="false">IF(OR(CQ$2="",$D6=""),"",IF(IF(ISNUMBER($F6),AND(CQ$2&gt;=$F6,CQ$2&lt;=IF(ISNUMBER($G6),$G6,$F6+$E6-$D6)),FALSE()),2,IF(AND(CQ$2&gt;=$D6,CQ$2&lt;=$E6),1,"")))</f>
        <v/>
      </c>
      <c r="CR6" s="55" t="str">
        <f aca="false">IF(OR(CR$2="",$D6=""),"",IF(IF(ISNUMBER($F6),AND(CR$2&gt;=$F6,CR$2&lt;=IF(ISNUMBER($G6),$G6,$F6+$E6-$D6)),FALSE()),2,IF(AND(CR$2&gt;=$D6,CR$2&lt;=$E6),1,"")))</f>
        <v/>
      </c>
      <c r="CS6" s="55" t="str">
        <f aca="false">IF(OR(CS$2="",$D6=""),"",IF(IF(ISNUMBER($F6),AND(CS$2&gt;=$F6,CS$2&lt;=IF(ISNUMBER($G6),$G6,$F6+$E6-$D6)),FALSE()),2,IF(AND(CS$2&gt;=$D6,CS$2&lt;=$E6),1,"")))</f>
        <v/>
      </c>
      <c r="CT6" s="55" t="str">
        <f aca="false">IF(OR(CT$2="",$D6=""),"",IF(IF(ISNUMBER($F6),AND(CT$2&gt;=$F6,CT$2&lt;=IF(ISNUMBER($G6),$G6,$F6+$E6-$D6)),FALSE()),2,IF(AND(CT$2&gt;=$D6,CT$2&lt;=$E6),1,"")))</f>
        <v/>
      </c>
      <c r="CU6" s="55" t="str">
        <f aca="false">IF(OR(CU$2="",$D6=""),"",IF(IF(ISNUMBER($F6),AND(CU$2&gt;=$F6,CU$2&lt;=IF(ISNUMBER($G6),$G6,$F6+$E6-$D6)),FALSE()),2,IF(AND(CU$2&gt;=$D6,CU$2&lt;=$E6),1,"")))</f>
        <v/>
      </c>
      <c r="CV6" s="55" t="str">
        <f aca="false">IF(OR(CV$2="",$D6=""),"",IF(IF(ISNUMBER($F6),AND(CV$2&gt;=$F6,CV$2&lt;=IF(ISNUMBER($G6),$G6,$F6+$E6-$D6)),FALSE()),2,IF(AND(CV$2&gt;=$D6,CV$2&lt;=$E6),1,"")))</f>
        <v/>
      </c>
      <c r="CW6" s="55" t="str">
        <f aca="false">IF(OR(CW$2="",$D6=""),"",IF(IF(ISNUMBER($F6),AND(CW$2&gt;=$F6,CW$2&lt;=IF(ISNUMBER($G6),$G6,$F6+$E6-$D6)),FALSE()),2,IF(AND(CW$2&gt;=$D6,CW$2&lt;=$E6),1,"")))</f>
        <v/>
      </c>
      <c r="CX6" s="55" t="str">
        <f aca="false">IF(OR(CX$2="",$D6=""),"",IF(IF(ISNUMBER($F6),AND(CX$2&gt;=$F6,CX$2&lt;=IF(ISNUMBER($G6),$G6,$F6+$E6-$D6)),FALSE()),2,IF(AND(CX$2&gt;=$D6,CX$2&lt;=$E6),1,"")))</f>
        <v/>
      </c>
      <c r="CY6" s="55" t="str">
        <f aca="false">IF(OR(CY$2="",$D6=""),"",IF(IF(ISNUMBER($F6),AND(CY$2&gt;=$F6,CY$2&lt;=IF(ISNUMBER($G6),$G6,$F6+$E6-$D6)),FALSE()),2,IF(AND(CY$2&gt;=$D6,CY$2&lt;=$E6),1,"")))</f>
        <v/>
      </c>
      <c r="CZ6" s="55" t="str">
        <f aca="false">IF(OR(CZ$2="",$D6=""),"",IF(IF(ISNUMBER($F6),AND(CZ$2&gt;=$F6,CZ$2&lt;=IF(ISNUMBER($G6),$G6,$F6+$E6-$D6)),FALSE()),2,IF(AND(CZ$2&gt;=$D6,CZ$2&lt;=$E6),1,"")))</f>
        <v/>
      </c>
      <c r="DA6" s="55" t="str">
        <f aca="false">IF(OR(DA$2="",$D6=""),"",IF(IF(ISNUMBER($F6),AND(DA$2&gt;=$F6,DA$2&lt;=IF(ISNUMBER($G6),$G6,$F6+$E6-$D6)),FALSE()),2,IF(AND(DA$2&gt;=$D6,DA$2&lt;=$E6),1,"")))</f>
        <v/>
      </c>
      <c r="DB6" s="55" t="str">
        <f aca="false">IF(OR(DB$2="",$D6=""),"",IF(IF(ISNUMBER($F6),AND(DB$2&gt;=$F6,DB$2&lt;=IF(ISNUMBER($G6),$G6,$F6+$E6-$D6)),FALSE()),2,IF(AND(DB$2&gt;=$D6,DB$2&lt;=$E6),1,"")))</f>
        <v/>
      </c>
      <c r="DC6" s="55" t="str">
        <f aca="false">IF(OR(DC$2="",$D6=""),"",IF(IF(ISNUMBER($F6),AND(DC$2&gt;=$F6,DC$2&lt;=IF(ISNUMBER($G6),$G6,$F6+$E6-$D6)),FALSE()),2,IF(AND(DC$2&gt;=$D6,DC$2&lt;=$E6),1,"")))</f>
        <v/>
      </c>
      <c r="DD6" s="55" t="str">
        <f aca="false">IF(OR(DD$2="",$D6=""),"",IF(IF(ISNUMBER($F6),AND(DD$2&gt;=$F6,DD$2&lt;=IF(ISNUMBER($G6),$G6,$F6+$E6-$D6)),FALSE()),2,IF(AND(DD$2&gt;=$D6,DD$2&lt;=$E6),1,"")))</f>
        <v/>
      </c>
      <c r="DE6" s="55" t="str">
        <f aca="false">IF(OR(DE$2="",$D6=""),"",IF(IF(ISNUMBER($F6),AND(DE$2&gt;=$F6,DE$2&lt;=IF(ISNUMBER($G6),$G6,$F6+$E6-$D6)),FALSE()),2,IF(AND(DE$2&gt;=$D6,DE$2&lt;=$E6),1,"")))</f>
        <v/>
      </c>
      <c r="DF6" s="55" t="str">
        <f aca="false">IF(OR(DF$2="",$D6=""),"",IF(IF(ISNUMBER($F6),AND(DF$2&gt;=$F6,DF$2&lt;=IF(ISNUMBER($G6),$G6,$F6+$E6-$D6)),FALSE()),2,IF(AND(DF$2&gt;=$D6,DF$2&lt;=$E6),1,"")))</f>
        <v/>
      </c>
      <c r="DG6" s="55" t="str">
        <f aca="false">IF(OR(DG$2="",$D6=""),"",IF(IF(ISNUMBER($F6),AND(DG$2&gt;=$F6,DG$2&lt;=IF(ISNUMBER($G6),$G6,$F6+$E6-$D6)),FALSE()),2,IF(AND(DG$2&gt;=$D6,DG$2&lt;=$E6),1,"")))</f>
        <v/>
      </c>
      <c r="DH6" s="55" t="str">
        <f aca="false">IF(OR(DH$2="",$D6=""),"",IF(IF(ISNUMBER($F6),AND(DH$2&gt;=$F6,DH$2&lt;=IF(ISNUMBER($G6),$G6,$F6+$E6-$D6)),FALSE()),2,IF(AND(DH$2&gt;=$D6,DH$2&lt;=$E6),1,"")))</f>
        <v/>
      </c>
      <c r="DI6" s="55" t="str">
        <f aca="false">IF(OR(DI$2="",$D6=""),"",IF(IF(ISNUMBER($F6),AND(DI$2&gt;=$F6,DI$2&lt;=IF(ISNUMBER($G6),$G6,$F6+$E6-$D6)),FALSE()),2,IF(AND(DI$2&gt;=$D6,DI$2&lt;=$E6),1,"")))</f>
        <v/>
      </c>
      <c r="DJ6" s="55" t="str">
        <f aca="false">IF(OR(DJ$2="",$D6=""),"",IF(IF(ISNUMBER($F6),AND(DJ$2&gt;=$F6,DJ$2&lt;=IF(ISNUMBER($G6),$G6,$F6+$E6-$D6)),FALSE()),2,IF(AND(DJ$2&gt;=$D6,DJ$2&lt;=$E6),1,"")))</f>
        <v/>
      </c>
      <c r="DK6" s="55" t="str">
        <f aca="false">IF(OR(DK$2="",$D6=""),"",IF(IF(ISNUMBER($F6),AND(DK$2&gt;=$F6,DK$2&lt;=IF(ISNUMBER($G6),$G6,$F6+$E6-$D6)),FALSE()),2,IF(AND(DK$2&gt;=$D6,DK$2&lt;=$E6),1,"")))</f>
        <v/>
      </c>
      <c r="DL6" s="55" t="str">
        <f aca="false">IF(OR(DL$2="",$D6=""),"",IF(IF(ISNUMBER($F6),AND(DL$2&gt;=$F6,DL$2&lt;=IF(ISNUMBER($G6),$G6,$F6+$E6-$D6)),FALSE()),2,IF(AND(DL$2&gt;=$D6,DL$2&lt;=$E6),1,"")))</f>
        <v/>
      </c>
      <c r="DM6" s="55" t="str">
        <f aca="false">IF(OR(DM$2="",$D6=""),"",IF(IF(ISNUMBER($F6),AND(DM$2&gt;=$F6,DM$2&lt;=IF(ISNUMBER($G6),$G6,$F6+$E6-$D6)),FALSE()),2,IF(AND(DM$2&gt;=$D6,DM$2&lt;=$E6),1,"")))</f>
        <v/>
      </c>
      <c r="DN6" s="55" t="str">
        <f aca="false">IF(OR(DN$2="",$D6=""),"",IF(IF(ISNUMBER($F6),AND(DN$2&gt;=$F6,DN$2&lt;=IF(ISNUMBER($G6),$G6,$F6+$E6-$D6)),FALSE()),2,IF(AND(DN$2&gt;=$D6,DN$2&lt;=$E6),1,"")))</f>
        <v/>
      </c>
      <c r="DO6" s="55" t="str">
        <f aca="false">IF(OR(DO$2="",$D6=""),"",IF(IF(ISNUMBER($F6),AND(DO$2&gt;=$F6,DO$2&lt;=IF(ISNUMBER($G6),$G6,$F6+$E6-$D6)),FALSE()),2,IF(AND(DO$2&gt;=$D6,DO$2&lt;=$E6),1,"")))</f>
        <v/>
      </c>
      <c r="DP6" s="55" t="str">
        <f aca="false">IF(OR(DP$2="",$D6=""),"",IF(IF(ISNUMBER($F6),AND(DP$2&gt;=$F6,DP$2&lt;=IF(ISNUMBER($G6),$G6,$F6+$E6-$D6)),FALSE()),2,IF(AND(DP$2&gt;=$D6,DP$2&lt;=$E6),1,"")))</f>
        <v/>
      </c>
      <c r="DQ6" s="55" t="str">
        <f aca="false">IF(OR(DQ$2="",$D6=""),"",IF(IF(ISNUMBER($F6),AND(DQ$2&gt;=$F6,DQ$2&lt;=IF(ISNUMBER($G6),$G6,$F6+$E6-$D6)),FALSE()),2,IF(AND(DQ$2&gt;=$D6,DQ$2&lt;=$E6),1,"")))</f>
        <v/>
      </c>
      <c r="DR6" s="55" t="str">
        <f aca="false">IF(OR(DR$2="",$D6=""),"",IF(IF(ISNUMBER($F6),AND(DR$2&gt;=$F6,DR$2&lt;=IF(ISNUMBER($G6),$G6,$F6+$E6-$D6)),FALSE()),2,IF(AND(DR$2&gt;=$D6,DR$2&lt;=$E6),1,"")))</f>
        <v/>
      </c>
      <c r="DS6" s="55" t="str">
        <f aca="false">IF(OR(DS$2="",$D6=""),"",IF(IF(ISNUMBER($F6),AND(DS$2&gt;=$F6,DS$2&lt;=IF(ISNUMBER($G6),$G6,$F6+$E6-$D6)),FALSE()),2,IF(AND(DS$2&gt;=$D6,DS$2&lt;=$E6),1,"")))</f>
        <v/>
      </c>
      <c r="DT6" s="55" t="str">
        <f aca="false">IF(OR(DT$2="",$D6=""),"",IF(IF(ISNUMBER($F6),AND(DT$2&gt;=$F6,DT$2&lt;=IF(ISNUMBER($G6),$G6,$F6+$E6-$D6)),FALSE()),2,IF(AND(DT$2&gt;=$D6,DT$2&lt;=$E6),1,"")))</f>
        <v/>
      </c>
      <c r="DU6" s="55" t="str">
        <f aca="false">IF(OR(DU$2="",$D6=""),"",IF(IF(ISNUMBER($F6),AND(DU$2&gt;=$F6,DU$2&lt;=IF(ISNUMBER($G6),$G6,$F6+$E6-$D6)),FALSE()),2,IF(AND(DU$2&gt;=$D6,DU$2&lt;=$E6),1,"")))</f>
        <v/>
      </c>
      <c r="DV6" s="55" t="str">
        <f aca="false">IF(OR(DV$2="",$D6=""),"",IF(IF(ISNUMBER($F6),AND(DV$2&gt;=$F6,DV$2&lt;=IF(ISNUMBER($G6),$G6,$F6+$E6-$D6)),FALSE()),2,IF(AND(DV$2&gt;=$D6,DV$2&lt;=$E6),1,"")))</f>
        <v/>
      </c>
      <c r="DW6" s="55" t="str">
        <f aca="false">IF(OR(DW$2="",$D6=""),"",IF(IF(ISNUMBER($F6),AND(DW$2&gt;=$F6,DW$2&lt;=IF(ISNUMBER($G6),$G6,$F6+$E6-$D6)),FALSE()),2,IF(AND(DW$2&gt;=$D6,DW$2&lt;=$E6),1,"")))</f>
        <v/>
      </c>
      <c r="DX6" s="55" t="str">
        <f aca="false">IF(OR(DX$2="",$D6=""),"",IF(IF(ISNUMBER($F6),AND(DX$2&gt;=$F6,DX$2&lt;=IF(ISNUMBER($G6),$G6,$F6+$E6-$D6)),FALSE()),2,IF(AND(DX$2&gt;=$D6,DX$2&lt;=$E6),1,"")))</f>
        <v/>
      </c>
      <c r="DY6" s="55" t="str">
        <f aca="false">IF(OR(DY$2="",$D6=""),"",IF(IF(ISNUMBER($F6),AND(DY$2&gt;=$F6,DY$2&lt;=IF(ISNUMBER($G6),$G6,$F6+$E6-$D6)),FALSE()),2,IF(AND(DY$2&gt;=$D6,DY$2&lt;=$E6),1,"")))</f>
        <v/>
      </c>
      <c r="DZ6" s="55" t="str">
        <f aca="false">IF(OR(DZ$2="",$D6=""),"",IF(IF(ISNUMBER($F6),AND(DZ$2&gt;=$F6,DZ$2&lt;=IF(ISNUMBER($G6),$G6,$F6+$E6-$D6)),FALSE()),2,IF(AND(DZ$2&gt;=$D6,DZ$2&lt;=$E6),1,"")))</f>
        <v/>
      </c>
      <c r="EA6" s="55" t="str">
        <f aca="false">IF(OR(EA$2="",$D6=""),"",IF(IF(ISNUMBER($F6),AND(EA$2&gt;=$F6,EA$2&lt;=IF(ISNUMBER($G6),$G6,$F6+$E6-$D6)),FALSE()),2,IF(AND(EA$2&gt;=$D6,EA$2&lt;=$E6),1,"")))</f>
        <v/>
      </c>
      <c r="EB6" s="55" t="str">
        <f aca="false">IF(OR(EB$2="",$D6=""),"",IF(IF(ISNUMBER($F6),AND(EB$2&gt;=$F6,EB$2&lt;=IF(ISNUMBER($G6),$G6,$F6+$E6-$D6)),FALSE()),2,IF(AND(EB$2&gt;=$D6,EB$2&lt;=$E6),1,"")))</f>
        <v/>
      </c>
      <c r="EC6" s="55" t="str">
        <f aca="false">IF(OR(EC$2="",$D6=""),"",IF(IF(ISNUMBER($F6),AND(EC$2&gt;=$F6,EC$2&lt;=IF(ISNUMBER($G6),$G6,$F6+$E6-$D6)),FALSE()),2,IF(AND(EC$2&gt;=$D6,EC$2&lt;=$E6),1,"")))</f>
        <v/>
      </c>
      <c r="ED6" s="55" t="str">
        <f aca="false">IF(OR(ED$2="",$D6=""),"",IF(IF(ISNUMBER($F6),AND(ED$2&gt;=$F6,ED$2&lt;=IF(ISNUMBER($G6),$G6,$F6+$E6-$D6)),FALSE()),2,IF(AND(ED$2&gt;=$D6,ED$2&lt;=$E6),1,"")))</f>
        <v/>
      </c>
      <c r="EE6" s="55" t="str">
        <f aca="false">IF(OR(EE$2="",$D6=""),"",IF(IF(ISNUMBER($F6),AND(EE$2&gt;=$F6,EE$2&lt;=IF(ISNUMBER($G6),$G6,$F6+$E6-$D6)),FALSE()),2,IF(AND(EE$2&gt;=$D6,EE$2&lt;=$E6),1,"")))</f>
        <v/>
      </c>
      <c r="EF6" s="55" t="str">
        <f aca="false">IF(OR(EF$2="",$D6=""),"",IF(IF(ISNUMBER($F6),AND(EF$2&gt;=$F6,EF$2&lt;=IF(ISNUMBER($G6),$G6,$F6+$E6-$D6)),FALSE()),2,IF(AND(EF$2&gt;=$D6,EF$2&lt;=$E6),1,"")))</f>
        <v/>
      </c>
      <c r="EG6" s="55" t="str">
        <f aca="false">IF(OR(EG$2="",$D6=""),"",IF(IF(ISNUMBER($F6),AND(EG$2&gt;=$F6,EG$2&lt;=IF(ISNUMBER($G6),$G6,$F6+$E6-$D6)),FALSE()),2,IF(AND(EG$2&gt;=$D6,EG$2&lt;=$E6),1,"")))</f>
        <v/>
      </c>
      <c r="EH6" s="55" t="str">
        <f aca="false">IF(OR(EH$2="",$D6=""),"",IF(IF(ISNUMBER($F6),AND(EH$2&gt;=$F6,EH$2&lt;=IF(ISNUMBER($G6),$G6,$F6+$E6-$D6)),FALSE()),2,IF(AND(EH$2&gt;=$D6,EH$2&lt;=$E6),1,"")))</f>
        <v/>
      </c>
      <c r="EI6" s="55" t="str">
        <f aca="false">IF(OR(EI$2="",$D6=""),"",IF(IF(ISNUMBER($F6),AND(EI$2&gt;=$F6,EI$2&lt;=IF(ISNUMBER($G6),$G6,$F6+$E6-$D6)),FALSE()),2,IF(AND(EI$2&gt;=$D6,EI$2&lt;=$E6),1,"")))</f>
        <v/>
      </c>
      <c r="EJ6" s="55" t="str">
        <f aca="false">IF(OR(EJ$2="",$D6=""),"",IF(IF(ISNUMBER($F6),AND(EJ$2&gt;=$F6,EJ$2&lt;=IF(ISNUMBER($G6),$G6,$F6+$E6-$D6)),FALSE()),2,IF(AND(EJ$2&gt;=$D6,EJ$2&lt;=$E6),1,"")))</f>
        <v/>
      </c>
      <c r="EK6" s="55" t="str">
        <f aca="false">IF(OR(EK$2="",$D6=""),"",IF(IF(ISNUMBER($F6),AND(EK$2&gt;=$F6,EK$2&lt;=IF(ISNUMBER($G6),$G6,$F6+$E6-$D6)),FALSE()),2,IF(AND(EK$2&gt;=$D6,EK$2&lt;=$E6),1,"")))</f>
        <v/>
      </c>
      <c r="EL6" s="55" t="str">
        <f aca="false">IF(OR(EL$2="",$D6=""),"",IF(IF(ISNUMBER($F6),AND(EL$2&gt;=$F6,EL$2&lt;=IF(ISNUMBER($G6),$G6,$F6+$E6-$D6)),FALSE()),2,IF(AND(EL$2&gt;=$D6,EL$2&lt;=$E6),1,"")))</f>
        <v/>
      </c>
      <c r="EM6" s="55" t="str">
        <f aca="false">IF(OR(EM$2="",$D6=""),"",IF(IF(ISNUMBER($F6),AND(EM$2&gt;=$F6,EM$2&lt;=IF(ISNUMBER($G6),$G6,$F6+$E6-$D6)),FALSE()),2,IF(AND(EM$2&gt;=$D6,EM$2&lt;=$E6),1,"")))</f>
        <v/>
      </c>
      <c r="EN6" s="55" t="str">
        <f aca="false">IF(OR(EN$2="",$D6=""),"",IF(IF(ISNUMBER($F6),AND(EN$2&gt;=$F6,EN$2&lt;=IF(ISNUMBER($G6),$G6,$F6+$E6-$D6)),FALSE()),2,IF(AND(EN$2&gt;=$D6,EN$2&lt;=$E6),1,"")))</f>
        <v/>
      </c>
      <c r="EO6" s="55" t="str">
        <f aca="false">IF(OR(EO$2="",$D6=""),"",IF(IF(ISNUMBER($F6),AND(EO$2&gt;=$F6,EO$2&lt;=IF(ISNUMBER($G6),$G6,$F6+$E6-$D6)),FALSE()),2,IF(AND(EO$2&gt;=$D6,EO$2&lt;=$E6),1,"")))</f>
        <v/>
      </c>
      <c r="EP6" s="55" t="str">
        <f aca="false">IF(OR(EP$2="",$D6=""),"",IF(IF(ISNUMBER($F6),AND(EP$2&gt;=$F6,EP$2&lt;=IF(ISNUMBER($G6),$G6,$F6+$E6-$D6)),FALSE()),2,IF(AND(EP$2&gt;=$D6,EP$2&lt;=$E6),1,"")))</f>
        <v/>
      </c>
      <c r="EQ6" s="55" t="str">
        <f aca="false">IF(OR(EQ$2="",$D6=""),"",IF(IF(ISNUMBER($F6),AND(EQ$2&gt;=$F6,EQ$2&lt;=IF(ISNUMBER($G6),$G6,$F6+$E6-$D6)),FALSE()),2,IF(AND(EQ$2&gt;=$D6,EQ$2&lt;=$E6),1,"")))</f>
        <v/>
      </c>
      <c r="ER6" s="55" t="str">
        <f aca="false">IF(OR(ER$2="",$D6=""),"",IF(IF(ISNUMBER($F6),AND(ER$2&gt;=$F6,ER$2&lt;=IF(ISNUMBER($G6),$G6,$F6+$E6-$D6)),FALSE()),2,IF(AND(ER$2&gt;=$D6,ER$2&lt;=$E6),1,"")))</f>
        <v/>
      </c>
      <c r="ES6" s="55" t="str">
        <f aca="false">IF(OR(ES$2="",$D6=""),"",IF(IF(ISNUMBER($F6),AND(ES$2&gt;=$F6,ES$2&lt;=IF(ISNUMBER($G6),$G6,$F6+$E6-$D6)),FALSE()),2,IF(AND(ES$2&gt;=$D6,ES$2&lt;=$E6),1,"")))</f>
        <v/>
      </c>
      <c r="ET6" s="55" t="str">
        <f aca="false">IF(OR(ET$2="",$D6=""),"",IF(IF(ISNUMBER($F6),AND(ET$2&gt;=$F6,ET$2&lt;=IF(ISNUMBER($G6),$G6,$F6+$E6-$D6)),FALSE()),2,IF(AND(ET$2&gt;=$D6,ET$2&lt;=$E6),1,"")))</f>
        <v/>
      </c>
      <c r="EU6" s="55" t="str">
        <f aca="false">IF(OR(EU$2="",$D6=""),"",IF(IF(ISNUMBER($F6),AND(EU$2&gt;=$F6,EU$2&lt;=IF(ISNUMBER($G6),$G6,$F6+$E6-$D6)),FALSE()),2,IF(AND(EU$2&gt;=$D6,EU$2&lt;=$E6),1,"")))</f>
        <v/>
      </c>
      <c r="EV6" s="55" t="str">
        <f aca="false">IF(OR(EV$2="",$D6=""),"",IF(IF(ISNUMBER($F6),AND(EV$2&gt;=$F6,EV$2&lt;=IF(ISNUMBER($G6),$G6,$F6+$E6-$D6)),FALSE()),2,IF(AND(EV$2&gt;=$D6,EV$2&lt;=$E6),1,"")))</f>
        <v/>
      </c>
      <c r="EW6" s="55" t="str">
        <f aca="false">IF(OR(EW$2="",$D6=""),"",IF(IF(ISNUMBER($F6),AND(EW$2&gt;=$F6,EW$2&lt;=IF(ISNUMBER($G6),$G6,$F6+$E6-$D6)),FALSE()),2,IF(AND(EW$2&gt;=$D6,EW$2&lt;=$E6),1,"")))</f>
        <v/>
      </c>
      <c r="EX6" s="55" t="str">
        <f aca="false">IF(OR(EX$2="",$D6=""),"",IF(IF(ISNUMBER($F6),AND(EX$2&gt;=$F6,EX$2&lt;=IF(ISNUMBER($G6),$G6,$F6+$E6-$D6)),FALSE()),2,IF(AND(EX$2&gt;=$D6,EX$2&lt;=$E6),1,"")))</f>
        <v/>
      </c>
      <c r="EY6" s="55" t="str">
        <f aca="false">IF(OR(EY$2="",$D6=""),"",IF(IF(ISNUMBER($F6),AND(EY$2&gt;=$F6,EY$2&lt;=IF(ISNUMBER($G6),$G6,$F6+$E6-$D6)),FALSE()),2,IF(AND(EY$2&gt;=$D6,EY$2&lt;=$E6),1,"")))</f>
        <v/>
      </c>
      <c r="EZ6" s="55" t="str">
        <f aca="false">IF(OR(EZ$2="",$D6=""),"",IF(IF(ISNUMBER($F6),AND(EZ$2&gt;=$F6,EZ$2&lt;=IF(ISNUMBER($G6),$G6,$F6+$E6-$D6)),FALSE()),2,IF(AND(EZ$2&gt;=$D6,EZ$2&lt;=$E6),1,"")))</f>
        <v/>
      </c>
      <c r="FA6" s="55" t="str">
        <f aca="false">IF(OR(FA$2="",$D6=""),"",IF(IF(ISNUMBER($F6),AND(FA$2&gt;=$F6,FA$2&lt;=IF(ISNUMBER($G6),$G6,$F6+$E6-$D6)),FALSE()),2,IF(AND(FA$2&gt;=$D6,FA$2&lt;=$E6),1,"")))</f>
        <v/>
      </c>
      <c r="FB6" s="55" t="str">
        <f aca="false">IF(OR(FB$2="",$D6=""),"",IF(IF(ISNUMBER($F6),AND(FB$2&gt;=$F6,FB$2&lt;=IF(ISNUMBER($G6),$G6,$F6+$E6-$D6)),FALSE()),2,IF(AND(FB$2&gt;=$D6,FB$2&lt;=$E6),1,"")))</f>
        <v/>
      </c>
      <c r="FC6" s="55" t="str">
        <f aca="false">IF(OR(FC$2="",$D6=""),"",IF(IF(ISNUMBER($F6),AND(FC$2&gt;=$F6,FC$2&lt;=IF(ISNUMBER($G6),$G6,$F6+$E6-$D6)),FALSE()),2,IF(AND(FC$2&gt;=$D6,FC$2&lt;=$E6),1,"")))</f>
        <v/>
      </c>
      <c r="FD6" s="55" t="str">
        <f aca="false">IF(OR(FD$2="",$D6=""),"",IF(IF(ISNUMBER($F6),AND(FD$2&gt;=$F6,FD$2&lt;=IF(ISNUMBER($G6),$G6,$F6+$E6-$D6)),FALSE()),2,IF(AND(FD$2&gt;=$D6,FD$2&lt;=$E6),1,"")))</f>
        <v/>
      </c>
      <c r="FE6" s="55" t="str">
        <f aca="false">IF(OR(FE$2="",$D6=""),"",IF(IF(ISNUMBER($F6),AND(FE$2&gt;=$F6,FE$2&lt;=IF(ISNUMBER($G6),$G6,$F6+$E6-$D6)),FALSE()),2,IF(AND(FE$2&gt;=$D6,FE$2&lt;=$E6),1,"")))</f>
        <v/>
      </c>
      <c r="FF6" s="55" t="str">
        <f aca="false">IF(OR(FF$2="",$D6=""),"",IF(IF(ISNUMBER($F6),AND(FF$2&gt;=$F6,FF$2&lt;=IF(ISNUMBER($G6),$G6,$F6+$E6-$D6)),FALSE()),2,IF(AND(FF$2&gt;=$D6,FF$2&lt;=$E6),1,"")))</f>
        <v/>
      </c>
      <c r="FG6" s="55" t="str">
        <f aca="false">IF(OR(FG$2="",$D6=""),"",IF(IF(ISNUMBER($F6),AND(FG$2&gt;=$F6,FG$2&lt;=IF(ISNUMBER($G6),$G6,$F6+$E6-$D6)),FALSE()),2,IF(AND(FG$2&gt;=$D6,FG$2&lt;=$E6),1,"")))</f>
        <v/>
      </c>
      <c r="FH6" s="55" t="str">
        <f aca="false">IF(OR(FH$2="",$D6=""),"",IF(IF(ISNUMBER($F6),AND(FH$2&gt;=$F6,FH$2&lt;=IF(ISNUMBER($G6),$G6,$F6+$E6-$D6)),FALSE()),2,IF(AND(FH$2&gt;=$D6,FH$2&lt;=$E6),1,"")))</f>
        <v/>
      </c>
      <c r="FI6" s="55" t="str">
        <f aca="false">IF(OR(FI$2="",$D6=""),"",IF(IF(ISNUMBER($F6),AND(FI$2&gt;=$F6,FI$2&lt;=IF(ISNUMBER($G6),$G6,$F6+$E6-$D6)),FALSE()),2,IF(AND(FI$2&gt;=$D6,FI$2&lt;=$E6),1,"")))</f>
        <v/>
      </c>
      <c r="FJ6" s="55" t="str">
        <f aca="false">IF(OR(FJ$2="",$D6=""),"",IF(IF(ISNUMBER($F6),AND(FJ$2&gt;=$F6,FJ$2&lt;=IF(ISNUMBER($G6),$G6,$F6+$E6-$D6)),FALSE()),2,IF(AND(FJ$2&gt;=$D6,FJ$2&lt;=$E6),1,"")))</f>
        <v/>
      </c>
      <c r="FK6" s="55" t="str">
        <f aca="false">IF(OR(FK$2="",$D6=""),"",IF(IF(ISNUMBER($F6),AND(FK$2&gt;=$F6,FK$2&lt;=IF(ISNUMBER($G6),$G6,$F6+$E6-$D6)),FALSE()),2,IF(AND(FK$2&gt;=$D6,FK$2&lt;=$E6),1,"")))</f>
        <v/>
      </c>
      <c r="FL6" s="55" t="str">
        <f aca="false">IF(OR(FL$2="",$D6=""),"",IF(IF(ISNUMBER($F6),AND(FL$2&gt;=$F6,FL$2&lt;=IF(ISNUMBER($G6),$G6,$F6+$E6-$D6)),FALSE()),2,IF(AND(FL$2&gt;=$D6,FL$2&lt;=$E6),1,"")))</f>
        <v/>
      </c>
      <c r="FM6" s="55" t="str">
        <f aca="false">IF(OR(FM$2="",$D6=""),"",IF(IF(ISNUMBER($F6),AND(FM$2&gt;=$F6,FM$2&lt;=IF(ISNUMBER($G6),$G6,$F6+$E6-$D6)),FALSE()),2,IF(AND(FM$2&gt;=$D6,FM$2&lt;=$E6),1,"")))</f>
        <v/>
      </c>
      <c r="FN6" s="55" t="str">
        <f aca="false">IF(OR(FN$2="",$D6=""),"",IF(IF(ISNUMBER($F6),AND(FN$2&gt;=$F6,FN$2&lt;=IF(ISNUMBER($G6),$G6,$F6+$E6-$D6)),FALSE()),2,IF(AND(FN$2&gt;=$D6,FN$2&lt;=$E6),1,"")))</f>
        <v/>
      </c>
      <c r="FO6" s="55" t="str">
        <f aca="false">IF(OR(FO$2="",$D6=""),"",IF(IF(ISNUMBER($F6),AND(FO$2&gt;=$F6,FO$2&lt;=IF(ISNUMBER($G6),$G6,$F6+$E6-$D6)),FALSE()),2,IF(AND(FO$2&gt;=$D6,FO$2&lt;=$E6),1,"")))</f>
        <v/>
      </c>
      <c r="FP6" s="55" t="str">
        <f aca="false">IF(OR(FP$2="",$D6=""),"",IF(IF(ISNUMBER($F6),AND(FP$2&gt;=$F6,FP$2&lt;=IF(ISNUMBER($G6),$G6,$F6+$E6-$D6)),FALSE()),2,IF(AND(FP$2&gt;=$D6,FP$2&lt;=$E6),1,"")))</f>
        <v/>
      </c>
      <c r="FQ6" s="55" t="str">
        <f aca="false">IF(OR(FQ$2="",$D6=""),"",IF(IF(ISNUMBER($F6),AND(FQ$2&gt;=$F6,FQ$2&lt;=IF(ISNUMBER($G6),$G6,$F6+$E6-$D6)),FALSE()),2,IF(AND(FQ$2&gt;=$D6,FQ$2&lt;=$E6),1,"")))</f>
        <v/>
      </c>
      <c r="FR6" s="55" t="str">
        <f aca="false">IF(OR(FR$2="",$D6=""),"",IF(IF(ISNUMBER($F6),AND(FR$2&gt;=$F6,FR$2&lt;=IF(ISNUMBER($G6),$G6,$F6+$E6-$D6)),FALSE()),2,IF(AND(FR$2&gt;=$D6,FR$2&lt;=$E6),1,"")))</f>
        <v/>
      </c>
      <c r="FS6" s="55" t="str">
        <f aca="false">IF(OR(FS$2="",$D6=""),"",IF(IF(ISNUMBER($F6),AND(FS$2&gt;=$F6,FS$2&lt;=IF(ISNUMBER($G6),$G6,$F6+$E6-$D6)),FALSE()),2,IF(AND(FS$2&gt;=$D6,FS$2&lt;=$E6),1,"")))</f>
        <v/>
      </c>
      <c r="FT6" s="55" t="str">
        <f aca="false">IF(OR(FT$2="",$D6=""),"",IF(IF(ISNUMBER($F6),AND(FT$2&gt;=$F6,FT$2&lt;=IF(ISNUMBER($G6),$G6,$F6+$E6-$D6)),FALSE()),2,IF(AND(FT$2&gt;=$D6,FT$2&lt;=$E6),1,"")))</f>
        <v/>
      </c>
      <c r="FU6" s="55" t="str">
        <f aca="false">IF(OR(FU$2="",$D6=""),"",IF(IF(ISNUMBER($F6),AND(FU$2&gt;=$F6,FU$2&lt;=IF(ISNUMBER($G6),$G6,$F6+$E6-$D6)),FALSE()),2,IF(AND(FU$2&gt;=$D6,FU$2&lt;=$E6),1,"")))</f>
        <v/>
      </c>
      <c r="FV6" s="55" t="str">
        <f aca="false">IF(OR(FV$2="",$D6=""),"",IF(IF(ISNUMBER($F6),AND(FV$2&gt;=$F6,FV$2&lt;=IF(ISNUMBER($G6),$G6,$F6+$E6-$D6)),FALSE()),2,IF(AND(FV$2&gt;=$D6,FV$2&lt;=$E6),1,"")))</f>
        <v/>
      </c>
      <c r="FW6" s="55" t="str">
        <f aca="false">IF(OR(FW$2="",$D6=""),"",IF(IF(ISNUMBER($F6),AND(FW$2&gt;=$F6,FW$2&lt;=IF(ISNUMBER($G6),$G6,$F6+$E6-$D6)),FALSE()),2,IF(AND(FW$2&gt;=$D6,FW$2&lt;=$E6),1,"")))</f>
        <v/>
      </c>
      <c r="FX6" s="55" t="str">
        <f aca="false">IF(OR(FX$2="",$D6=""),"",IF(IF(ISNUMBER($F6),AND(FX$2&gt;=$F6,FX$2&lt;=IF(ISNUMBER($G6),$G6,$F6+$E6-$D6)),FALSE()),2,IF(AND(FX$2&gt;=$D6,FX$2&lt;=$E6),1,"")))</f>
        <v/>
      </c>
      <c r="FY6" s="55" t="str">
        <f aca="false">IF(OR(FY$2="",$D6=""),"",IF(IF(ISNUMBER($F6),AND(FY$2&gt;=$F6,FY$2&lt;=IF(ISNUMBER($G6),$G6,$F6+$E6-$D6)),FALSE()),2,IF(AND(FY$2&gt;=$D6,FY$2&lt;=$E6),1,"")))</f>
        <v/>
      </c>
      <c r="FZ6" s="55" t="str">
        <f aca="false">IF(OR(FZ$2="",$D6=""),"",IF(IF(ISNUMBER($F6),AND(FZ$2&gt;=$F6,FZ$2&lt;=IF(ISNUMBER($G6),$G6,$F6+$E6-$D6)),FALSE()),2,IF(AND(FZ$2&gt;=$D6,FZ$2&lt;=$E6),1,"")))</f>
        <v/>
      </c>
      <c r="GA6" s="55" t="str">
        <f aca="false">IF(OR(GA$2="",$D6=""),"",IF(IF(ISNUMBER($F6),AND(GA$2&gt;=$F6,GA$2&lt;=IF(ISNUMBER($G6),$G6,$F6+$E6-$D6)),FALSE()),2,IF(AND(GA$2&gt;=$D6,GA$2&lt;=$E6),1,"")))</f>
        <v/>
      </c>
      <c r="GB6" s="55" t="str">
        <f aca="false">IF(OR(GB$2="",$D6=""),"",IF(IF(ISNUMBER($F6),AND(GB$2&gt;=$F6,GB$2&lt;=IF(ISNUMBER($G6),$G6,$F6+$E6-$D6)),FALSE()),2,IF(AND(GB$2&gt;=$D6,GB$2&lt;=$E6),1,"")))</f>
        <v/>
      </c>
      <c r="GC6" s="55" t="str">
        <f aca="false">IF(OR(GC$2="",$D6=""),"",IF(IF(ISNUMBER($F6),AND(GC$2&gt;=$F6,GC$2&lt;=IF(ISNUMBER($G6),$G6,$F6+$E6-$D6)),FALSE()),2,IF(AND(GC$2&gt;=$D6,GC$2&lt;=$E6),1,"")))</f>
        <v/>
      </c>
      <c r="GD6" s="55" t="str">
        <f aca="false">IF(OR(GD$2="",$D6=""),"",IF(IF(ISNUMBER($F6),AND(GD$2&gt;=$F6,GD$2&lt;=IF(ISNUMBER($G6),$G6,$F6+$E6-$D6)),FALSE()),2,IF(AND(GD$2&gt;=$D6,GD$2&lt;=$E6),1,"")))</f>
        <v/>
      </c>
      <c r="GE6" s="55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false" outlineLevel="0" collapsed="false">
      <c r="A7" s="54" t="s">
        <v>362</v>
      </c>
      <c r="B7" s="21" t="s">
        <v>363</v>
      </c>
      <c r="C7" s="21" t="s">
        <v>83</v>
      </c>
      <c r="D7" s="51" t="n">
        <f aca="false">IF(ISNUMBER(1_Settings!C27),1_Settings!C27,"")</f>
        <v>45995</v>
      </c>
      <c r="E7" s="51" t="n">
        <f aca="false">IF(D7="","",D7)</f>
        <v>45995</v>
      </c>
      <c r="F7" s="51" t="str">
        <f aca="false">IF(_xlfn.MINIFS(2_Daily_input!$D$1:$FQ$1,2_Daily_input!$D$71:$FQ$71,"Plowing")+_xlfn.MINIFS(2_Daily_input!$D$1:$FQ$1,2_Daily_input!$D$72:$FQ$72,"Plowing")=0,"",IF(_xlfn.MINIFS(2_Daily_input!$D$1:$FQ$1,2_Daily_input!$D$71:$FQ$71,"Plowing")=0,_xlfn.MINIFS(2_Daily_input!$D$1:$FQ$1,2_Daily_input!$D$72:$FQ$72,"Plowing"),IF(_xlfn.MINIFS(2_Daily_input!$D$1:$FQ$1,2_Daily_input!$D$72:$FQ$72,"Plowing")=0,_xlfn.MINIFS(2_Daily_input!$D$1:$FQ$1,2_Daily_input!$D$71:$FQ$71,"Plowing"),MIN(_xlfn.MINIFS(2_Daily_input!$D$1:$FQ$1,2_Daily_input!$D$71:$FQ$71,"Plowing"),_xlfn.MINIFS(2_Daily_input!$D$1:$FQ$1,2_Daily_input!$D$72:$FQ$72,"Plowing")))))</f>
        <v/>
      </c>
      <c r="G7" s="51" t="str">
        <f aca="false">""</f>
        <v/>
      </c>
      <c r="H7" s="50" t="str">
        <f aca="true">IF(D7="","no plan",IF(F7&lt;&gt;"",IF(F7-D7&gt;=2,"LATE","OK"),IF(TODAY()&gt;D7+2,"OVERDUE","upcoming")))</f>
        <v>OVERDUE</v>
      </c>
      <c r="I7" s="50" t="str">
        <f aca="false">IF(AND(D7&lt;&gt;"",F7&lt;&gt;""),F7-D7,"")</f>
        <v/>
      </c>
      <c r="J7" s="51" t="n">
        <f aca="false">IF(F7&lt;&gt;"",F7,D7)</f>
        <v>45995</v>
      </c>
      <c r="K7" s="51" t="n">
        <f aca="false">IF(G7&lt;&gt;"",G7,IF(AND(F7&lt;&gt;"",E7=D7),F7,E7))</f>
        <v>45995</v>
      </c>
      <c r="L7" s="50" t="str">
        <f aca="true">IF(AND(D7&lt;&gt;"",F7="",D7&gt;=TODAY()),D7+ROW()/1000,"")</f>
        <v/>
      </c>
      <c r="M7" s="55" t="str">
        <f aca="false">IF(OR(M$2="",$D7=""),"",IF(IF(ISNUMBER($F7),AND(M$2&gt;=$F7,M$2&lt;=IF(ISNUMBER($G7),$G7,$F7+$E7-$D7)),FALSE()),2,IF(AND(M$2&gt;=$D7,M$2&lt;=$E7),1,"")))</f>
        <v/>
      </c>
      <c r="N7" s="55" t="str">
        <f aca="false">IF(OR(N$2="",$D7=""),"",IF(IF(ISNUMBER($F7),AND(N$2&gt;=$F7,N$2&lt;=IF(ISNUMBER($G7),$G7,$F7+$E7-$D7)),FALSE()),2,IF(AND(N$2&gt;=$D7,N$2&lt;=$E7),1,"")))</f>
        <v/>
      </c>
      <c r="O7" s="55" t="str">
        <f aca="false">IF(OR(O$2="",$D7=""),"",IF(IF(ISNUMBER($F7),AND(O$2&gt;=$F7,O$2&lt;=IF(ISNUMBER($G7),$G7,$F7+$E7-$D7)),FALSE()),2,IF(AND(O$2&gt;=$D7,O$2&lt;=$E7),1,"")))</f>
        <v/>
      </c>
      <c r="P7" s="55" t="str">
        <f aca="false">IF(OR(P$2="",$D7=""),"",IF(IF(ISNUMBER($F7),AND(P$2&gt;=$F7,P$2&lt;=IF(ISNUMBER($G7),$G7,$F7+$E7-$D7)),FALSE()),2,IF(AND(P$2&gt;=$D7,P$2&lt;=$E7),1,"")))</f>
        <v/>
      </c>
      <c r="Q7" s="55" t="str">
        <f aca="false">IF(OR(Q$2="",$D7=""),"",IF(IF(ISNUMBER($F7),AND(Q$2&gt;=$F7,Q$2&lt;=IF(ISNUMBER($G7),$G7,$F7+$E7-$D7)),FALSE()),2,IF(AND(Q$2&gt;=$D7,Q$2&lt;=$E7),1,"")))</f>
        <v/>
      </c>
      <c r="R7" s="55" t="str">
        <f aca="false">IF(OR(R$2="",$D7=""),"",IF(IF(ISNUMBER($F7),AND(R$2&gt;=$F7,R$2&lt;=IF(ISNUMBER($G7),$G7,$F7+$E7-$D7)),FALSE()),2,IF(AND(R$2&gt;=$D7,R$2&lt;=$E7),1,"")))</f>
        <v/>
      </c>
      <c r="S7" s="55" t="str">
        <f aca="false">IF(OR(S$2="",$D7=""),"",IF(IF(ISNUMBER($F7),AND(S$2&gt;=$F7,S$2&lt;=IF(ISNUMBER($G7),$G7,$F7+$E7-$D7)),FALSE()),2,IF(AND(S$2&gt;=$D7,S$2&lt;=$E7),1,"")))</f>
        <v/>
      </c>
      <c r="T7" s="55" t="str">
        <f aca="false">IF(OR(T$2="",$D7=""),"",IF(IF(ISNUMBER($F7),AND(T$2&gt;=$F7,T$2&lt;=IF(ISNUMBER($G7),$G7,$F7+$E7-$D7)),FALSE()),2,IF(AND(T$2&gt;=$D7,T$2&lt;=$E7),1,"")))</f>
        <v/>
      </c>
      <c r="U7" s="55" t="str">
        <f aca="false">IF(OR(U$2="",$D7=""),"",IF(IF(ISNUMBER($F7),AND(U$2&gt;=$F7,U$2&lt;=IF(ISNUMBER($G7),$G7,$F7+$E7-$D7)),FALSE()),2,IF(AND(U$2&gt;=$D7,U$2&lt;=$E7),1,"")))</f>
        <v/>
      </c>
      <c r="V7" s="55" t="n">
        <f aca="false">IF(OR(V$2="",$D7=""),"",IF(IF(ISNUMBER($F7),AND(V$2&gt;=$F7,V$2&lt;=IF(ISNUMBER($G7),$G7,$F7+$E7-$D7)),FALSE()),2,IF(AND(V$2&gt;=$D7,V$2&lt;=$E7),1,"")))</f>
        <v>1</v>
      </c>
      <c r="W7" s="55" t="str">
        <f aca="false">IF(OR(W$2="",$D7=""),"",IF(IF(ISNUMBER($F7),AND(W$2&gt;=$F7,W$2&lt;=IF(ISNUMBER($G7),$G7,$F7+$E7-$D7)),FALSE()),2,IF(AND(W$2&gt;=$D7,W$2&lt;=$E7),1,"")))</f>
        <v/>
      </c>
      <c r="X7" s="55" t="str">
        <f aca="false">IF(OR(X$2="",$D7=""),"",IF(IF(ISNUMBER($F7),AND(X$2&gt;=$F7,X$2&lt;=IF(ISNUMBER($G7),$G7,$F7+$E7-$D7)),FALSE()),2,IF(AND(X$2&gt;=$D7,X$2&lt;=$E7),1,"")))</f>
        <v/>
      </c>
      <c r="Y7" s="55" t="str">
        <f aca="false">IF(OR(Y$2="",$D7=""),"",IF(IF(ISNUMBER($F7),AND(Y$2&gt;=$F7,Y$2&lt;=IF(ISNUMBER($G7),$G7,$F7+$E7-$D7)),FALSE()),2,IF(AND(Y$2&gt;=$D7,Y$2&lt;=$E7),1,"")))</f>
        <v/>
      </c>
      <c r="Z7" s="55" t="str">
        <f aca="false">IF(OR(Z$2="",$D7=""),"",IF(IF(ISNUMBER($F7),AND(Z$2&gt;=$F7,Z$2&lt;=IF(ISNUMBER($G7),$G7,$F7+$E7-$D7)),FALSE()),2,IF(AND(Z$2&gt;=$D7,Z$2&lt;=$E7),1,"")))</f>
        <v/>
      </c>
      <c r="AA7" s="55" t="str">
        <f aca="false">IF(OR(AA$2="",$D7=""),"",IF(IF(ISNUMBER($F7),AND(AA$2&gt;=$F7,AA$2&lt;=IF(ISNUMBER($G7),$G7,$F7+$E7-$D7)),FALSE()),2,IF(AND(AA$2&gt;=$D7,AA$2&lt;=$E7),1,"")))</f>
        <v/>
      </c>
      <c r="AB7" s="55" t="str">
        <f aca="false">IF(OR(AB$2="",$D7=""),"",IF(IF(ISNUMBER($F7),AND(AB$2&gt;=$F7,AB$2&lt;=IF(ISNUMBER($G7),$G7,$F7+$E7-$D7)),FALSE()),2,IF(AND(AB$2&gt;=$D7,AB$2&lt;=$E7),1,"")))</f>
        <v/>
      </c>
      <c r="AC7" s="55" t="str">
        <f aca="false">IF(OR(AC$2="",$D7=""),"",IF(IF(ISNUMBER($F7),AND(AC$2&gt;=$F7,AC$2&lt;=IF(ISNUMBER($G7),$G7,$F7+$E7-$D7)),FALSE()),2,IF(AND(AC$2&gt;=$D7,AC$2&lt;=$E7),1,"")))</f>
        <v/>
      </c>
      <c r="AD7" s="55" t="str">
        <f aca="false">IF(OR(AD$2="",$D7=""),"",IF(IF(ISNUMBER($F7),AND(AD$2&gt;=$F7,AD$2&lt;=IF(ISNUMBER($G7),$G7,$F7+$E7-$D7)),FALSE()),2,IF(AND(AD$2&gt;=$D7,AD$2&lt;=$E7),1,"")))</f>
        <v/>
      </c>
      <c r="AE7" s="55" t="str">
        <f aca="false">IF(OR(AE$2="",$D7=""),"",IF(IF(ISNUMBER($F7),AND(AE$2&gt;=$F7,AE$2&lt;=IF(ISNUMBER($G7),$G7,$F7+$E7-$D7)),FALSE()),2,IF(AND(AE$2&gt;=$D7,AE$2&lt;=$E7),1,"")))</f>
        <v/>
      </c>
      <c r="AF7" s="55" t="str">
        <f aca="false">IF(OR(AF$2="",$D7=""),"",IF(IF(ISNUMBER($F7),AND(AF$2&gt;=$F7,AF$2&lt;=IF(ISNUMBER($G7),$G7,$F7+$E7-$D7)),FALSE()),2,IF(AND(AF$2&gt;=$D7,AF$2&lt;=$E7),1,"")))</f>
        <v/>
      </c>
      <c r="AG7" s="55" t="str">
        <f aca="false">IF(OR(AG$2="",$D7=""),"",IF(IF(ISNUMBER($F7),AND(AG$2&gt;=$F7,AG$2&lt;=IF(ISNUMBER($G7),$G7,$F7+$E7-$D7)),FALSE()),2,IF(AND(AG$2&gt;=$D7,AG$2&lt;=$E7),1,"")))</f>
        <v/>
      </c>
      <c r="AH7" s="55" t="str">
        <f aca="false">IF(OR(AH$2="",$D7=""),"",IF(IF(ISNUMBER($F7),AND(AH$2&gt;=$F7,AH$2&lt;=IF(ISNUMBER($G7),$G7,$F7+$E7-$D7)),FALSE()),2,IF(AND(AH$2&gt;=$D7,AH$2&lt;=$E7),1,"")))</f>
        <v/>
      </c>
      <c r="AI7" s="55" t="str">
        <f aca="false">IF(OR(AI$2="",$D7=""),"",IF(IF(ISNUMBER($F7),AND(AI$2&gt;=$F7,AI$2&lt;=IF(ISNUMBER($G7),$G7,$F7+$E7-$D7)),FALSE()),2,IF(AND(AI$2&gt;=$D7,AI$2&lt;=$E7),1,"")))</f>
        <v/>
      </c>
      <c r="AJ7" s="55" t="str">
        <f aca="false">IF(OR(AJ$2="",$D7=""),"",IF(IF(ISNUMBER($F7),AND(AJ$2&gt;=$F7,AJ$2&lt;=IF(ISNUMBER($G7),$G7,$F7+$E7-$D7)),FALSE()),2,IF(AND(AJ$2&gt;=$D7,AJ$2&lt;=$E7),1,"")))</f>
        <v/>
      </c>
      <c r="AK7" s="55" t="str">
        <f aca="false">IF(OR(AK$2="",$D7=""),"",IF(IF(ISNUMBER($F7),AND(AK$2&gt;=$F7,AK$2&lt;=IF(ISNUMBER($G7),$G7,$F7+$E7-$D7)),FALSE()),2,IF(AND(AK$2&gt;=$D7,AK$2&lt;=$E7),1,"")))</f>
        <v/>
      </c>
      <c r="AL7" s="55" t="str">
        <f aca="false">IF(OR(AL$2="",$D7=""),"",IF(IF(ISNUMBER($F7),AND(AL$2&gt;=$F7,AL$2&lt;=IF(ISNUMBER($G7),$G7,$F7+$E7-$D7)),FALSE()),2,IF(AND(AL$2&gt;=$D7,AL$2&lt;=$E7),1,"")))</f>
        <v/>
      </c>
      <c r="AM7" s="55" t="str">
        <f aca="false">IF(OR(AM$2="",$D7=""),"",IF(IF(ISNUMBER($F7),AND(AM$2&gt;=$F7,AM$2&lt;=IF(ISNUMBER($G7),$G7,$F7+$E7-$D7)),FALSE()),2,IF(AND(AM$2&gt;=$D7,AM$2&lt;=$E7),1,"")))</f>
        <v/>
      </c>
      <c r="AN7" s="55" t="str">
        <f aca="false">IF(OR(AN$2="",$D7=""),"",IF(IF(ISNUMBER($F7),AND(AN$2&gt;=$F7,AN$2&lt;=IF(ISNUMBER($G7),$G7,$F7+$E7-$D7)),FALSE()),2,IF(AND(AN$2&gt;=$D7,AN$2&lt;=$E7),1,"")))</f>
        <v/>
      </c>
      <c r="AO7" s="55" t="str">
        <f aca="false">IF(OR(AO$2="",$D7=""),"",IF(IF(ISNUMBER($F7),AND(AO$2&gt;=$F7,AO$2&lt;=IF(ISNUMBER($G7),$G7,$F7+$E7-$D7)),FALSE()),2,IF(AND(AO$2&gt;=$D7,AO$2&lt;=$E7),1,"")))</f>
        <v/>
      </c>
      <c r="AP7" s="55" t="str">
        <f aca="false">IF(OR(AP$2="",$D7=""),"",IF(IF(ISNUMBER($F7),AND(AP$2&gt;=$F7,AP$2&lt;=IF(ISNUMBER($G7),$G7,$F7+$E7-$D7)),FALSE()),2,IF(AND(AP$2&gt;=$D7,AP$2&lt;=$E7),1,"")))</f>
        <v/>
      </c>
      <c r="AQ7" s="55" t="str">
        <f aca="false">IF(OR(AQ$2="",$D7=""),"",IF(IF(ISNUMBER($F7),AND(AQ$2&gt;=$F7,AQ$2&lt;=IF(ISNUMBER($G7),$G7,$F7+$E7-$D7)),FALSE()),2,IF(AND(AQ$2&gt;=$D7,AQ$2&lt;=$E7),1,"")))</f>
        <v/>
      </c>
      <c r="AR7" s="55" t="str">
        <f aca="false">IF(OR(AR$2="",$D7=""),"",IF(IF(ISNUMBER($F7),AND(AR$2&gt;=$F7,AR$2&lt;=IF(ISNUMBER($G7),$G7,$F7+$E7-$D7)),FALSE()),2,IF(AND(AR$2&gt;=$D7,AR$2&lt;=$E7),1,"")))</f>
        <v/>
      </c>
      <c r="AS7" s="55" t="str">
        <f aca="false">IF(OR(AS$2="",$D7=""),"",IF(IF(ISNUMBER($F7),AND(AS$2&gt;=$F7,AS$2&lt;=IF(ISNUMBER($G7),$G7,$F7+$E7-$D7)),FALSE()),2,IF(AND(AS$2&gt;=$D7,AS$2&lt;=$E7),1,"")))</f>
        <v/>
      </c>
      <c r="AT7" s="55" t="str">
        <f aca="false">IF(OR(AT$2="",$D7=""),"",IF(IF(ISNUMBER($F7),AND(AT$2&gt;=$F7,AT$2&lt;=IF(ISNUMBER($G7),$G7,$F7+$E7-$D7)),FALSE()),2,IF(AND(AT$2&gt;=$D7,AT$2&lt;=$E7),1,"")))</f>
        <v/>
      </c>
      <c r="AU7" s="55" t="str">
        <f aca="false">IF(OR(AU$2="",$D7=""),"",IF(IF(ISNUMBER($F7),AND(AU$2&gt;=$F7,AU$2&lt;=IF(ISNUMBER($G7),$G7,$F7+$E7-$D7)),FALSE()),2,IF(AND(AU$2&gt;=$D7,AU$2&lt;=$E7),1,"")))</f>
        <v/>
      </c>
      <c r="AV7" s="55" t="str">
        <f aca="false">IF(OR(AV$2="",$D7=""),"",IF(IF(ISNUMBER($F7),AND(AV$2&gt;=$F7,AV$2&lt;=IF(ISNUMBER($G7),$G7,$F7+$E7-$D7)),FALSE()),2,IF(AND(AV$2&gt;=$D7,AV$2&lt;=$E7),1,"")))</f>
        <v/>
      </c>
      <c r="AW7" s="55" t="str">
        <f aca="false">IF(OR(AW$2="",$D7=""),"",IF(IF(ISNUMBER($F7),AND(AW$2&gt;=$F7,AW$2&lt;=IF(ISNUMBER($G7),$G7,$F7+$E7-$D7)),FALSE()),2,IF(AND(AW$2&gt;=$D7,AW$2&lt;=$E7),1,"")))</f>
        <v/>
      </c>
      <c r="AX7" s="55" t="str">
        <f aca="false">IF(OR(AX$2="",$D7=""),"",IF(IF(ISNUMBER($F7),AND(AX$2&gt;=$F7,AX$2&lt;=IF(ISNUMBER($G7),$G7,$F7+$E7-$D7)),FALSE()),2,IF(AND(AX$2&gt;=$D7,AX$2&lt;=$E7),1,"")))</f>
        <v/>
      </c>
      <c r="AY7" s="55" t="str">
        <f aca="false">IF(OR(AY$2="",$D7=""),"",IF(IF(ISNUMBER($F7),AND(AY$2&gt;=$F7,AY$2&lt;=IF(ISNUMBER($G7),$G7,$F7+$E7-$D7)),FALSE()),2,IF(AND(AY$2&gt;=$D7,AY$2&lt;=$E7),1,"")))</f>
        <v/>
      </c>
      <c r="AZ7" s="55" t="str">
        <f aca="false">IF(OR(AZ$2="",$D7=""),"",IF(IF(ISNUMBER($F7),AND(AZ$2&gt;=$F7,AZ$2&lt;=IF(ISNUMBER($G7),$G7,$F7+$E7-$D7)),FALSE()),2,IF(AND(AZ$2&gt;=$D7,AZ$2&lt;=$E7),1,"")))</f>
        <v/>
      </c>
      <c r="BA7" s="55" t="str">
        <f aca="false">IF(OR(BA$2="",$D7=""),"",IF(IF(ISNUMBER($F7),AND(BA$2&gt;=$F7,BA$2&lt;=IF(ISNUMBER($G7),$G7,$F7+$E7-$D7)),FALSE()),2,IF(AND(BA$2&gt;=$D7,BA$2&lt;=$E7),1,"")))</f>
        <v/>
      </c>
      <c r="BB7" s="55" t="str">
        <f aca="false">IF(OR(BB$2="",$D7=""),"",IF(IF(ISNUMBER($F7),AND(BB$2&gt;=$F7,BB$2&lt;=IF(ISNUMBER($G7),$G7,$F7+$E7-$D7)),FALSE()),2,IF(AND(BB$2&gt;=$D7,BB$2&lt;=$E7),1,"")))</f>
        <v/>
      </c>
      <c r="BC7" s="55" t="str">
        <f aca="false">IF(OR(BC$2="",$D7=""),"",IF(IF(ISNUMBER($F7),AND(BC$2&gt;=$F7,BC$2&lt;=IF(ISNUMBER($G7),$G7,$F7+$E7-$D7)),FALSE()),2,IF(AND(BC$2&gt;=$D7,BC$2&lt;=$E7),1,"")))</f>
        <v/>
      </c>
      <c r="BD7" s="55" t="str">
        <f aca="false">IF(OR(BD$2="",$D7=""),"",IF(IF(ISNUMBER($F7),AND(BD$2&gt;=$F7,BD$2&lt;=IF(ISNUMBER($G7),$G7,$F7+$E7-$D7)),FALSE()),2,IF(AND(BD$2&gt;=$D7,BD$2&lt;=$E7),1,"")))</f>
        <v/>
      </c>
      <c r="BE7" s="55" t="str">
        <f aca="false">IF(OR(BE$2="",$D7=""),"",IF(IF(ISNUMBER($F7),AND(BE$2&gt;=$F7,BE$2&lt;=IF(ISNUMBER($G7),$G7,$F7+$E7-$D7)),FALSE()),2,IF(AND(BE$2&gt;=$D7,BE$2&lt;=$E7),1,"")))</f>
        <v/>
      </c>
      <c r="BF7" s="55" t="str">
        <f aca="false">IF(OR(BF$2="",$D7=""),"",IF(IF(ISNUMBER($F7),AND(BF$2&gt;=$F7,BF$2&lt;=IF(ISNUMBER($G7),$G7,$F7+$E7-$D7)),FALSE()),2,IF(AND(BF$2&gt;=$D7,BF$2&lt;=$E7),1,"")))</f>
        <v/>
      </c>
      <c r="BG7" s="55" t="str">
        <f aca="false">IF(OR(BG$2="",$D7=""),"",IF(IF(ISNUMBER($F7),AND(BG$2&gt;=$F7,BG$2&lt;=IF(ISNUMBER($G7),$G7,$F7+$E7-$D7)),FALSE()),2,IF(AND(BG$2&gt;=$D7,BG$2&lt;=$E7),1,"")))</f>
        <v/>
      </c>
      <c r="BH7" s="55" t="str">
        <f aca="false">IF(OR(BH$2="",$D7=""),"",IF(IF(ISNUMBER($F7),AND(BH$2&gt;=$F7,BH$2&lt;=IF(ISNUMBER($G7),$G7,$F7+$E7-$D7)),FALSE()),2,IF(AND(BH$2&gt;=$D7,BH$2&lt;=$E7),1,"")))</f>
        <v/>
      </c>
      <c r="BI7" s="55" t="str">
        <f aca="false">IF(OR(BI$2="",$D7=""),"",IF(IF(ISNUMBER($F7),AND(BI$2&gt;=$F7,BI$2&lt;=IF(ISNUMBER($G7),$G7,$F7+$E7-$D7)),FALSE()),2,IF(AND(BI$2&gt;=$D7,BI$2&lt;=$E7),1,"")))</f>
        <v/>
      </c>
      <c r="BJ7" s="55" t="str">
        <f aca="false">IF(OR(BJ$2="",$D7=""),"",IF(IF(ISNUMBER($F7),AND(BJ$2&gt;=$F7,BJ$2&lt;=IF(ISNUMBER($G7),$G7,$F7+$E7-$D7)),FALSE()),2,IF(AND(BJ$2&gt;=$D7,BJ$2&lt;=$E7),1,"")))</f>
        <v/>
      </c>
      <c r="BK7" s="55" t="str">
        <f aca="false">IF(OR(BK$2="",$D7=""),"",IF(IF(ISNUMBER($F7),AND(BK$2&gt;=$F7,BK$2&lt;=IF(ISNUMBER($G7),$G7,$F7+$E7-$D7)),FALSE()),2,IF(AND(BK$2&gt;=$D7,BK$2&lt;=$E7),1,"")))</f>
        <v/>
      </c>
      <c r="BL7" s="55" t="str">
        <f aca="false">IF(OR(BL$2="",$D7=""),"",IF(IF(ISNUMBER($F7),AND(BL$2&gt;=$F7,BL$2&lt;=IF(ISNUMBER($G7),$G7,$F7+$E7-$D7)),FALSE()),2,IF(AND(BL$2&gt;=$D7,BL$2&lt;=$E7),1,"")))</f>
        <v/>
      </c>
      <c r="BM7" s="55" t="str">
        <f aca="false">IF(OR(BM$2="",$D7=""),"",IF(IF(ISNUMBER($F7),AND(BM$2&gt;=$F7,BM$2&lt;=IF(ISNUMBER($G7),$G7,$F7+$E7-$D7)),FALSE()),2,IF(AND(BM$2&gt;=$D7,BM$2&lt;=$E7),1,"")))</f>
        <v/>
      </c>
      <c r="BN7" s="55" t="str">
        <f aca="false">IF(OR(BN$2="",$D7=""),"",IF(IF(ISNUMBER($F7),AND(BN$2&gt;=$F7,BN$2&lt;=IF(ISNUMBER($G7),$G7,$F7+$E7-$D7)),FALSE()),2,IF(AND(BN$2&gt;=$D7,BN$2&lt;=$E7),1,"")))</f>
        <v/>
      </c>
      <c r="BO7" s="55" t="str">
        <f aca="false">IF(OR(BO$2="",$D7=""),"",IF(IF(ISNUMBER($F7),AND(BO$2&gt;=$F7,BO$2&lt;=IF(ISNUMBER($G7),$G7,$F7+$E7-$D7)),FALSE()),2,IF(AND(BO$2&gt;=$D7,BO$2&lt;=$E7),1,"")))</f>
        <v/>
      </c>
      <c r="BP7" s="55" t="str">
        <f aca="false">IF(OR(BP$2="",$D7=""),"",IF(IF(ISNUMBER($F7),AND(BP$2&gt;=$F7,BP$2&lt;=IF(ISNUMBER($G7),$G7,$F7+$E7-$D7)),FALSE()),2,IF(AND(BP$2&gt;=$D7,BP$2&lt;=$E7),1,"")))</f>
        <v/>
      </c>
      <c r="BQ7" s="55" t="str">
        <f aca="false">IF(OR(BQ$2="",$D7=""),"",IF(IF(ISNUMBER($F7),AND(BQ$2&gt;=$F7,BQ$2&lt;=IF(ISNUMBER($G7),$G7,$F7+$E7-$D7)),FALSE()),2,IF(AND(BQ$2&gt;=$D7,BQ$2&lt;=$E7),1,"")))</f>
        <v/>
      </c>
      <c r="BR7" s="55" t="str">
        <f aca="false">IF(OR(BR$2="",$D7=""),"",IF(IF(ISNUMBER($F7),AND(BR$2&gt;=$F7,BR$2&lt;=IF(ISNUMBER($G7),$G7,$F7+$E7-$D7)),FALSE()),2,IF(AND(BR$2&gt;=$D7,BR$2&lt;=$E7),1,"")))</f>
        <v/>
      </c>
      <c r="BS7" s="55" t="str">
        <f aca="false">IF(OR(BS$2="",$D7=""),"",IF(IF(ISNUMBER($F7),AND(BS$2&gt;=$F7,BS$2&lt;=IF(ISNUMBER($G7),$G7,$F7+$E7-$D7)),FALSE()),2,IF(AND(BS$2&gt;=$D7,BS$2&lt;=$E7),1,"")))</f>
        <v/>
      </c>
      <c r="BT7" s="55" t="str">
        <f aca="false">IF(OR(BT$2="",$D7=""),"",IF(IF(ISNUMBER($F7),AND(BT$2&gt;=$F7,BT$2&lt;=IF(ISNUMBER($G7),$G7,$F7+$E7-$D7)),FALSE()),2,IF(AND(BT$2&gt;=$D7,BT$2&lt;=$E7),1,"")))</f>
        <v/>
      </c>
      <c r="BU7" s="55" t="str">
        <f aca="false">IF(OR(BU$2="",$D7=""),"",IF(IF(ISNUMBER($F7),AND(BU$2&gt;=$F7,BU$2&lt;=IF(ISNUMBER($G7),$G7,$F7+$E7-$D7)),FALSE()),2,IF(AND(BU$2&gt;=$D7,BU$2&lt;=$E7),1,"")))</f>
        <v/>
      </c>
      <c r="BV7" s="55" t="str">
        <f aca="false">IF(OR(BV$2="",$D7=""),"",IF(IF(ISNUMBER($F7),AND(BV$2&gt;=$F7,BV$2&lt;=IF(ISNUMBER($G7),$G7,$F7+$E7-$D7)),FALSE()),2,IF(AND(BV$2&gt;=$D7,BV$2&lt;=$E7),1,"")))</f>
        <v/>
      </c>
      <c r="BW7" s="55" t="str">
        <f aca="false">IF(OR(BW$2="",$D7=""),"",IF(IF(ISNUMBER($F7),AND(BW$2&gt;=$F7,BW$2&lt;=IF(ISNUMBER($G7),$G7,$F7+$E7-$D7)),FALSE()),2,IF(AND(BW$2&gt;=$D7,BW$2&lt;=$E7),1,"")))</f>
        <v/>
      </c>
      <c r="BX7" s="55" t="str">
        <f aca="false">IF(OR(BX$2="",$D7=""),"",IF(IF(ISNUMBER($F7),AND(BX$2&gt;=$F7,BX$2&lt;=IF(ISNUMBER($G7),$G7,$F7+$E7-$D7)),FALSE()),2,IF(AND(BX$2&gt;=$D7,BX$2&lt;=$E7),1,"")))</f>
        <v/>
      </c>
      <c r="BY7" s="55" t="str">
        <f aca="false">IF(OR(BY$2="",$D7=""),"",IF(IF(ISNUMBER($F7),AND(BY$2&gt;=$F7,BY$2&lt;=IF(ISNUMBER($G7),$G7,$F7+$E7-$D7)),FALSE()),2,IF(AND(BY$2&gt;=$D7,BY$2&lt;=$E7),1,"")))</f>
        <v/>
      </c>
      <c r="BZ7" s="55" t="str">
        <f aca="false">IF(OR(BZ$2="",$D7=""),"",IF(IF(ISNUMBER($F7),AND(BZ$2&gt;=$F7,BZ$2&lt;=IF(ISNUMBER($G7),$G7,$F7+$E7-$D7)),FALSE()),2,IF(AND(BZ$2&gt;=$D7,BZ$2&lt;=$E7),1,"")))</f>
        <v/>
      </c>
      <c r="CA7" s="55" t="str">
        <f aca="false">IF(OR(CA$2="",$D7=""),"",IF(IF(ISNUMBER($F7),AND(CA$2&gt;=$F7,CA$2&lt;=IF(ISNUMBER($G7),$G7,$F7+$E7-$D7)),FALSE()),2,IF(AND(CA$2&gt;=$D7,CA$2&lt;=$E7),1,"")))</f>
        <v/>
      </c>
      <c r="CB7" s="55" t="str">
        <f aca="false">IF(OR(CB$2="",$D7=""),"",IF(IF(ISNUMBER($F7),AND(CB$2&gt;=$F7,CB$2&lt;=IF(ISNUMBER($G7),$G7,$F7+$E7-$D7)),FALSE()),2,IF(AND(CB$2&gt;=$D7,CB$2&lt;=$E7),1,"")))</f>
        <v/>
      </c>
      <c r="CC7" s="55" t="str">
        <f aca="false">IF(OR(CC$2="",$D7=""),"",IF(IF(ISNUMBER($F7),AND(CC$2&gt;=$F7,CC$2&lt;=IF(ISNUMBER($G7),$G7,$F7+$E7-$D7)),FALSE()),2,IF(AND(CC$2&gt;=$D7,CC$2&lt;=$E7),1,"")))</f>
        <v/>
      </c>
      <c r="CD7" s="55" t="str">
        <f aca="false">IF(OR(CD$2="",$D7=""),"",IF(IF(ISNUMBER($F7),AND(CD$2&gt;=$F7,CD$2&lt;=IF(ISNUMBER($G7),$G7,$F7+$E7-$D7)),FALSE()),2,IF(AND(CD$2&gt;=$D7,CD$2&lt;=$E7),1,"")))</f>
        <v/>
      </c>
      <c r="CE7" s="55" t="str">
        <f aca="false">IF(OR(CE$2="",$D7=""),"",IF(IF(ISNUMBER($F7),AND(CE$2&gt;=$F7,CE$2&lt;=IF(ISNUMBER($G7),$G7,$F7+$E7-$D7)),FALSE()),2,IF(AND(CE$2&gt;=$D7,CE$2&lt;=$E7),1,"")))</f>
        <v/>
      </c>
      <c r="CF7" s="55" t="str">
        <f aca="false">IF(OR(CF$2="",$D7=""),"",IF(IF(ISNUMBER($F7),AND(CF$2&gt;=$F7,CF$2&lt;=IF(ISNUMBER($G7),$G7,$F7+$E7-$D7)),FALSE()),2,IF(AND(CF$2&gt;=$D7,CF$2&lt;=$E7),1,"")))</f>
        <v/>
      </c>
      <c r="CG7" s="55" t="str">
        <f aca="false">IF(OR(CG$2="",$D7=""),"",IF(IF(ISNUMBER($F7),AND(CG$2&gt;=$F7,CG$2&lt;=IF(ISNUMBER($G7),$G7,$F7+$E7-$D7)),FALSE()),2,IF(AND(CG$2&gt;=$D7,CG$2&lt;=$E7),1,"")))</f>
        <v/>
      </c>
      <c r="CH7" s="55" t="str">
        <f aca="false">IF(OR(CH$2="",$D7=""),"",IF(IF(ISNUMBER($F7),AND(CH$2&gt;=$F7,CH$2&lt;=IF(ISNUMBER($G7),$G7,$F7+$E7-$D7)),FALSE()),2,IF(AND(CH$2&gt;=$D7,CH$2&lt;=$E7),1,"")))</f>
        <v/>
      </c>
      <c r="CI7" s="55" t="str">
        <f aca="false">IF(OR(CI$2="",$D7=""),"",IF(IF(ISNUMBER($F7),AND(CI$2&gt;=$F7,CI$2&lt;=IF(ISNUMBER($G7),$G7,$F7+$E7-$D7)),FALSE()),2,IF(AND(CI$2&gt;=$D7,CI$2&lt;=$E7),1,"")))</f>
        <v/>
      </c>
      <c r="CJ7" s="55" t="str">
        <f aca="false">IF(OR(CJ$2="",$D7=""),"",IF(IF(ISNUMBER($F7),AND(CJ$2&gt;=$F7,CJ$2&lt;=IF(ISNUMBER($G7),$G7,$F7+$E7-$D7)),FALSE()),2,IF(AND(CJ$2&gt;=$D7,CJ$2&lt;=$E7),1,"")))</f>
        <v/>
      </c>
      <c r="CK7" s="55" t="str">
        <f aca="false">IF(OR(CK$2="",$D7=""),"",IF(IF(ISNUMBER($F7),AND(CK$2&gt;=$F7,CK$2&lt;=IF(ISNUMBER($G7),$G7,$F7+$E7-$D7)),FALSE()),2,IF(AND(CK$2&gt;=$D7,CK$2&lt;=$E7),1,"")))</f>
        <v/>
      </c>
      <c r="CL7" s="55" t="str">
        <f aca="false">IF(OR(CL$2="",$D7=""),"",IF(IF(ISNUMBER($F7),AND(CL$2&gt;=$F7,CL$2&lt;=IF(ISNUMBER($G7),$G7,$F7+$E7-$D7)),FALSE()),2,IF(AND(CL$2&gt;=$D7,CL$2&lt;=$E7),1,"")))</f>
        <v/>
      </c>
      <c r="CM7" s="55" t="str">
        <f aca="false">IF(OR(CM$2="",$D7=""),"",IF(IF(ISNUMBER($F7),AND(CM$2&gt;=$F7,CM$2&lt;=IF(ISNUMBER($G7),$G7,$F7+$E7-$D7)),FALSE()),2,IF(AND(CM$2&gt;=$D7,CM$2&lt;=$E7),1,"")))</f>
        <v/>
      </c>
      <c r="CN7" s="55" t="str">
        <f aca="false">IF(OR(CN$2="",$D7=""),"",IF(IF(ISNUMBER($F7),AND(CN$2&gt;=$F7,CN$2&lt;=IF(ISNUMBER($G7),$G7,$F7+$E7-$D7)),FALSE()),2,IF(AND(CN$2&gt;=$D7,CN$2&lt;=$E7),1,"")))</f>
        <v/>
      </c>
      <c r="CO7" s="55" t="str">
        <f aca="false">IF(OR(CO$2="",$D7=""),"",IF(IF(ISNUMBER($F7),AND(CO$2&gt;=$F7,CO$2&lt;=IF(ISNUMBER($G7),$G7,$F7+$E7-$D7)),FALSE()),2,IF(AND(CO$2&gt;=$D7,CO$2&lt;=$E7),1,"")))</f>
        <v/>
      </c>
      <c r="CP7" s="55" t="str">
        <f aca="false">IF(OR(CP$2="",$D7=""),"",IF(IF(ISNUMBER($F7),AND(CP$2&gt;=$F7,CP$2&lt;=IF(ISNUMBER($G7),$G7,$F7+$E7-$D7)),FALSE()),2,IF(AND(CP$2&gt;=$D7,CP$2&lt;=$E7),1,"")))</f>
        <v/>
      </c>
      <c r="CQ7" s="55" t="str">
        <f aca="false">IF(OR(CQ$2="",$D7=""),"",IF(IF(ISNUMBER($F7),AND(CQ$2&gt;=$F7,CQ$2&lt;=IF(ISNUMBER($G7),$G7,$F7+$E7-$D7)),FALSE()),2,IF(AND(CQ$2&gt;=$D7,CQ$2&lt;=$E7),1,"")))</f>
        <v/>
      </c>
      <c r="CR7" s="55" t="str">
        <f aca="false">IF(OR(CR$2="",$D7=""),"",IF(IF(ISNUMBER($F7),AND(CR$2&gt;=$F7,CR$2&lt;=IF(ISNUMBER($G7),$G7,$F7+$E7-$D7)),FALSE()),2,IF(AND(CR$2&gt;=$D7,CR$2&lt;=$E7),1,"")))</f>
        <v/>
      </c>
      <c r="CS7" s="55" t="str">
        <f aca="false">IF(OR(CS$2="",$D7=""),"",IF(IF(ISNUMBER($F7),AND(CS$2&gt;=$F7,CS$2&lt;=IF(ISNUMBER($G7),$G7,$F7+$E7-$D7)),FALSE()),2,IF(AND(CS$2&gt;=$D7,CS$2&lt;=$E7),1,"")))</f>
        <v/>
      </c>
      <c r="CT7" s="55" t="str">
        <f aca="false">IF(OR(CT$2="",$D7=""),"",IF(IF(ISNUMBER($F7),AND(CT$2&gt;=$F7,CT$2&lt;=IF(ISNUMBER($G7),$G7,$F7+$E7-$D7)),FALSE()),2,IF(AND(CT$2&gt;=$D7,CT$2&lt;=$E7),1,"")))</f>
        <v/>
      </c>
      <c r="CU7" s="55" t="str">
        <f aca="false">IF(OR(CU$2="",$D7=""),"",IF(IF(ISNUMBER($F7),AND(CU$2&gt;=$F7,CU$2&lt;=IF(ISNUMBER($G7),$G7,$F7+$E7-$D7)),FALSE()),2,IF(AND(CU$2&gt;=$D7,CU$2&lt;=$E7),1,"")))</f>
        <v/>
      </c>
      <c r="CV7" s="55" t="str">
        <f aca="false">IF(OR(CV$2="",$D7=""),"",IF(IF(ISNUMBER($F7),AND(CV$2&gt;=$F7,CV$2&lt;=IF(ISNUMBER($G7),$G7,$F7+$E7-$D7)),FALSE()),2,IF(AND(CV$2&gt;=$D7,CV$2&lt;=$E7),1,"")))</f>
        <v/>
      </c>
      <c r="CW7" s="55" t="str">
        <f aca="false">IF(OR(CW$2="",$D7=""),"",IF(IF(ISNUMBER($F7),AND(CW$2&gt;=$F7,CW$2&lt;=IF(ISNUMBER($G7),$G7,$F7+$E7-$D7)),FALSE()),2,IF(AND(CW$2&gt;=$D7,CW$2&lt;=$E7),1,"")))</f>
        <v/>
      </c>
      <c r="CX7" s="55" t="str">
        <f aca="false">IF(OR(CX$2="",$D7=""),"",IF(IF(ISNUMBER($F7),AND(CX$2&gt;=$F7,CX$2&lt;=IF(ISNUMBER($G7),$G7,$F7+$E7-$D7)),FALSE()),2,IF(AND(CX$2&gt;=$D7,CX$2&lt;=$E7),1,"")))</f>
        <v/>
      </c>
      <c r="CY7" s="55" t="str">
        <f aca="false">IF(OR(CY$2="",$D7=""),"",IF(IF(ISNUMBER($F7),AND(CY$2&gt;=$F7,CY$2&lt;=IF(ISNUMBER($G7),$G7,$F7+$E7-$D7)),FALSE()),2,IF(AND(CY$2&gt;=$D7,CY$2&lt;=$E7),1,"")))</f>
        <v/>
      </c>
      <c r="CZ7" s="55" t="str">
        <f aca="false">IF(OR(CZ$2="",$D7=""),"",IF(IF(ISNUMBER($F7),AND(CZ$2&gt;=$F7,CZ$2&lt;=IF(ISNUMBER($G7),$G7,$F7+$E7-$D7)),FALSE()),2,IF(AND(CZ$2&gt;=$D7,CZ$2&lt;=$E7),1,"")))</f>
        <v/>
      </c>
      <c r="DA7" s="55" t="str">
        <f aca="false">IF(OR(DA$2="",$D7=""),"",IF(IF(ISNUMBER($F7),AND(DA$2&gt;=$F7,DA$2&lt;=IF(ISNUMBER($G7),$G7,$F7+$E7-$D7)),FALSE()),2,IF(AND(DA$2&gt;=$D7,DA$2&lt;=$E7),1,"")))</f>
        <v/>
      </c>
      <c r="DB7" s="55" t="str">
        <f aca="false">IF(OR(DB$2="",$D7=""),"",IF(IF(ISNUMBER($F7),AND(DB$2&gt;=$F7,DB$2&lt;=IF(ISNUMBER($G7),$G7,$F7+$E7-$D7)),FALSE()),2,IF(AND(DB$2&gt;=$D7,DB$2&lt;=$E7),1,"")))</f>
        <v/>
      </c>
      <c r="DC7" s="55" t="str">
        <f aca="false">IF(OR(DC$2="",$D7=""),"",IF(IF(ISNUMBER($F7),AND(DC$2&gt;=$F7,DC$2&lt;=IF(ISNUMBER($G7),$G7,$F7+$E7-$D7)),FALSE()),2,IF(AND(DC$2&gt;=$D7,DC$2&lt;=$E7),1,"")))</f>
        <v/>
      </c>
      <c r="DD7" s="55" t="str">
        <f aca="false">IF(OR(DD$2="",$D7=""),"",IF(IF(ISNUMBER($F7),AND(DD$2&gt;=$F7,DD$2&lt;=IF(ISNUMBER($G7),$G7,$F7+$E7-$D7)),FALSE()),2,IF(AND(DD$2&gt;=$D7,DD$2&lt;=$E7),1,"")))</f>
        <v/>
      </c>
      <c r="DE7" s="55" t="str">
        <f aca="false">IF(OR(DE$2="",$D7=""),"",IF(IF(ISNUMBER($F7),AND(DE$2&gt;=$F7,DE$2&lt;=IF(ISNUMBER($G7),$G7,$F7+$E7-$D7)),FALSE()),2,IF(AND(DE$2&gt;=$D7,DE$2&lt;=$E7),1,"")))</f>
        <v/>
      </c>
      <c r="DF7" s="55" t="str">
        <f aca="false">IF(OR(DF$2="",$D7=""),"",IF(IF(ISNUMBER($F7),AND(DF$2&gt;=$F7,DF$2&lt;=IF(ISNUMBER($G7),$G7,$F7+$E7-$D7)),FALSE()),2,IF(AND(DF$2&gt;=$D7,DF$2&lt;=$E7),1,"")))</f>
        <v/>
      </c>
      <c r="DG7" s="55" t="str">
        <f aca="false">IF(OR(DG$2="",$D7=""),"",IF(IF(ISNUMBER($F7),AND(DG$2&gt;=$F7,DG$2&lt;=IF(ISNUMBER($G7),$G7,$F7+$E7-$D7)),FALSE()),2,IF(AND(DG$2&gt;=$D7,DG$2&lt;=$E7),1,"")))</f>
        <v/>
      </c>
      <c r="DH7" s="55" t="str">
        <f aca="false">IF(OR(DH$2="",$D7=""),"",IF(IF(ISNUMBER($F7),AND(DH$2&gt;=$F7,DH$2&lt;=IF(ISNUMBER($G7),$G7,$F7+$E7-$D7)),FALSE()),2,IF(AND(DH$2&gt;=$D7,DH$2&lt;=$E7),1,"")))</f>
        <v/>
      </c>
      <c r="DI7" s="55" t="str">
        <f aca="false">IF(OR(DI$2="",$D7=""),"",IF(IF(ISNUMBER($F7),AND(DI$2&gt;=$F7,DI$2&lt;=IF(ISNUMBER($G7),$G7,$F7+$E7-$D7)),FALSE()),2,IF(AND(DI$2&gt;=$D7,DI$2&lt;=$E7),1,"")))</f>
        <v/>
      </c>
      <c r="DJ7" s="55" t="str">
        <f aca="false">IF(OR(DJ$2="",$D7=""),"",IF(IF(ISNUMBER($F7),AND(DJ$2&gt;=$F7,DJ$2&lt;=IF(ISNUMBER($G7),$G7,$F7+$E7-$D7)),FALSE()),2,IF(AND(DJ$2&gt;=$D7,DJ$2&lt;=$E7),1,"")))</f>
        <v/>
      </c>
      <c r="DK7" s="55" t="str">
        <f aca="false">IF(OR(DK$2="",$D7=""),"",IF(IF(ISNUMBER($F7),AND(DK$2&gt;=$F7,DK$2&lt;=IF(ISNUMBER($G7),$G7,$F7+$E7-$D7)),FALSE()),2,IF(AND(DK$2&gt;=$D7,DK$2&lt;=$E7),1,"")))</f>
        <v/>
      </c>
      <c r="DL7" s="55" t="str">
        <f aca="false">IF(OR(DL$2="",$D7=""),"",IF(IF(ISNUMBER($F7),AND(DL$2&gt;=$F7,DL$2&lt;=IF(ISNUMBER($G7),$G7,$F7+$E7-$D7)),FALSE()),2,IF(AND(DL$2&gt;=$D7,DL$2&lt;=$E7),1,"")))</f>
        <v/>
      </c>
      <c r="DM7" s="55" t="str">
        <f aca="false">IF(OR(DM$2="",$D7=""),"",IF(IF(ISNUMBER($F7),AND(DM$2&gt;=$F7,DM$2&lt;=IF(ISNUMBER($G7),$G7,$F7+$E7-$D7)),FALSE()),2,IF(AND(DM$2&gt;=$D7,DM$2&lt;=$E7),1,"")))</f>
        <v/>
      </c>
      <c r="DN7" s="55" t="str">
        <f aca="false">IF(OR(DN$2="",$D7=""),"",IF(IF(ISNUMBER($F7),AND(DN$2&gt;=$F7,DN$2&lt;=IF(ISNUMBER($G7),$G7,$F7+$E7-$D7)),FALSE()),2,IF(AND(DN$2&gt;=$D7,DN$2&lt;=$E7),1,"")))</f>
        <v/>
      </c>
      <c r="DO7" s="55" t="str">
        <f aca="false">IF(OR(DO$2="",$D7=""),"",IF(IF(ISNUMBER($F7),AND(DO$2&gt;=$F7,DO$2&lt;=IF(ISNUMBER($G7),$G7,$F7+$E7-$D7)),FALSE()),2,IF(AND(DO$2&gt;=$D7,DO$2&lt;=$E7),1,"")))</f>
        <v/>
      </c>
      <c r="DP7" s="55" t="str">
        <f aca="false">IF(OR(DP$2="",$D7=""),"",IF(IF(ISNUMBER($F7),AND(DP$2&gt;=$F7,DP$2&lt;=IF(ISNUMBER($G7),$G7,$F7+$E7-$D7)),FALSE()),2,IF(AND(DP$2&gt;=$D7,DP$2&lt;=$E7),1,"")))</f>
        <v/>
      </c>
      <c r="DQ7" s="55" t="str">
        <f aca="false">IF(OR(DQ$2="",$D7=""),"",IF(IF(ISNUMBER($F7),AND(DQ$2&gt;=$F7,DQ$2&lt;=IF(ISNUMBER($G7),$G7,$F7+$E7-$D7)),FALSE()),2,IF(AND(DQ$2&gt;=$D7,DQ$2&lt;=$E7),1,"")))</f>
        <v/>
      </c>
      <c r="DR7" s="55" t="str">
        <f aca="false">IF(OR(DR$2="",$D7=""),"",IF(IF(ISNUMBER($F7),AND(DR$2&gt;=$F7,DR$2&lt;=IF(ISNUMBER($G7),$G7,$F7+$E7-$D7)),FALSE()),2,IF(AND(DR$2&gt;=$D7,DR$2&lt;=$E7),1,"")))</f>
        <v/>
      </c>
      <c r="DS7" s="55" t="str">
        <f aca="false">IF(OR(DS$2="",$D7=""),"",IF(IF(ISNUMBER($F7),AND(DS$2&gt;=$F7,DS$2&lt;=IF(ISNUMBER($G7),$G7,$F7+$E7-$D7)),FALSE()),2,IF(AND(DS$2&gt;=$D7,DS$2&lt;=$E7),1,"")))</f>
        <v/>
      </c>
      <c r="DT7" s="55" t="str">
        <f aca="false">IF(OR(DT$2="",$D7=""),"",IF(IF(ISNUMBER($F7),AND(DT$2&gt;=$F7,DT$2&lt;=IF(ISNUMBER($G7),$G7,$F7+$E7-$D7)),FALSE()),2,IF(AND(DT$2&gt;=$D7,DT$2&lt;=$E7),1,"")))</f>
        <v/>
      </c>
      <c r="DU7" s="55" t="str">
        <f aca="false">IF(OR(DU$2="",$D7=""),"",IF(IF(ISNUMBER($F7),AND(DU$2&gt;=$F7,DU$2&lt;=IF(ISNUMBER($G7),$G7,$F7+$E7-$D7)),FALSE()),2,IF(AND(DU$2&gt;=$D7,DU$2&lt;=$E7),1,"")))</f>
        <v/>
      </c>
      <c r="DV7" s="55" t="str">
        <f aca="false">IF(OR(DV$2="",$D7=""),"",IF(IF(ISNUMBER($F7),AND(DV$2&gt;=$F7,DV$2&lt;=IF(ISNUMBER($G7),$G7,$F7+$E7-$D7)),FALSE()),2,IF(AND(DV$2&gt;=$D7,DV$2&lt;=$E7),1,"")))</f>
        <v/>
      </c>
      <c r="DW7" s="55" t="str">
        <f aca="false">IF(OR(DW$2="",$D7=""),"",IF(IF(ISNUMBER($F7),AND(DW$2&gt;=$F7,DW$2&lt;=IF(ISNUMBER($G7),$G7,$F7+$E7-$D7)),FALSE()),2,IF(AND(DW$2&gt;=$D7,DW$2&lt;=$E7),1,"")))</f>
        <v/>
      </c>
      <c r="DX7" s="55" t="str">
        <f aca="false">IF(OR(DX$2="",$D7=""),"",IF(IF(ISNUMBER($F7),AND(DX$2&gt;=$F7,DX$2&lt;=IF(ISNUMBER($G7),$G7,$F7+$E7-$D7)),FALSE()),2,IF(AND(DX$2&gt;=$D7,DX$2&lt;=$E7),1,"")))</f>
        <v/>
      </c>
      <c r="DY7" s="55" t="str">
        <f aca="false">IF(OR(DY$2="",$D7=""),"",IF(IF(ISNUMBER($F7),AND(DY$2&gt;=$F7,DY$2&lt;=IF(ISNUMBER($G7),$G7,$F7+$E7-$D7)),FALSE()),2,IF(AND(DY$2&gt;=$D7,DY$2&lt;=$E7),1,"")))</f>
        <v/>
      </c>
      <c r="DZ7" s="55" t="str">
        <f aca="false">IF(OR(DZ$2="",$D7=""),"",IF(IF(ISNUMBER($F7),AND(DZ$2&gt;=$F7,DZ$2&lt;=IF(ISNUMBER($G7),$G7,$F7+$E7-$D7)),FALSE()),2,IF(AND(DZ$2&gt;=$D7,DZ$2&lt;=$E7),1,"")))</f>
        <v/>
      </c>
      <c r="EA7" s="55" t="str">
        <f aca="false">IF(OR(EA$2="",$D7=""),"",IF(IF(ISNUMBER($F7),AND(EA$2&gt;=$F7,EA$2&lt;=IF(ISNUMBER($G7),$G7,$F7+$E7-$D7)),FALSE()),2,IF(AND(EA$2&gt;=$D7,EA$2&lt;=$E7),1,"")))</f>
        <v/>
      </c>
      <c r="EB7" s="55" t="str">
        <f aca="false">IF(OR(EB$2="",$D7=""),"",IF(IF(ISNUMBER($F7),AND(EB$2&gt;=$F7,EB$2&lt;=IF(ISNUMBER($G7),$G7,$F7+$E7-$D7)),FALSE()),2,IF(AND(EB$2&gt;=$D7,EB$2&lt;=$E7),1,"")))</f>
        <v/>
      </c>
      <c r="EC7" s="55" t="str">
        <f aca="false">IF(OR(EC$2="",$D7=""),"",IF(IF(ISNUMBER($F7),AND(EC$2&gt;=$F7,EC$2&lt;=IF(ISNUMBER($G7),$G7,$F7+$E7-$D7)),FALSE()),2,IF(AND(EC$2&gt;=$D7,EC$2&lt;=$E7),1,"")))</f>
        <v/>
      </c>
      <c r="ED7" s="55" t="str">
        <f aca="false">IF(OR(ED$2="",$D7=""),"",IF(IF(ISNUMBER($F7),AND(ED$2&gt;=$F7,ED$2&lt;=IF(ISNUMBER($G7),$G7,$F7+$E7-$D7)),FALSE()),2,IF(AND(ED$2&gt;=$D7,ED$2&lt;=$E7),1,"")))</f>
        <v/>
      </c>
      <c r="EE7" s="55" t="str">
        <f aca="false">IF(OR(EE$2="",$D7=""),"",IF(IF(ISNUMBER($F7),AND(EE$2&gt;=$F7,EE$2&lt;=IF(ISNUMBER($G7),$G7,$F7+$E7-$D7)),FALSE()),2,IF(AND(EE$2&gt;=$D7,EE$2&lt;=$E7),1,"")))</f>
        <v/>
      </c>
      <c r="EF7" s="55" t="str">
        <f aca="false">IF(OR(EF$2="",$D7=""),"",IF(IF(ISNUMBER($F7),AND(EF$2&gt;=$F7,EF$2&lt;=IF(ISNUMBER($G7),$G7,$F7+$E7-$D7)),FALSE()),2,IF(AND(EF$2&gt;=$D7,EF$2&lt;=$E7),1,"")))</f>
        <v/>
      </c>
      <c r="EG7" s="55" t="str">
        <f aca="false">IF(OR(EG$2="",$D7=""),"",IF(IF(ISNUMBER($F7),AND(EG$2&gt;=$F7,EG$2&lt;=IF(ISNUMBER($G7),$G7,$F7+$E7-$D7)),FALSE()),2,IF(AND(EG$2&gt;=$D7,EG$2&lt;=$E7),1,"")))</f>
        <v/>
      </c>
      <c r="EH7" s="55" t="str">
        <f aca="false">IF(OR(EH$2="",$D7=""),"",IF(IF(ISNUMBER($F7),AND(EH$2&gt;=$F7,EH$2&lt;=IF(ISNUMBER($G7),$G7,$F7+$E7-$D7)),FALSE()),2,IF(AND(EH$2&gt;=$D7,EH$2&lt;=$E7),1,"")))</f>
        <v/>
      </c>
      <c r="EI7" s="55" t="str">
        <f aca="false">IF(OR(EI$2="",$D7=""),"",IF(IF(ISNUMBER($F7),AND(EI$2&gt;=$F7,EI$2&lt;=IF(ISNUMBER($G7),$G7,$F7+$E7-$D7)),FALSE()),2,IF(AND(EI$2&gt;=$D7,EI$2&lt;=$E7),1,"")))</f>
        <v/>
      </c>
      <c r="EJ7" s="55" t="str">
        <f aca="false">IF(OR(EJ$2="",$D7=""),"",IF(IF(ISNUMBER($F7),AND(EJ$2&gt;=$F7,EJ$2&lt;=IF(ISNUMBER($G7),$G7,$F7+$E7-$D7)),FALSE()),2,IF(AND(EJ$2&gt;=$D7,EJ$2&lt;=$E7),1,"")))</f>
        <v/>
      </c>
      <c r="EK7" s="55" t="str">
        <f aca="false">IF(OR(EK$2="",$D7=""),"",IF(IF(ISNUMBER($F7),AND(EK$2&gt;=$F7,EK$2&lt;=IF(ISNUMBER($G7),$G7,$F7+$E7-$D7)),FALSE()),2,IF(AND(EK$2&gt;=$D7,EK$2&lt;=$E7),1,"")))</f>
        <v/>
      </c>
      <c r="EL7" s="55" t="str">
        <f aca="false">IF(OR(EL$2="",$D7=""),"",IF(IF(ISNUMBER($F7),AND(EL$2&gt;=$F7,EL$2&lt;=IF(ISNUMBER($G7),$G7,$F7+$E7-$D7)),FALSE()),2,IF(AND(EL$2&gt;=$D7,EL$2&lt;=$E7),1,"")))</f>
        <v/>
      </c>
      <c r="EM7" s="55" t="str">
        <f aca="false">IF(OR(EM$2="",$D7=""),"",IF(IF(ISNUMBER($F7),AND(EM$2&gt;=$F7,EM$2&lt;=IF(ISNUMBER($G7),$G7,$F7+$E7-$D7)),FALSE()),2,IF(AND(EM$2&gt;=$D7,EM$2&lt;=$E7),1,"")))</f>
        <v/>
      </c>
      <c r="EN7" s="55" t="str">
        <f aca="false">IF(OR(EN$2="",$D7=""),"",IF(IF(ISNUMBER($F7),AND(EN$2&gt;=$F7,EN$2&lt;=IF(ISNUMBER($G7),$G7,$F7+$E7-$D7)),FALSE()),2,IF(AND(EN$2&gt;=$D7,EN$2&lt;=$E7),1,"")))</f>
        <v/>
      </c>
      <c r="EO7" s="55" t="str">
        <f aca="false">IF(OR(EO$2="",$D7=""),"",IF(IF(ISNUMBER($F7),AND(EO$2&gt;=$F7,EO$2&lt;=IF(ISNUMBER($G7),$G7,$F7+$E7-$D7)),FALSE()),2,IF(AND(EO$2&gt;=$D7,EO$2&lt;=$E7),1,"")))</f>
        <v/>
      </c>
      <c r="EP7" s="55" t="str">
        <f aca="false">IF(OR(EP$2="",$D7=""),"",IF(IF(ISNUMBER($F7),AND(EP$2&gt;=$F7,EP$2&lt;=IF(ISNUMBER($G7),$G7,$F7+$E7-$D7)),FALSE()),2,IF(AND(EP$2&gt;=$D7,EP$2&lt;=$E7),1,"")))</f>
        <v/>
      </c>
      <c r="EQ7" s="55" t="str">
        <f aca="false">IF(OR(EQ$2="",$D7=""),"",IF(IF(ISNUMBER($F7),AND(EQ$2&gt;=$F7,EQ$2&lt;=IF(ISNUMBER($G7),$G7,$F7+$E7-$D7)),FALSE()),2,IF(AND(EQ$2&gt;=$D7,EQ$2&lt;=$E7),1,"")))</f>
        <v/>
      </c>
      <c r="ER7" s="55" t="str">
        <f aca="false">IF(OR(ER$2="",$D7=""),"",IF(IF(ISNUMBER($F7),AND(ER$2&gt;=$F7,ER$2&lt;=IF(ISNUMBER($G7),$G7,$F7+$E7-$D7)),FALSE()),2,IF(AND(ER$2&gt;=$D7,ER$2&lt;=$E7),1,"")))</f>
        <v/>
      </c>
      <c r="ES7" s="55" t="str">
        <f aca="false">IF(OR(ES$2="",$D7=""),"",IF(IF(ISNUMBER($F7),AND(ES$2&gt;=$F7,ES$2&lt;=IF(ISNUMBER($G7),$G7,$F7+$E7-$D7)),FALSE()),2,IF(AND(ES$2&gt;=$D7,ES$2&lt;=$E7),1,"")))</f>
        <v/>
      </c>
      <c r="ET7" s="55" t="str">
        <f aca="false">IF(OR(ET$2="",$D7=""),"",IF(IF(ISNUMBER($F7),AND(ET$2&gt;=$F7,ET$2&lt;=IF(ISNUMBER($G7),$G7,$F7+$E7-$D7)),FALSE()),2,IF(AND(ET$2&gt;=$D7,ET$2&lt;=$E7),1,"")))</f>
        <v/>
      </c>
      <c r="EU7" s="55" t="str">
        <f aca="false">IF(OR(EU$2="",$D7=""),"",IF(IF(ISNUMBER($F7),AND(EU$2&gt;=$F7,EU$2&lt;=IF(ISNUMBER($G7),$G7,$F7+$E7-$D7)),FALSE()),2,IF(AND(EU$2&gt;=$D7,EU$2&lt;=$E7),1,"")))</f>
        <v/>
      </c>
      <c r="EV7" s="55" t="str">
        <f aca="false">IF(OR(EV$2="",$D7=""),"",IF(IF(ISNUMBER($F7),AND(EV$2&gt;=$F7,EV$2&lt;=IF(ISNUMBER($G7),$G7,$F7+$E7-$D7)),FALSE()),2,IF(AND(EV$2&gt;=$D7,EV$2&lt;=$E7),1,"")))</f>
        <v/>
      </c>
      <c r="EW7" s="55" t="str">
        <f aca="false">IF(OR(EW$2="",$D7=""),"",IF(IF(ISNUMBER($F7),AND(EW$2&gt;=$F7,EW$2&lt;=IF(ISNUMBER($G7),$G7,$F7+$E7-$D7)),FALSE()),2,IF(AND(EW$2&gt;=$D7,EW$2&lt;=$E7),1,"")))</f>
        <v/>
      </c>
      <c r="EX7" s="55" t="str">
        <f aca="false">IF(OR(EX$2="",$D7=""),"",IF(IF(ISNUMBER($F7),AND(EX$2&gt;=$F7,EX$2&lt;=IF(ISNUMBER($G7),$G7,$F7+$E7-$D7)),FALSE()),2,IF(AND(EX$2&gt;=$D7,EX$2&lt;=$E7),1,"")))</f>
        <v/>
      </c>
      <c r="EY7" s="55" t="str">
        <f aca="false">IF(OR(EY$2="",$D7=""),"",IF(IF(ISNUMBER($F7),AND(EY$2&gt;=$F7,EY$2&lt;=IF(ISNUMBER($G7),$G7,$F7+$E7-$D7)),FALSE()),2,IF(AND(EY$2&gt;=$D7,EY$2&lt;=$E7),1,"")))</f>
        <v/>
      </c>
      <c r="EZ7" s="55" t="str">
        <f aca="false">IF(OR(EZ$2="",$D7=""),"",IF(IF(ISNUMBER($F7),AND(EZ$2&gt;=$F7,EZ$2&lt;=IF(ISNUMBER($G7),$G7,$F7+$E7-$D7)),FALSE()),2,IF(AND(EZ$2&gt;=$D7,EZ$2&lt;=$E7),1,"")))</f>
        <v/>
      </c>
      <c r="FA7" s="55" t="str">
        <f aca="false">IF(OR(FA$2="",$D7=""),"",IF(IF(ISNUMBER($F7),AND(FA$2&gt;=$F7,FA$2&lt;=IF(ISNUMBER($G7),$G7,$F7+$E7-$D7)),FALSE()),2,IF(AND(FA$2&gt;=$D7,FA$2&lt;=$E7),1,"")))</f>
        <v/>
      </c>
      <c r="FB7" s="55" t="str">
        <f aca="false">IF(OR(FB$2="",$D7=""),"",IF(IF(ISNUMBER($F7),AND(FB$2&gt;=$F7,FB$2&lt;=IF(ISNUMBER($G7),$G7,$F7+$E7-$D7)),FALSE()),2,IF(AND(FB$2&gt;=$D7,FB$2&lt;=$E7),1,"")))</f>
        <v/>
      </c>
      <c r="FC7" s="55" t="str">
        <f aca="false">IF(OR(FC$2="",$D7=""),"",IF(IF(ISNUMBER($F7),AND(FC$2&gt;=$F7,FC$2&lt;=IF(ISNUMBER($G7),$G7,$F7+$E7-$D7)),FALSE()),2,IF(AND(FC$2&gt;=$D7,FC$2&lt;=$E7),1,"")))</f>
        <v/>
      </c>
      <c r="FD7" s="55" t="str">
        <f aca="false">IF(OR(FD$2="",$D7=""),"",IF(IF(ISNUMBER($F7),AND(FD$2&gt;=$F7,FD$2&lt;=IF(ISNUMBER($G7),$G7,$F7+$E7-$D7)),FALSE()),2,IF(AND(FD$2&gt;=$D7,FD$2&lt;=$E7),1,"")))</f>
        <v/>
      </c>
      <c r="FE7" s="55" t="str">
        <f aca="false">IF(OR(FE$2="",$D7=""),"",IF(IF(ISNUMBER($F7),AND(FE$2&gt;=$F7,FE$2&lt;=IF(ISNUMBER($G7),$G7,$F7+$E7-$D7)),FALSE()),2,IF(AND(FE$2&gt;=$D7,FE$2&lt;=$E7),1,"")))</f>
        <v/>
      </c>
      <c r="FF7" s="55" t="str">
        <f aca="false">IF(OR(FF$2="",$D7=""),"",IF(IF(ISNUMBER($F7),AND(FF$2&gt;=$F7,FF$2&lt;=IF(ISNUMBER($G7),$G7,$F7+$E7-$D7)),FALSE()),2,IF(AND(FF$2&gt;=$D7,FF$2&lt;=$E7),1,"")))</f>
        <v/>
      </c>
      <c r="FG7" s="55" t="str">
        <f aca="false">IF(OR(FG$2="",$D7=""),"",IF(IF(ISNUMBER($F7),AND(FG$2&gt;=$F7,FG$2&lt;=IF(ISNUMBER($G7),$G7,$F7+$E7-$D7)),FALSE()),2,IF(AND(FG$2&gt;=$D7,FG$2&lt;=$E7),1,"")))</f>
        <v/>
      </c>
      <c r="FH7" s="55" t="str">
        <f aca="false">IF(OR(FH$2="",$D7=""),"",IF(IF(ISNUMBER($F7),AND(FH$2&gt;=$F7,FH$2&lt;=IF(ISNUMBER($G7),$G7,$F7+$E7-$D7)),FALSE()),2,IF(AND(FH$2&gt;=$D7,FH$2&lt;=$E7),1,"")))</f>
        <v/>
      </c>
      <c r="FI7" s="55" t="str">
        <f aca="false">IF(OR(FI$2="",$D7=""),"",IF(IF(ISNUMBER($F7),AND(FI$2&gt;=$F7,FI$2&lt;=IF(ISNUMBER($G7),$G7,$F7+$E7-$D7)),FALSE()),2,IF(AND(FI$2&gt;=$D7,FI$2&lt;=$E7),1,"")))</f>
        <v/>
      </c>
      <c r="FJ7" s="55" t="str">
        <f aca="false">IF(OR(FJ$2="",$D7=""),"",IF(IF(ISNUMBER($F7),AND(FJ$2&gt;=$F7,FJ$2&lt;=IF(ISNUMBER($G7),$G7,$F7+$E7-$D7)),FALSE()),2,IF(AND(FJ$2&gt;=$D7,FJ$2&lt;=$E7),1,"")))</f>
        <v/>
      </c>
      <c r="FK7" s="55" t="str">
        <f aca="false">IF(OR(FK$2="",$D7=""),"",IF(IF(ISNUMBER($F7),AND(FK$2&gt;=$F7,FK$2&lt;=IF(ISNUMBER($G7),$G7,$F7+$E7-$D7)),FALSE()),2,IF(AND(FK$2&gt;=$D7,FK$2&lt;=$E7),1,"")))</f>
        <v/>
      </c>
      <c r="FL7" s="55" t="str">
        <f aca="false">IF(OR(FL$2="",$D7=""),"",IF(IF(ISNUMBER($F7),AND(FL$2&gt;=$F7,FL$2&lt;=IF(ISNUMBER($G7),$G7,$F7+$E7-$D7)),FALSE()),2,IF(AND(FL$2&gt;=$D7,FL$2&lt;=$E7),1,"")))</f>
        <v/>
      </c>
      <c r="FM7" s="55" t="str">
        <f aca="false">IF(OR(FM$2="",$D7=""),"",IF(IF(ISNUMBER($F7),AND(FM$2&gt;=$F7,FM$2&lt;=IF(ISNUMBER($G7),$G7,$F7+$E7-$D7)),FALSE()),2,IF(AND(FM$2&gt;=$D7,FM$2&lt;=$E7),1,"")))</f>
        <v/>
      </c>
      <c r="FN7" s="55" t="str">
        <f aca="false">IF(OR(FN$2="",$D7=""),"",IF(IF(ISNUMBER($F7),AND(FN$2&gt;=$F7,FN$2&lt;=IF(ISNUMBER($G7),$G7,$F7+$E7-$D7)),FALSE()),2,IF(AND(FN$2&gt;=$D7,FN$2&lt;=$E7),1,"")))</f>
        <v/>
      </c>
      <c r="FO7" s="55" t="str">
        <f aca="false">IF(OR(FO$2="",$D7=""),"",IF(IF(ISNUMBER($F7),AND(FO$2&gt;=$F7,FO$2&lt;=IF(ISNUMBER($G7),$G7,$F7+$E7-$D7)),FALSE()),2,IF(AND(FO$2&gt;=$D7,FO$2&lt;=$E7),1,"")))</f>
        <v/>
      </c>
      <c r="FP7" s="55" t="str">
        <f aca="false">IF(OR(FP$2="",$D7=""),"",IF(IF(ISNUMBER($F7),AND(FP$2&gt;=$F7,FP$2&lt;=IF(ISNUMBER($G7),$G7,$F7+$E7-$D7)),FALSE()),2,IF(AND(FP$2&gt;=$D7,FP$2&lt;=$E7),1,"")))</f>
        <v/>
      </c>
      <c r="FQ7" s="55" t="str">
        <f aca="false">IF(OR(FQ$2="",$D7=""),"",IF(IF(ISNUMBER($F7),AND(FQ$2&gt;=$F7,FQ$2&lt;=IF(ISNUMBER($G7),$G7,$F7+$E7-$D7)),FALSE()),2,IF(AND(FQ$2&gt;=$D7,FQ$2&lt;=$E7),1,"")))</f>
        <v/>
      </c>
      <c r="FR7" s="55" t="str">
        <f aca="false">IF(OR(FR$2="",$D7=""),"",IF(IF(ISNUMBER($F7),AND(FR$2&gt;=$F7,FR$2&lt;=IF(ISNUMBER($G7),$G7,$F7+$E7-$D7)),FALSE()),2,IF(AND(FR$2&gt;=$D7,FR$2&lt;=$E7),1,"")))</f>
        <v/>
      </c>
      <c r="FS7" s="55" t="str">
        <f aca="false">IF(OR(FS$2="",$D7=""),"",IF(IF(ISNUMBER($F7),AND(FS$2&gt;=$F7,FS$2&lt;=IF(ISNUMBER($G7),$G7,$F7+$E7-$D7)),FALSE()),2,IF(AND(FS$2&gt;=$D7,FS$2&lt;=$E7),1,"")))</f>
        <v/>
      </c>
      <c r="FT7" s="55" t="str">
        <f aca="false">IF(OR(FT$2="",$D7=""),"",IF(IF(ISNUMBER($F7),AND(FT$2&gt;=$F7,FT$2&lt;=IF(ISNUMBER($G7),$G7,$F7+$E7-$D7)),FALSE()),2,IF(AND(FT$2&gt;=$D7,FT$2&lt;=$E7),1,"")))</f>
        <v/>
      </c>
      <c r="FU7" s="55" t="str">
        <f aca="false">IF(OR(FU$2="",$D7=""),"",IF(IF(ISNUMBER($F7),AND(FU$2&gt;=$F7,FU$2&lt;=IF(ISNUMBER($G7),$G7,$F7+$E7-$D7)),FALSE()),2,IF(AND(FU$2&gt;=$D7,FU$2&lt;=$E7),1,"")))</f>
        <v/>
      </c>
      <c r="FV7" s="55" t="str">
        <f aca="false">IF(OR(FV$2="",$D7=""),"",IF(IF(ISNUMBER($F7),AND(FV$2&gt;=$F7,FV$2&lt;=IF(ISNUMBER($G7),$G7,$F7+$E7-$D7)),FALSE()),2,IF(AND(FV$2&gt;=$D7,FV$2&lt;=$E7),1,"")))</f>
        <v/>
      </c>
      <c r="FW7" s="55" t="str">
        <f aca="false">IF(OR(FW$2="",$D7=""),"",IF(IF(ISNUMBER($F7),AND(FW$2&gt;=$F7,FW$2&lt;=IF(ISNUMBER($G7),$G7,$F7+$E7-$D7)),FALSE()),2,IF(AND(FW$2&gt;=$D7,FW$2&lt;=$E7),1,"")))</f>
        <v/>
      </c>
      <c r="FX7" s="55" t="str">
        <f aca="false">IF(OR(FX$2="",$D7=""),"",IF(IF(ISNUMBER($F7),AND(FX$2&gt;=$F7,FX$2&lt;=IF(ISNUMBER($G7),$G7,$F7+$E7-$D7)),FALSE()),2,IF(AND(FX$2&gt;=$D7,FX$2&lt;=$E7),1,"")))</f>
        <v/>
      </c>
      <c r="FY7" s="55" t="str">
        <f aca="false">IF(OR(FY$2="",$D7=""),"",IF(IF(ISNUMBER($F7),AND(FY$2&gt;=$F7,FY$2&lt;=IF(ISNUMBER($G7),$G7,$F7+$E7-$D7)),FALSE()),2,IF(AND(FY$2&gt;=$D7,FY$2&lt;=$E7),1,"")))</f>
        <v/>
      </c>
      <c r="FZ7" s="55" t="str">
        <f aca="false">IF(OR(FZ$2="",$D7=""),"",IF(IF(ISNUMBER($F7),AND(FZ$2&gt;=$F7,FZ$2&lt;=IF(ISNUMBER($G7),$G7,$F7+$E7-$D7)),FALSE()),2,IF(AND(FZ$2&gt;=$D7,FZ$2&lt;=$E7),1,"")))</f>
        <v/>
      </c>
      <c r="GA7" s="55" t="str">
        <f aca="false">IF(OR(GA$2="",$D7=""),"",IF(IF(ISNUMBER($F7),AND(GA$2&gt;=$F7,GA$2&lt;=IF(ISNUMBER($G7),$G7,$F7+$E7-$D7)),FALSE()),2,IF(AND(GA$2&gt;=$D7,GA$2&lt;=$E7),1,"")))</f>
        <v/>
      </c>
      <c r="GB7" s="55" t="str">
        <f aca="false">IF(OR(GB$2="",$D7=""),"",IF(IF(ISNUMBER($F7),AND(GB$2&gt;=$F7,GB$2&lt;=IF(ISNUMBER($G7),$G7,$F7+$E7-$D7)),FALSE()),2,IF(AND(GB$2&gt;=$D7,GB$2&lt;=$E7),1,"")))</f>
        <v/>
      </c>
      <c r="GC7" s="55" t="str">
        <f aca="false">IF(OR(GC$2="",$D7=""),"",IF(IF(ISNUMBER($F7),AND(GC$2&gt;=$F7,GC$2&lt;=IF(ISNUMBER($G7),$G7,$F7+$E7-$D7)),FALSE()),2,IF(AND(GC$2&gt;=$D7,GC$2&lt;=$E7),1,"")))</f>
        <v/>
      </c>
      <c r="GD7" s="55" t="str">
        <f aca="false">IF(OR(GD$2="",$D7=""),"",IF(IF(ISNUMBER($F7),AND(GD$2&gt;=$F7,GD$2&lt;=IF(ISNUMBER($G7),$G7,$F7+$E7-$D7)),FALSE()),2,IF(AND(GD$2&gt;=$D7,GD$2&lt;=$E7),1,"")))</f>
        <v/>
      </c>
      <c r="GE7" s="55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false" outlineLevel="0" collapsed="false">
      <c r="A8" s="54" t="s">
        <v>364</v>
      </c>
      <c r="B8" s="21" t="s">
        <v>365</v>
      </c>
      <c r="C8" s="21" t="s">
        <v>83</v>
      </c>
      <c r="D8" s="51" t="n">
        <f aca="false">IF(ISNUMBER(1_Settings!C28),1_Settings!C28,"")</f>
        <v>46025</v>
      </c>
      <c r="E8" s="51" t="n">
        <f aca="false">IF(D8="","",D8)</f>
        <v>46025</v>
      </c>
      <c r="F8" s="51" t="str">
        <f aca="false">IF(_xlfn.MINIFS(2_Daily_input!$D$1:$FQ$1,2_Daily_input!$D$71:$FQ$71,"Puddling")+_xlfn.MINIFS(2_Daily_input!$D$1:$FQ$1,2_Daily_input!$D$72:$FQ$72,"Puddling")=0,"",IF(_xlfn.MINIFS(2_Daily_input!$D$1:$FQ$1,2_Daily_input!$D$71:$FQ$71,"Puddling")=0,_xlfn.MINIFS(2_Daily_input!$D$1:$FQ$1,2_Daily_input!$D$72:$FQ$72,"Puddling"),IF(_xlfn.MINIFS(2_Daily_input!$D$1:$FQ$1,2_Daily_input!$D$72:$FQ$72,"Puddling")=0,_xlfn.MINIFS(2_Daily_input!$D$1:$FQ$1,2_Daily_input!$D$71:$FQ$71,"Puddling"),MIN(_xlfn.MINIFS(2_Daily_input!$D$1:$FQ$1,2_Daily_input!$D$71:$FQ$71,"Puddling"),_xlfn.MINIFS(2_Daily_input!$D$1:$FQ$1,2_Daily_input!$D$72:$FQ$72,"Puddling")))))</f>
        <v/>
      </c>
      <c r="G8" s="51" t="str">
        <f aca="false">""</f>
        <v/>
      </c>
      <c r="H8" s="50" t="str">
        <f aca="true">IF(D8="","no plan",IF(F8&lt;&gt;"",IF(F8-D8&gt;=2,"LATE","OK"),IF(TODAY()&gt;D8+2,"OVERDUE","upcoming")))</f>
        <v>OVERDUE</v>
      </c>
      <c r="I8" s="50" t="str">
        <f aca="false">IF(AND(D8&lt;&gt;"",F8&lt;&gt;""),F8-D8,"")</f>
        <v/>
      </c>
      <c r="J8" s="51" t="n">
        <f aca="false">IF(F8&lt;&gt;"",F8,D8)</f>
        <v>46025</v>
      </c>
      <c r="K8" s="51" t="n">
        <f aca="false">IF(G8&lt;&gt;"",G8,IF(AND(F8&lt;&gt;"",E8=D8),F8,E8))</f>
        <v>46025</v>
      </c>
      <c r="L8" s="50" t="str">
        <f aca="true">IF(AND(D8&lt;&gt;"",F8="",D8&gt;=TODAY()),D8+ROW()/1000,"")</f>
        <v/>
      </c>
      <c r="M8" s="55" t="str">
        <f aca="false">IF(OR(M$2="",$D8=""),"",IF(IF(ISNUMBER($F8),AND(M$2&gt;=$F8,M$2&lt;=IF(ISNUMBER($G8),$G8,$F8+$E8-$D8)),FALSE()),2,IF(AND(M$2&gt;=$D8,M$2&lt;=$E8),1,"")))</f>
        <v/>
      </c>
      <c r="N8" s="55" t="str">
        <f aca="false">IF(OR(N$2="",$D8=""),"",IF(IF(ISNUMBER($F8),AND(N$2&gt;=$F8,N$2&lt;=IF(ISNUMBER($G8),$G8,$F8+$E8-$D8)),FALSE()),2,IF(AND(N$2&gt;=$D8,N$2&lt;=$E8),1,"")))</f>
        <v/>
      </c>
      <c r="O8" s="55" t="str">
        <f aca="false">IF(OR(O$2="",$D8=""),"",IF(IF(ISNUMBER($F8),AND(O$2&gt;=$F8,O$2&lt;=IF(ISNUMBER($G8),$G8,$F8+$E8-$D8)),FALSE()),2,IF(AND(O$2&gt;=$D8,O$2&lt;=$E8),1,"")))</f>
        <v/>
      </c>
      <c r="P8" s="55" t="str">
        <f aca="false">IF(OR(P$2="",$D8=""),"",IF(IF(ISNUMBER($F8),AND(P$2&gt;=$F8,P$2&lt;=IF(ISNUMBER($G8),$G8,$F8+$E8-$D8)),FALSE()),2,IF(AND(P$2&gt;=$D8,P$2&lt;=$E8),1,"")))</f>
        <v/>
      </c>
      <c r="Q8" s="55" t="str">
        <f aca="false">IF(OR(Q$2="",$D8=""),"",IF(IF(ISNUMBER($F8),AND(Q$2&gt;=$F8,Q$2&lt;=IF(ISNUMBER($G8),$G8,$F8+$E8-$D8)),FALSE()),2,IF(AND(Q$2&gt;=$D8,Q$2&lt;=$E8),1,"")))</f>
        <v/>
      </c>
      <c r="R8" s="55" t="str">
        <f aca="false">IF(OR(R$2="",$D8=""),"",IF(IF(ISNUMBER($F8),AND(R$2&gt;=$F8,R$2&lt;=IF(ISNUMBER($G8),$G8,$F8+$E8-$D8)),FALSE()),2,IF(AND(R$2&gt;=$D8,R$2&lt;=$E8),1,"")))</f>
        <v/>
      </c>
      <c r="S8" s="55" t="str">
        <f aca="false">IF(OR(S$2="",$D8=""),"",IF(IF(ISNUMBER($F8),AND(S$2&gt;=$F8,S$2&lt;=IF(ISNUMBER($G8),$G8,$F8+$E8-$D8)),FALSE()),2,IF(AND(S$2&gt;=$D8,S$2&lt;=$E8),1,"")))</f>
        <v/>
      </c>
      <c r="T8" s="55" t="str">
        <f aca="false">IF(OR(T$2="",$D8=""),"",IF(IF(ISNUMBER($F8),AND(T$2&gt;=$F8,T$2&lt;=IF(ISNUMBER($G8),$G8,$F8+$E8-$D8)),FALSE()),2,IF(AND(T$2&gt;=$D8,T$2&lt;=$E8),1,"")))</f>
        <v/>
      </c>
      <c r="U8" s="55" t="str">
        <f aca="false">IF(OR(U$2="",$D8=""),"",IF(IF(ISNUMBER($F8),AND(U$2&gt;=$F8,U$2&lt;=IF(ISNUMBER($G8),$G8,$F8+$E8-$D8)),FALSE()),2,IF(AND(U$2&gt;=$D8,U$2&lt;=$E8),1,"")))</f>
        <v/>
      </c>
      <c r="V8" s="55" t="str">
        <f aca="false">IF(OR(V$2="",$D8=""),"",IF(IF(ISNUMBER($F8),AND(V$2&gt;=$F8,V$2&lt;=IF(ISNUMBER($G8),$G8,$F8+$E8-$D8)),FALSE()),2,IF(AND(V$2&gt;=$D8,V$2&lt;=$E8),1,"")))</f>
        <v/>
      </c>
      <c r="W8" s="55" t="str">
        <f aca="false">IF(OR(W$2="",$D8=""),"",IF(IF(ISNUMBER($F8),AND(W$2&gt;=$F8,W$2&lt;=IF(ISNUMBER($G8),$G8,$F8+$E8-$D8)),FALSE()),2,IF(AND(W$2&gt;=$D8,W$2&lt;=$E8),1,"")))</f>
        <v/>
      </c>
      <c r="X8" s="55" t="str">
        <f aca="false">IF(OR(X$2="",$D8=""),"",IF(IF(ISNUMBER($F8),AND(X$2&gt;=$F8,X$2&lt;=IF(ISNUMBER($G8),$G8,$F8+$E8-$D8)),FALSE()),2,IF(AND(X$2&gt;=$D8,X$2&lt;=$E8),1,"")))</f>
        <v/>
      </c>
      <c r="Y8" s="55" t="str">
        <f aca="false">IF(OR(Y$2="",$D8=""),"",IF(IF(ISNUMBER($F8),AND(Y$2&gt;=$F8,Y$2&lt;=IF(ISNUMBER($G8),$G8,$F8+$E8-$D8)),FALSE()),2,IF(AND(Y$2&gt;=$D8,Y$2&lt;=$E8),1,"")))</f>
        <v/>
      </c>
      <c r="Z8" s="55" t="str">
        <f aca="false">IF(OR(Z$2="",$D8=""),"",IF(IF(ISNUMBER($F8),AND(Z$2&gt;=$F8,Z$2&lt;=IF(ISNUMBER($G8),$G8,$F8+$E8-$D8)),FALSE()),2,IF(AND(Z$2&gt;=$D8,Z$2&lt;=$E8),1,"")))</f>
        <v/>
      </c>
      <c r="AA8" s="55" t="str">
        <f aca="false">IF(OR(AA$2="",$D8=""),"",IF(IF(ISNUMBER($F8),AND(AA$2&gt;=$F8,AA$2&lt;=IF(ISNUMBER($G8),$G8,$F8+$E8-$D8)),FALSE()),2,IF(AND(AA$2&gt;=$D8,AA$2&lt;=$E8),1,"")))</f>
        <v/>
      </c>
      <c r="AB8" s="55" t="str">
        <f aca="false">IF(OR(AB$2="",$D8=""),"",IF(IF(ISNUMBER($F8),AND(AB$2&gt;=$F8,AB$2&lt;=IF(ISNUMBER($G8),$G8,$F8+$E8-$D8)),FALSE()),2,IF(AND(AB$2&gt;=$D8,AB$2&lt;=$E8),1,"")))</f>
        <v/>
      </c>
      <c r="AC8" s="55" t="str">
        <f aca="false">IF(OR(AC$2="",$D8=""),"",IF(IF(ISNUMBER($F8),AND(AC$2&gt;=$F8,AC$2&lt;=IF(ISNUMBER($G8),$G8,$F8+$E8-$D8)),FALSE()),2,IF(AND(AC$2&gt;=$D8,AC$2&lt;=$E8),1,"")))</f>
        <v/>
      </c>
      <c r="AD8" s="55" t="str">
        <f aca="false">IF(OR(AD$2="",$D8=""),"",IF(IF(ISNUMBER($F8),AND(AD$2&gt;=$F8,AD$2&lt;=IF(ISNUMBER($G8),$G8,$F8+$E8-$D8)),FALSE()),2,IF(AND(AD$2&gt;=$D8,AD$2&lt;=$E8),1,"")))</f>
        <v/>
      </c>
      <c r="AE8" s="55" t="str">
        <f aca="false">IF(OR(AE$2="",$D8=""),"",IF(IF(ISNUMBER($F8),AND(AE$2&gt;=$F8,AE$2&lt;=IF(ISNUMBER($G8),$G8,$F8+$E8-$D8)),FALSE()),2,IF(AND(AE$2&gt;=$D8,AE$2&lt;=$E8),1,"")))</f>
        <v/>
      </c>
      <c r="AF8" s="55" t="str">
        <f aca="false">IF(OR(AF$2="",$D8=""),"",IF(IF(ISNUMBER($F8),AND(AF$2&gt;=$F8,AF$2&lt;=IF(ISNUMBER($G8),$G8,$F8+$E8-$D8)),FALSE()),2,IF(AND(AF$2&gt;=$D8,AF$2&lt;=$E8),1,"")))</f>
        <v/>
      </c>
      <c r="AG8" s="55" t="str">
        <f aca="false">IF(OR(AG$2="",$D8=""),"",IF(IF(ISNUMBER($F8),AND(AG$2&gt;=$F8,AG$2&lt;=IF(ISNUMBER($G8),$G8,$F8+$E8-$D8)),FALSE()),2,IF(AND(AG$2&gt;=$D8,AG$2&lt;=$E8),1,"")))</f>
        <v/>
      </c>
      <c r="AH8" s="55" t="str">
        <f aca="false">IF(OR(AH$2="",$D8=""),"",IF(IF(ISNUMBER($F8),AND(AH$2&gt;=$F8,AH$2&lt;=IF(ISNUMBER($G8),$G8,$F8+$E8-$D8)),FALSE()),2,IF(AND(AH$2&gt;=$D8,AH$2&lt;=$E8),1,"")))</f>
        <v/>
      </c>
      <c r="AI8" s="55" t="str">
        <f aca="false">IF(OR(AI$2="",$D8=""),"",IF(IF(ISNUMBER($F8),AND(AI$2&gt;=$F8,AI$2&lt;=IF(ISNUMBER($G8),$G8,$F8+$E8-$D8)),FALSE()),2,IF(AND(AI$2&gt;=$D8,AI$2&lt;=$E8),1,"")))</f>
        <v/>
      </c>
      <c r="AJ8" s="55" t="str">
        <f aca="false">IF(OR(AJ$2="",$D8=""),"",IF(IF(ISNUMBER($F8),AND(AJ$2&gt;=$F8,AJ$2&lt;=IF(ISNUMBER($G8),$G8,$F8+$E8-$D8)),FALSE()),2,IF(AND(AJ$2&gt;=$D8,AJ$2&lt;=$E8),1,"")))</f>
        <v/>
      </c>
      <c r="AK8" s="55" t="str">
        <f aca="false">IF(OR(AK$2="",$D8=""),"",IF(IF(ISNUMBER($F8),AND(AK$2&gt;=$F8,AK$2&lt;=IF(ISNUMBER($G8),$G8,$F8+$E8-$D8)),FALSE()),2,IF(AND(AK$2&gt;=$D8,AK$2&lt;=$E8),1,"")))</f>
        <v/>
      </c>
      <c r="AL8" s="55" t="str">
        <f aca="false">IF(OR(AL$2="",$D8=""),"",IF(IF(ISNUMBER($F8),AND(AL$2&gt;=$F8,AL$2&lt;=IF(ISNUMBER($G8),$G8,$F8+$E8-$D8)),FALSE()),2,IF(AND(AL$2&gt;=$D8,AL$2&lt;=$E8),1,"")))</f>
        <v/>
      </c>
      <c r="AM8" s="55" t="str">
        <f aca="false">IF(OR(AM$2="",$D8=""),"",IF(IF(ISNUMBER($F8),AND(AM$2&gt;=$F8,AM$2&lt;=IF(ISNUMBER($G8),$G8,$F8+$E8-$D8)),FALSE()),2,IF(AND(AM$2&gt;=$D8,AM$2&lt;=$E8),1,"")))</f>
        <v/>
      </c>
      <c r="AN8" s="55" t="str">
        <f aca="false">IF(OR(AN$2="",$D8=""),"",IF(IF(ISNUMBER($F8),AND(AN$2&gt;=$F8,AN$2&lt;=IF(ISNUMBER($G8),$G8,$F8+$E8-$D8)),FALSE()),2,IF(AND(AN$2&gt;=$D8,AN$2&lt;=$E8),1,"")))</f>
        <v/>
      </c>
      <c r="AO8" s="55" t="str">
        <f aca="false">IF(OR(AO$2="",$D8=""),"",IF(IF(ISNUMBER($F8),AND(AO$2&gt;=$F8,AO$2&lt;=IF(ISNUMBER($G8),$G8,$F8+$E8-$D8)),FALSE()),2,IF(AND(AO$2&gt;=$D8,AO$2&lt;=$E8),1,"")))</f>
        <v/>
      </c>
      <c r="AP8" s="55" t="str">
        <f aca="false">IF(OR(AP$2="",$D8=""),"",IF(IF(ISNUMBER($F8),AND(AP$2&gt;=$F8,AP$2&lt;=IF(ISNUMBER($G8),$G8,$F8+$E8-$D8)),FALSE()),2,IF(AND(AP$2&gt;=$D8,AP$2&lt;=$E8),1,"")))</f>
        <v/>
      </c>
      <c r="AQ8" s="55" t="str">
        <f aca="false">IF(OR(AQ$2="",$D8=""),"",IF(IF(ISNUMBER($F8),AND(AQ$2&gt;=$F8,AQ$2&lt;=IF(ISNUMBER($G8),$G8,$F8+$E8-$D8)),FALSE()),2,IF(AND(AQ$2&gt;=$D8,AQ$2&lt;=$E8),1,"")))</f>
        <v/>
      </c>
      <c r="AR8" s="55" t="str">
        <f aca="false">IF(OR(AR$2="",$D8=""),"",IF(IF(ISNUMBER($F8),AND(AR$2&gt;=$F8,AR$2&lt;=IF(ISNUMBER($G8),$G8,$F8+$E8-$D8)),FALSE()),2,IF(AND(AR$2&gt;=$D8,AR$2&lt;=$E8),1,"")))</f>
        <v/>
      </c>
      <c r="AS8" s="55" t="str">
        <f aca="false">IF(OR(AS$2="",$D8=""),"",IF(IF(ISNUMBER($F8),AND(AS$2&gt;=$F8,AS$2&lt;=IF(ISNUMBER($G8),$G8,$F8+$E8-$D8)),FALSE()),2,IF(AND(AS$2&gt;=$D8,AS$2&lt;=$E8),1,"")))</f>
        <v/>
      </c>
      <c r="AT8" s="55" t="str">
        <f aca="false">IF(OR(AT$2="",$D8=""),"",IF(IF(ISNUMBER($F8),AND(AT$2&gt;=$F8,AT$2&lt;=IF(ISNUMBER($G8),$G8,$F8+$E8-$D8)),FALSE()),2,IF(AND(AT$2&gt;=$D8,AT$2&lt;=$E8),1,"")))</f>
        <v/>
      </c>
      <c r="AU8" s="55" t="str">
        <f aca="false">IF(OR(AU$2="",$D8=""),"",IF(IF(ISNUMBER($F8),AND(AU$2&gt;=$F8,AU$2&lt;=IF(ISNUMBER($G8),$G8,$F8+$E8-$D8)),FALSE()),2,IF(AND(AU$2&gt;=$D8,AU$2&lt;=$E8),1,"")))</f>
        <v/>
      </c>
      <c r="AV8" s="55" t="str">
        <f aca="false">IF(OR(AV$2="",$D8=""),"",IF(IF(ISNUMBER($F8),AND(AV$2&gt;=$F8,AV$2&lt;=IF(ISNUMBER($G8),$G8,$F8+$E8-$D8)),FALSE()),2,IF(AND(AV$2&gt;=$D8,AV$2&lt;=$E8),1,"")))</f>
        <v/>
      </c>
      <c r="AW8" s="55" t="str">
        <f aca="false">IF(OR(AW$2="",$D8=""),"",IF(IF(ISNUMBER($F8),AND(AW$2&gt;=$F8,AW$2&lt;=IF(ISNUMBER($G8),$G8,$F8+$E8-$D8)),FALSE()),2,IF(AND(AW$2&gt;=$D8,AW$2&lt;=$E8),1,"")))</f>
        <v/>
      </c>
      <c r="AX8" s="55" t="str">
        <f aca="false">IF(OR(AX$2="",$D8=""),"",IF(IF(ISNUMBER($F8),AND(AX$2&gt;=$F8,AX$2&lt;=IF(ISNUMBER($G8),$G8,$F8+$E8-$D8)),FALSE()),2,IF(AND(AX$2&gt;=$D8,AX$2&lt;=$E8),1,"")))</f>
        <v/>
      </c>
      <c r="AY8" s="55" t="str">
        <f aca="false">IF(OR(AY$2="",$D8=""),"",IF(IF(ISNUMBER($F8),AND(AY$2&gt;=$F8,AY$2&lt;=IF(ISNUMBER($G8),$G8,$F8+$E8-$D8)),FALSE()),2,IF(AND(AY$2&gt;=$D8,AY$2&lt;=$E8),1,"")))</f>
        <v/>
      </c>
      <c r="AZ8" s="55" t="n">
        <f aca="false">IF(OR(AZ$2="",$D8=""),"",IF(IF(ISNUMBER($F8),AND(AZ$2&gt;=$F8,AZ$2&lt;=IF(ISNUMBER($G8),$G8,$F8+$E8-$D8)),FALSE()),2,IF(AND(AZ$2&gt;=$D8,AZ$2&lt;=$E8),1,"")))</f>
        <v>1</v>
      </c>
      <c r="BA8" s="55" t="str">
        <f aca="false">IF(OR(BA$2="",$D8=""),"",IF(IF(ISNUMBER($F8),AND(BA$2&gt;=$F8,BA$2&lt;=IF(ISNUMBER($G8),$G8,$F8+$E8-$D8)),FALSE()),2,IF(AND(BA$2&gt;=$D8,BA$2&lt;=$E8),1,"")))</f>
        <v/>
      </c>
      <c r="BB8" s="55" t="str">
        <f aca="false">IF(OR(BB$2="",$D8=""),"",IF(IF(ISNUMBER($F8),AND(BB$2&gt;=$F8,BB$2&lt;=IF(ISNUMBER($G8),$G8,$F8+$E8-$D8)),FALSE()),2,IF(AND(BB$2&gt;=$D8,BB$2&lt;=$E8),1,"")))</f>
        <v/>
      </c>
      <c r="BC8" s="55" t="str">
        <f aca="false">IF(OR(BC$2="",$D8=""),"",IF(IF(ISNUMBER($F8),AND(BC$2&gt;=$F8,BC$2&lt;=IF(ISNUMBER($G8),$G8,$F8+$E8-$D8)),FALSE()),2,IF(AND(BC$2&gt;=$D8,BC$2&lt;=$E8),1,"")))</f>
        <v/>
      </c>
      <c r="BD8" s="55" t="str">
        <f aca="false">IF(OR(BD$2="",$D8=""),"",IF(IF(ISNUMBER($F8),AND(BD$2&gt;=$F8,BD$2&lt;=IF(ISNUMBER($G8),$G8,$F8+$E8-$D8)),FALSE()),2,IF(AND(BD$2&gt;=$D8,BD$2&lt;=$E8),1,"")))</f>
        <v/>
      </c>
      <c r="BE8" s="55" t="str">
        <f aca="false">IF(OR(BE$2="",$D8=""),"",IF(IF(ISNUMBER($F8),AND(BE$2&gt;=$F8,BE$2&lt;=IF(ISNUMBER($G8),$G8,$F8+$E8-$D8)),FALSE()),2,IF(AND(BE$2&gt;=$D8,BE$2&lt;=$E8),1,"")))</f>
        <v/>
      </c>
      <c r="BF8" s="55" t="str">
        <f aca="false">IF(OR(BF$2="",$D8=""),"",IF(IF(ISNUMBER($F8),AND(BF$2&gt;=$F8,BF$2&lt;=IF(ISNUMBER($G8),$G8,$F8+$E8-$D8)),FALSE()),2,IF(AND(BF$2&gt;=$D8,BF$2&lt;=$E8),1,"")))</f>
        <v/>
      </c>
      <c r="BG8" s="55" t="str">
        <f aca="false">IF(OR(BG$2="",$D8=""),"",IF(IF(ISNUMBER($F8),AND(BG$2&gt;=$F8,BG$2&lt;=IF(ISNUMBER($G8),$G8,$F8+$E8-$D8)),FALSE()),2,IF(AND(BG$2&gt;=$D8,BG$2&lt;=$E8),1,"")))</f>
        <v/>
      </c>
      <c r="BH8" s="55" t="str">
        <f aca="false">IF(OR(BH$2="",$D8=""),"",IF(IF(ISNUMBER($F8),AND(BH$2&gt;=$F8,BH$2&lt;=IF(ISNUMBER($G8),$G8,$F8+$E8-$D8)),FALSE()),2,IF(AND(BH$2&gt;=$D8,BH$2&lt;=$E8),1,"")))</f>
        <v/>
      </c>
      <c r="BI8" s="55" t="str">
        <f aca="false">IF(OR(BI$2="",$D8=""),"",IF(IF(ISNUMBER($F8),AND(BI$2&gt;=$F8,BI$2&lt;=IF(ISNUMBER($G8),$G8,$F8+$E8-$D8)),FALSE()),2,IF(AND(BI$2&gt;=$D8,BI$2&lt;=$E8),1,"")))</f>
        <v/>
      </c>
      <c r="BJ8" s="55" t="str">
        <f aca="false">IF(OR(BJ$2="",$D8=""),"",IF(IF(ISNUMBER($F8),AND(BJ$2&gt;=$F8,BJ$2&lt;=IF(ISNUMBER($G8),$G8,$F8+$E8-$D8)),FALSE()),2,IF(AND(BJ$2&gt;=$D8,BJ$2&lt;=$E8),1,"")))</f>
        <v/>
      </c>
      <c r="BK8" s="55" t="str">
        <f aca="false">IF(OR(BK$2="",$D8=""),"",IF(IF(ISNUMBER($F8),AND(BK$2&gt;=$F8,BK$2&lt;=IF(ISNUMBER($G8),$G8,$F8+$E8-$D8)),FALSE()),2,IF(AND(BK$2&gt;=$D8,BK$2&lt;=$E8),1,"")))</f>
        <v/>
      </c>
      <c r="BL8" s="55" t="str">
        <f aca="false">IF(OR(BL$2="",$D8=""),"",IF(IF(ISNUMBER($F8),AND(BL$2&gt;=$F8,BL$2&lt;=IF(ISNUMBER($G8),$G8,$F8+$E8-$D8)),FALSE()),2,IF(AND(BL$2&gt;=$D8,BL$2&lt;=$E8),1,"")))</f>
        <v/>
      </c>
      <c r="BM8" s="55" t="str">
        <f aca="false">IF(OR(BM$2="",$D8=""),"",IF(IF(ISNUMBER($F8),AND(BM$2&gt;=$F8,BM$2&lt;=IF(ISNUMBER($G8),$G8,$F8+$E8-$D8)),FALSE()),2,IF(AND(BM$2&gt;=$D8,BM$2&lt;=$E8),1,"")))</f>
        <v/>
      </c>
      <c r="BN8" s="55" t="str">
        <f aca="false">IF(OR(BN$2="",$D8=""),"",IF(IF(ISNUMBER($F8),AND(BN$2&gt;=$F8,BN$2&lt;=IF(ISNUMBER($G8),$G8,$F8+$E8-$D8)),FALSE()),2,IF(AND(BN$2&gt;=$D8,BN$2&lt;=$E8),1,"")))</f>
        <v/>
      </c>
      <c r="BO8" s="55" t="str">
        <f aca="false">IF(OR(BO$2="",$D8=""),"",IF(IF(ISNUMBER($F8),AND(BO$2&gt;=$F8,BO$2&lt;=IF(ISNUMBER($G8),$G8,$F8+$E8-$D8)),FALSE()),2,IF(AND(BO$2&gt;=$D8,BO$2&lt;=$E8),1,"")))</f>
        <v/>
      </c>
      <c r="BP8" s="55" t="str">
        <f aca="false">IF(OR(BP$2="",$D8=""),"",IF(IF(ISNUMBER($F8),AND(BP$2&gt;=$F8,BP$2&lt;=IF(ISNUMBER($G8),$G8,$F8+$E8-$D8)),FALSE()),2,IF(AND(BP$2&gt;=$D8,BP$2&lt;=$E8),1,"")))</f>
        <v/>
      </c>
      <c r="BQ8" s="55" t="str">
        <f aca="false">IF(OR(BQ$2="",$D8=""),"",IF(IF(ISNUMBER($F8),AND(BQ$2&gt;=$F8,BQ$2&lt;=IF(ISNUMBER($G8),$G8,$F8+$E8-$D8)),FALSE()),2,IF(AND(BQ$2&gt;=$D8,BQ$2&lt;=$E8),1,"")))</f>
        <v/>
      </c>
      <c r="BR8" s="55" t="str">
        <f aca="false">IF(OR(BR$2="",$D8=""),"",IF(IF(ISNUMBER($F8),AND(BR$2&gt;=$F8,BR$2&lt;=IF(ISNUMBER($G8),$G8,$F8+$E8-$D8)),FALSE()),2,IF(AND(BR$2&gt;=$D8,BR$2&lt;=$E8),1,"")))</f>
        <v/>
      </c>
      <c r="BS8" s="55" t="str">
        <f aca="false">IF(OR(BS$2="",$D8=""),"",IF(IF(ISNUMBER($F8),AND(BS$2&gt;=$F8,BS$2&lt;=IF(ISNUMBER($G8),$G8,$F8+$E8-$D8)),FALSE()),2,IF(AND(BS$2&gt;=$D8,BS$2&lt;=$E8),1,"")))</f>
        <v/>
      </c>
      <c r="BT8" s="55" t="str">
        <f aca="false">IF(OR(BT$2="",$D8=""),"",IF(IF(ISNUMBER($F8),AND(BT$2&gt;=$F8,BT$2&lt;=IF(ISNUMBER($G8),$G8,$F8+$E8-$D8)),FALSE()),2,IF(AND(BT$2&gt;=$D8,BT$2&lt;=$E8),1,"")))</f>
        <v/>
      </c>
      <c r="BU8" s="55" t="str">
        <f aca="false">IF(OR(BU$2="",$D8=""),"",IF(IF(ISNUMBER($F8),AND(BU$2&gt;=$F8,BU$2&lt;=IF(ISNUMBER($G8),$G8,$F8+$E8-$D8)),FALSE()),2,IF(AND(BU$2&gt;=$D8,BU$2&lt;=$E8),1,"")))</f>
        <v/>
      </c>
      <c r="BV8" s="55" t="str">
        <f aca="false">IF(OR(BV$2="",$D8=""),"",IF(IF(ISNUMBER($F8),AND(BV$2&gt;=$F8,BV$2&lt;=IF(ISNUMBER($G8),$G8,$F8+$E8-$D8)),FALSE()),2,IF(AND(BV$2&gt;=$D8,BV$2&lt;=$E8),1,"")))</f>
        <v/>
      </c>
      <c r="BW8" s="55" t="str">
        <f aca="false">IF(OR(BW$2="",$D8=""),"",IF(IF(ISNUMBER($F8),AND(BW$2&gt;=$F8,BW$2&lt;=IF(ISNUMBER($G8),$G8,$F8+$E8-$D8)),FALSE()),2,IF(AND(BW$2&gt;=$D8,BW$2&lt;=$E8),1,"")))</f>
        <v/>
      </c>
      <c r="BX8" s="55" t="str">
        <f aca="false">IF(OR(BX$2="",$D8=""),"",IF(IF(ISNUMBER($F8),AND(BX$2&gt;=$F8,BX$2&lt;=IF(ISNUMBER($G8),$G8,$F8+$E8-$D8)),FALSE()),2,IF(AND(BX$2&gt;=$D8,BX$2&lt;=$E8),1,"")))</f>
        <v/>
      </c>
      <c r="BY8" s="55" t="str">
        <f aca="false">IF(OR(BY$2="",$D8=""),"",IF(IF(ISNUMBER($F8),AND(BY$2&gt;=$F8,BY$2&lt;=IF(ISNUMBER($G8),$G8,$F8+$E8-$D8)),FALSE()),2,IF(AND(BY$2&gt;=$D8,BY$2&lt;=$E8),1,"")))</f>
        <v/>
      </c>
      <c r="BZ8" s="55" t="str">
        <f aca="false">IF(OR(BZ$2="",$D8=""),"",IF(IF(ISNUMBER($F8),AND(BZ$2&gt;=$F8,BZ$2&lt;=IF(ISNUMBER($G8),$G8,$F8+$E8-$D8)),FALSE()),2,IF(AND(BZ$2&gt;=$D8,BZ$2&lt;=$E8),1,"")))</f>
        <v/>
      </c>
      <c r="CA8" s="55" t="str">
        <f aca="false">IF(OR(CA$2="",$D8=""),"",IF(IF(ISNUMBER($F8),AND(CA$2&gt;=$F8,CA$2&lt;=IF(ISNUMBER($G8),$G8,$F8+$E8-$D8)),FALSE()),2,IF(AND(CA$2&gt;=$D8,CA$2&lt;=$E8),1,"")))</f>
        <v/>
      </c>
      <c r="CB8" s="55" t="str">
        <f aca="false">IF(OR(CB$2="",$D8=""),"",IF(IF(ISNUMBER($F8),AND(CB$2&gt;=$F8,CB$2&lt;=IF(ISNUMBER($G8),$G8,$F8+$E8-$D8)),FALSE()),2,IF(AND(CB$2&gt;=$D8,CB$2&lt;=$E8),1,"")))</f>
        <v/>
      </c>
      <c r="CC8" s="55" t="str">
        <f aca="false">IF(OR(CC$2="",$D8=""),"",IF(IF(ISNUMBER($F8),AND(CC$2&gt;=$F8,CC$2&lt;=IF(ISNUMBER($G8),$G8,$F8+$E8-$D8)),FALSE()),2,IF(AND(CC$2&gt;=$D8,CC$2&lt;=$E8),1,"")))</f>
        <v/>
      </c>
      <c r="CD8" s="55" t="str">
        <f aca="false">IF(OR(CD$2="",$D8=""),"",IF(IF(ISNUMBER($F8),AND(CD$2&gt;=$F8,CD$2&lt;=IF(ISNUMBER($G8),$G8,$F8+$E8-$D8)),FALSE()),2,IF(AND(CD$2&gt;=$D8,CD$2&lt;=$E8),1,"")))</f>
        <v/>
      </c>
      <c r="CE8" s="55" t="str">
        <f aca="false">IF(OR(CE$2="",$D8=""),"",IF(IF(ISNUMBER($F8),AND(CE$2&gt;=$F8,CE$2&lt;=IF(ISNUMBER($G8),$G8,$F8+$E8-$D8)),FALSE()),2,IF(AND(CE$2&gt;=$D8,CE$2&lt;=$E8),1,"")))</f>
        <v/>
      </c>
      <c r="CF8" s="55" t="str">
        <f aca="false">IF(OR(CF$2="",$D8=""),"",IF(IF(ISNUMBER($F8),AND(CF$2&gt;=$F8,CF$2&lt;=IF(ISNUMBER($G8),$G8,$F8+$E8-$D8)),FALSE()),2,IF(AND(CF$2&gt;=$D8,CF$2&lt;=$E8),1,"")))</f>
        <v/>
      </c>
      <c r="CG8" s="55" t="str">
        <f aca="false">IF(OR(CG$2="",$D8=""),"",IF(IF(ISNUMBER($F8),AND(CG$2&gt;=$F8,CG$2&lt;=IF(ISNUMBER($G8),$G8,$F8+$E8-$D8)),FALSE()),2,IF(AND(CG$2&gt;=$D8,CG$2&lt;=$E8),1,"")))</f>
        <v/>
      </c>
      <c r="CH8" s="55" t="str">
        <f aca="false">IF(OR(CH$2="",$D8=""),"",IF(IF(ISNUMBER($F8),AND(CH$2&gt;=$F8,CH$2&lt;=IF(ISNUMBER($G8),$G8,$F8+$E8-$D8)),FALSE()),2,IF(AND(CH$2&gt;=$D8,CH$2&lt;=$E8),1,"")))</f>
        <v/>
      </c>
      <c r="CI8" s="55" t="str">
        <f aca="false">IF(OR(CI$2="",$D8=""),"",IF(IF(ISNUMBER($F8),AND(CI$2&gt;=$F8,CI$2&lt;=IF(ISNUMBER($G8),$G8,$F8+$E8-$D8)),FALSE()),2,IF(AND(CI$2&gt;=$D8,CI$2&lt;=$E8),1,"")))</f>
        <v/>
      </c>
      <c r="CJ8" s="55" t="str">
        <f aca="false">IF(OR(CJ$2="",$D8=""),"",IF(IF(ISNUMBER($F8),AND(CJ$2&gt;=$F8,CJ$2&lt;=IF(ISNUMBER($G8),$G8,$F8+$E8-$D8)),FALSE()),2,IF(AND(CJ$2&gt;=$D8,CJ$2&lt;=$E8),1,"")))</f>
        <v/>
      </c>
      <c r="CK8" s="55" t="str">
        <f aca="false">IF(OR(CK$2="",$D8=""),"",IF(IF(ISNUMBER($F8),AND(CK$2&gt;=$F8,CK$2&lt;=IF(ISNUMBER($G8),$G8,$F8+$E8-$D8)),FALSE()),2,IF(AND(CK$2&gt;=$D8,CK$2&lt;=$E8),1,"")))</f>
        <v/>
      </c>
      <c r="CL8" s="55" t="str">
        <f aca="false">IF(OR(CL$2="",$D8=""),"",IF(IF(ISNUMBER($F8),AND(CL$2&gt;=$F8,CL$2&lt;=IF(ISNUMBER($G8),$G8,$F8+$E8-$D8)),FALSE()),2,IF(AND(CL$2&gt;=$D8,CL$2&lt;=$E8),1,"")))</f>
        <v/>
      </c>
      <c r="CM8" s="55" t="str">
        <f aca="false">IF(OR(CM$2="",$D8=""),"",IF(IF(ISNUMBER($F8),AND(CM$2&gt;=$F8,CM$2&lt;=IF(ISNUMBER($G8),$G8,$F8+$E8-$D8)),FALSE()),2,IF(AND(CM$2&gt;=$D8,CM$2&lt;=$E8),1,"")))</f>
        <v/>
      </c>
      <c r="CN8" s="55" t="str">
        <f aca="false">IF(OR(CN$2="",$D8=""),"",IF(IF(ISNUMBER($F8),AND(CN$2&gt;=$F8,CN$2&lt;=IF(ISNUMBER($G8),$G8,$F8+$E8-$D8)),FALSE()),2,IF(AND(CN$2&gt;=$D8,CN$2&lt;=$E8),1,"")))</f>
        <v/>
      </c>
      <c r="CO8" s="55" t="str">
        <f aca="false">IF(OR(CO$2="",$D8=""),"",IF(IF(ISNUMBER($F8),AND(CO$2&gt;=$F8,CO$2&lt;=IF(ISNUMBER($G8),$G8,$F8+$E8-$D8)),FALSE()),2,IF(AND(CO$2&gt;=$D8,CO$2&lt;=$E8),1,"")))</f>
        <v/>
      </c>
      <c r="CP8" s="55" t="str">
        <f aca="false">IF(OR(CP$2="",$D8=""),"",IF(IF(ISNUMBER($F8),AND(CP$2&gt;=$F8,CP$2&lt;=IF(ISNUMBER($G8),$G8,$F8+$E8-$D8)),FALSE()),2,IF(AND(CP$2&gt;=$D8,CP$2&lt;=$E8),1,"")))</f>
        <v/>
      </c>
      <c r="CQ8" s="55" t="str">
        <f aca="false">IF(OR(CQ$2="",$D8=""),"",IF(IF(ISNUMBER($F8),AND(CQ$2&gt;=$F8,CQ$2&lt;=IF(ISNUMBER($G8),$G8,$F8+$E8-$D8)),FALSE()),2,IF(AND(CQ$2&gt;=$D8,CQ$2&lt;=$E8),1,"")))</f>
        <v/>
      </c>
      <c r="CR8" s="55" t="str">
        <f aca="false">IF(OR(CR$2="",$D8=""),"",IF(IF(ISNUMBER($F8),AND(CR$2&gt;=$F8,CR$2&lt;=IF(ISNUMBER($G8),$G8,$F8+$E8-$D8)),FALSE()),2,IF(AND(CR$2&gt;=$D8,CR$2&lt;=$E8),1,"")))</f>
        <v/>
      </c>
      <c r="CS8" s="55" t="str">
        <f aca="false">IF(OR(CS$2="",$D8=""),"",IF(IF(ISNUMBER($F8),AND(CS$2&gt;=$F8,CS$2&lt;=IF(ISNUMBER($G8),$G8,$F8+$E8-$D8)),FALSE()),2,IF(AND(CS$2&gt;=$D8,CS$2&lt;=$E8),1,"")))</f>
        <v/>
      </c>
      <c r="CT8" s="55" t="str">
        <f aca="false">IF(OR(CT$2="",$D8=""),"",IF(IF(ISNUMBER($F8),AND(CT$2&gt;=$F8,CT$2&lt;=IF(ISNUMBER($G8),$G8,$F8+$E8-$D8)),FALSE()),2,IF(AND(CT$2&gt;=$D8,CT$2&lt;=$E8),1,"")))</f>
        <v/>
      </c>
      <c r="CU8" s="55" t="str">
        <f aca="false">IF(OR(CU$2="",$D8=""),"",IF(IF(ISNUMBER($F8),AND(CU$2&gt;=$F8,CU$2&lt;=IF(ISNUMBER($G8),$G8,$F8+$E8-$D8)),FALSE()),2,IF(AND(CU$2&gt;=$D8,CU$2&lt;=$E8),1,"")))</f>
        <v/>
      </c>
      <c r="CV8" s="55" t="str">
        <f aca="false">IF(OR(CV$2="",$D8=""),"",IF(IF(ISNUMBER($F8),AND(CV$2&gt;=$F8,CV$2&lt;=IF(ISNUMBER($G8),$G8,$F8+$E8-$D8)),FALSE()),2,IF(AND(CV$2&gt;=$D8,CV$2&lt;=$E8),1,"")))</f>
        <v/>
      </c>
      <c r="CW8" s="55" t="str">
        <f aca="false">IF(OR(CW$2="",$D8=""),"",IF(IF(ISNUMBER($F8),AND(CW$2&gt;=$F8,CW$2&lt;=IF(ISNUMBER($G8),$G8,$F8+$E8-$D8)),FALSE()),2,IF(AND(CW$2&gt;=$D8,CW$2&lt;=$E8),1,"")))</f>
        <v/>
      </c>
      <c r="CX8" s="55" t="str">
        <f aca="false">IF(OR(CX$2="",$D8=""),"",IF(IF(ISNUMBER($F8),AND(CX$2&gt;=$F8,CX$2&lt;=IF(ISNUMBER($G8),$G8,$F8+$E8-$D8)),FALSE()),2,IF(AND(CX$2&gt;=$D8,CX$2&lt;=$E8),1,"")))</f>
        <v/>
      </c>
      <c r="CY8" s="55" t="str">
        <f aca="false">IF(OR(CY$2="",$D8=""),"",IF(IF(ISNUMBER($F8),AND(CY$2&gt;=$F8,CY$2&lt;=IF(ISNUMBER($G8),$G8,$F8+$E8-$D8)),FALSE()),2,IF(AND(CY$2&gt;=$D8,CY$2&lt;=$E8),1,"")))</f>
        <v/>
      </c>
      <c r="CZ8" s="55" t="str">
        <f aca="false">IF(OR(CZ$2="",$D8=""),"",IF(IF(ISNUMBER($F8),AND(CZ$2&gt;=$F8,CZ$2&lt;=IF(ISNUMBER($G8),$G8,$F8+$E8-$D8)),FALSE()),2,IF(AND(CZ$2&gt;=$D8,CZ$2&lt;=$E8),1,"")))</f>
        <v/>
      </c>
      <c r="DA8" s="55" t="str">
        <f aca="false">IF(OR(DA$2="",$D8=""),"",IF(IF(ISNUMBER($F8),AND(DA$2&gt;=$F8,DA$2&lt;=IF(ISNUMBER($G8),$G8,$F8+$E8-$D8)),FALSE()),2,IF(AND(DA$2&gt;=$D8,DA$2&lt;=$E8),1,"")))</f>
        <v/>
      </c>
      <c r="DB8" s="55" t="str">
        <f aca="false">IF(OR(DB$2="",$D8=""),"",IF(IF(ISNUMBER($F8),AND(DB$2&gt;=$F8,DB$2&lt;=IF(ISNUMBER($G8),$G8,$F8+$E8-$D8)),FALSE()),2,IF(AND(DB$2&gt;=$D8,DB$2&lt;=$E8),1,"")))</f>
        <v/>
      </c>
      <c r="DC8" s="55" t="str">
        <f aca="false">IF(OR(DC$2="",$D8=""),"",IF(IF(ISNUMBER($F8),AND(DC$2&gt;=$F8,DC$2&lt;=IF(ISNUMBER($G8),$G8,$F8+$E8-$D8)),FALSE()),2,IF(AND(DC$2&gt;=$D8,DC$2&lt;=$E8),1,"")))</f>
        <v/>
      </c>
      <c r="DD8" s="55" t="str">
        <f aca="false">IF(OR(DD$2="",$D8=""),"",IF(IF(ISNUMBER($F8),AND(DD$2&gt;=$F8,DD$2&lt;=IF(ISNUMBER($G8),$G8,$F8+$E8-$D8)),FALSE()),2,IF(AND(DD$2&gt;=$D8,DD$2&lt;=$E8),1,"")))</f>
        <v/>
      </c>
      <c r="DE8" s="55" t="str">
        <f aca="false">IF(OR(DE$2="",$D8=""),"",IF(IF(ISNUMBER($F8),AND(DE$2&gt;=$F8,DE$2&lt;=IF(ISNUMBER($G8),$G8,$F8+$E8-$D8)),FALSE()),2,IF(AND(DE$2&gt;=$D8,DE$2&lt;=$E8),1,"")))</f>
        <v/>
      </c>
      <c r="DF8" s="55" t="str">
        <f aca="false">IF(OR(DF$2="",$D8=""),"",IF(IF(ISNUMBER($F8),AND(DF$2&gt;=$F8,DF$2&lt;=IF(ISNUMBER($G8),$G8,$F8+$E8-$D8)),FALSE()),2,IF(AND(DF$2&gt;=$D8,DF$2&lt;=$E8),1,"")))</f>
        <v/>
      </c>
      <c r="DG8" s="55" t="str">
        <f aca="false">IF(OR(DG$2="",$D8=""),"",IF(IF(ISNUMBER($F8),AND(DG$2&gt;=$F8,DG$2&lt;=IF(ISNUMBER($G8),$G8,$F8+$E8-$D8)),FALSE()),2,IF(AND(DG$2&gt;=$D8,DG$2&lt;=$E8),1,"")))</f>
        <v/>
      </c>
      <c r="DH8" s="55" t="str">
        <f aca="false">IF(OR(DH$2="",$D8=""),"",IF(IF(ISNUMBER($F8),AND(DH$2&gt;=$F8,DH$2&lt;=IF(ISNUMBER($G8),$G8,$F8+$E8-$D8)),FALSE()),2,IF(AND(DH$2&gt;=$D8,DH$2&lt;=$E8),1,"")))</f>
        <v/>
      </c>
      <c r="DI8" s="55" t="str">
        <f aca="false">IF(OR(DI$2="",$D8=""),"",IF(IF(ISNUMBER($F8),AND(DI$2&gt;=$F8,DI$2&lt;=IF(ISNUMBER($G8),$G8,$F8+$E8-$D8)),FALSE()),2,IF(AND(DI$2&gt;=$D8,DI$2&lt;=$E8),1,"")))</f>
        <v/>
      </c>
      <c r="DJ8" s="55" t="str">
        <f aca="false">IF(OR(DJ$2="",$D8=""),"",IF(IF(ISNUMBER($F8),AND(DJ$2&gt;=$F8,DJ$2&lt;=IF(ISNUMBER($G8),$G8,$F8+$E8-$D8)),FALSE()),2,IF(AND(DJ$2&gt;=$D8,DJ$2&lt;=$E8),1,"")))</f>
        <v/>
      </c>
      <c r="DK8" s="55" t="str">
        <f aca="false">IF(OR(DK$2="",$D8=""),"",IF(IF(ISNUMBER($F8),AND(DK$2&gt;=$F8,DK$2&lt;=IF(ISNUMBER($G8),$G8,$F8+$E8-$D8)),FALSE()),2,IF(AND(DK$2&gt;=$D8,DK$2&lt;=$E8),1,"")))</f>
        <v/>
      </c>
      <c r="DL8" s="55" t="str">
        <f aca="false">IF(OR(DL$2="",$D8=""),"",IF(IF(ISNUMBER($F8),AND(DL$2&gt;=$F8,DL$2&lt;=IF(ISNUMBER($G8),$G8,$F8+$E8-$D8)),FALSE()),2,IF(AND(DL$2&gt;=$D8,DL$2&lt;=$E8),1,"")))</f>
        <v/>
      </c>
      <c r="DM8" s="55" t="str">
        <f aca="false">IF(OR(DM$2="",$D8=""),"",IF(IF(ISNUMBER($F8),AND(DM$2&gt;=$F8,DM$2&lt;=IF(ISNUMBER($G8),$G8,$F8+$E8-$D8)),FALSE()),2,IF(AND(DM$2&gt;=$D8,DM$2&lt;=$E8),1,"")))</f>
        <v/>
      </c>
      <c r="DN8" s="55" t="str">
        <f aca="false">IF(OR(DN$2="",$D8=""),"",IF(IF(ISNUMBER($F8),AND(DN$2&gt;=$F8,DN$2&lt;=IF(ISNUMBER($G8),$G8,$F8+$E8-$D8)),FALSE()),2,IF(AND(DN$2&gt;=$D8,DN$2&lt;=$E8),1,"")))</f>
        <v/>
      </c>
      <c r="DO8" s="55" t="str">
        <f aca="false">IF(OR(DO$2="",$D8=""),"",IF(IF(ISNUMBER($F8),AND(DO$2&gt;=$F8,DO$2&lt;=IF(ISNUMBER($G8),$G8,$F8+$E8-$D8)),FALSE()),2,IF(AND(DO$2&gt;=$D8,DO$2&lt;=$E8),1,"")))</f>
        <v/>
      </c>
      <c r="DP8" s="55" t="str">
        <f aca="false">IF(OR(DP$2="",$D8=""),"",IF(IF(ISNUMBER($F8),AND(DP$2&gt;=$F8,DP$2&lt;=IF(ISNUMBER($G8),$G8,$F8+$E8-$D8)),FALSE()),2,IF(AND(DP$2&gt;=$D8,DP$2&lt;=$E8),1,"")))</f>
        <v/>
      </c>
      <c r="DQ8" s="55" t="str">
        <f aca="false">IF(OR(DQ$2="",$D8=""),"",IF(IF(ISNUMBER($F8),AND(DQ$2&gt;=$F8,DQ$2&lt;=IF(ISNUMBER($G8),$G8,$F8+$E8-$D8)),FALSE()),2,IF(AND(DQ$2&gt;=$D8,DQ$2&lt;=$E8),1,"")))</f>
        <v/>
      </c>
      <c r="DR8" s="55" t="str">
        <f aca="false">IF(OR(DR$2="",$D8=""),"",IF(IF(ISNUMBER($F8),AND(DR$2&gt;=$F8,DR$2&lt;=IF(ISNUMBER($G8),$G8,$F8+$E8-$D8)),FALSE()),2,IF(AND(DR$2&gt;=$D8,DR$2&lt;=$E8),1,"")))</f>
        <v/>
      </c>
      <c r="DS8" s="55" t="str">
        <f aca="false">IF(OR(DS$2="",$D8=""),"",IF(IF(ISNUMBER($F8),AND(DS$2&gt;=$F8,DS$2&lt;=IF(ISNUMBER($G8),$G8,$F8+$E8-$D8)),FALSE()),2,IF(AND(DS$2&gt;=$D8,DS$2&lt;=$E8),1,"")))</f>
        <v/>
      </c>
      <c r="DT8" s="55" t="str">
        <f aca="false">IF(OR(DT$2="",$D8=""),"",IF(IF(ISNUMBER($F8),AND(DT$2&gt;=$F8,DT$2&lt;=IF(ISNUMBER($G8),$G8,$F8+$E8-$D8)),FALSE()),2,IF(AND(DT$2&gt;=$D8,DT$2&lt;=$E8),1,"")))</f>
        <v/>
      </c>
      <c r="DU8" s="55" t="str">
        <f aca="false">IF(OR(DU$2="",$D8=""),"",IF(IF(ISNUMBER($F8),AND(DU$2&gt;=$F8,DU$2&lt;=IF(ISNUMBER($G8),$G8,$F8+$E8-$D8)),FALSE()),2,IF(AND(DU$2&gt;=$D8,DU$2&lt;=$E8),1,"")))</f>
        <v/>
      </c>
      <c r="DV8" s="55" t="str">
        <f aca="false">IF(OR(DV$2="",$D8=""),"",IF(IF(ISNUMBER($F8),AND(DV$2&gt;=$F8,DV$2&lt;=IF(ISNUMBER($G8),$G8,$F8+$E8-$D8)),FALSE()),2,IF(AND(DV$2&gt;=$D8,DV$2&lt;=$E8),1,"")))</f>
        <v/>
      </c>
      <c r="DW8" s="55" t="str">
        <f aca="false">IF(OR(DW$2="",$D8=""),"",IF(IF(ISNUMBER($F8),AND(DW$2&gt;=$F8,DW$2&lt;=IF(ISNUMBER($G8),$G8,$F8+$E8-$D8)),FALSE()),2,IF(AND(DW$2&gt;=$D8,DW$2&lt;=$E8),1,"")))</f>
        <v/>
      </c>
      <c r="DX8" s="55" t="str">
        <f aca="false">IF(OR(DX$2="",$D8=""),"",IF(IF(ISNUMBER($F8),AND(DX$2&gt;=$F8,DX$2&lt;=IF(ISNUMBER($G8),$G8,$F8+$E8-$D8)),FALSE()),2,IF(AND(DX$2&gt;=$D8,DX$2&lt;=$E8),1,"")))</f>
        <v/>
      </c>
      <c r="DY8" s="55" t="str">
        <f aca="false">IF(OR(DY$2="",$D8=""),"",IF(IF(ISNUMBER($F8),AND(DY$2&gt;=$F8,DY$2&lt;=IF(ISNUMBER($G8),$G8,$F8+$E8-$D8)),FALSE()),2,IF(AND(DY$2&gt;=$D8,DY$2&lt;=$E8),1,"")))</f>
        <v/>
      </c>
      <c r="DZ8" s="55" t="str">
        <f aca="false">IF(OR(DZ$2="",$D8=""),"",IF(IF(ISNUMBER($F8),AND(DZ$2&gt;=$F8,DZ$2&lt;=IF(ISNUMBER($G8),$G8,$F8+$E8-$D8)),FALSE()),2,IF(AND(DZ$2&gt;=$D8,DZ$2&lt;=$E8),1,"")))</f>
        <v/>
      </c>
      <c r="EA8" s="55" t="str">
        <f aca="false">IF(OR(EA$2="",$D8=""),"",IF(IF(ISNUMBER($F8),AND(EA$2&gt;=$F8,EA$2&lt;=IF(ISNUMBER($G8),$G8,$F8+$E8-$D8)),FALSE()),2,IF(AND(EA$2&gt;=$D8,EA$2&lt;=$E8),1,"")))</f>
        <v/>
      </c>
      <c r="EB8" s="55" t="str">
        <f aca="false">IF(OR(EB$2="",$D8=""),"",IF(IF(ISNUMBER($F8),AND(EB$2&gt;=$F8,EB$2&lt;=IF(ISNUMBER($G8),$G8,$F8+$E8-$D8)),FALSE()),2,IF(AND(EB$2&gt;=$D8,EB$2&lt;=$E8),1,"")))</f>
        <v/>
      </c>
      <c r="EC8" s="55" t="str">
        <f aca="false">IF(OR(EC$2="",$D8=""),"",IF(IF(ISNUMBER($F8),AND(EC$2&gt;=$F8,EC$2&lt;=IF(ISNUMBER($G8),$G8,$F8+$E8-$D8)),FALSE()),2,IF(AND(EC$2&gt;=$D8,EC$2&lt;=$E8),1,"")))</f>
        <v/>
      </c>
      <c r="ED8" s="55" t="str">
        <f aca="false">IF(OR(ED$2="",$D8=""),"",IF(IF(ISNUMBER($F8),AND(ED$2&gt;=$F8,ED$2&lt;=IF(ISNUMBER($G8),$G8,$F8+$E8-$D8)),FALSE()),2,IF(AND(ED$2&gt;=$D8,ED$2&lt;=$E8),1,"")))</f>
        <v/>
      </c>
      <c r="EE8" s="55" t="str">
        <f aca="false">IF(OR(EE$2="",$D8=""),"",IF(IF(ISNUMBER($F8),AND(EE$2&gt;=$F8,EE$2&lt;=IF(ISNUMBER($G8),$G8,$F8+$E8-$D8)),FALSE()),2,IF(AND(EE$2&gt;=$D8,EE$2&lt;=$E8),1,"")))</f>
        <v/>
      </c>
      <c r="EF8" s="55" t="str">
        <f aca="false">IF(OR(EF$2="",$D8=""),"",IF(IF(ISNUMBER($F8),AND(EF$2&gt;=$F8,EF$2&lt;=IF(ISNUMBER($G8),$G8,$F8+$E8-$D8)),FALSE()),2,IF(AND(EF$2&gt;=$D8,EF$2&lt;=$E8),1,"")))</f>
        <v/>
      </c>
      <c r="EG8" s="55" t="str">
        <f aca="false">IF(OR(EG$2="",$D8=""),"",IF(IF(ISNUMBER($F8),AND(EG$2&gt;=$F8,EG$2&lt;=IF(ISNUMBER($G8),$G8,$F8+$E8-$D8)),FALSE()),2,IF(AND(EG$2&gt;=$D8,EG$2&lt;=$E8),1,"")))</f>
        <v/>
      </c>
      <c r="EH8" s="55" t="str">
        <f aca="false">IF(OR(EH$2="",$D8=""),"",IF(IF(ISNUMBER($F8),AND(EH$2&gt;=$F8,EH$2&lt;=IF(ISNUMBER($G8),$G8,$F8+$E8-$D8)),FALSE()),2,IF(AND(EH$2&gt;=$D8,EH$2&lt;=$E8),1,"")))</f>
        <v/>
      </c>
      <c r="EI8" s="55" t="str">
        <f aca="false">IF(OR(EI$2="",$D8=""),"",IF(IF(ISNUMBER($F8),AND(EI$2&gt;=$F8,EI$2&lt;=IF(ISNUMBER($G8),$G8,$F8+$E8-$D8)),FALSE()),2,IF(AND(EI$2&gt;=$D8,EI$2&lt;=$E8),1,"")))</f>
        <v/>
      </c>
      <c r="EJ8" s="55" t="str">
        <f aca="false">IF(OR(EJ$2="",$D8=""),"",IF(IF(ISNUMBER($F8),AND(EJ$2&gt;=$F8,EJ$2&lt;=IF(ISNUMBER($G8),$G8,$F8+$E8-$D8)),FALSE()),2,IF(AND(EJ$2&gt;=$D8,EJ$2&lt;=$E8),1,"")))</f>
        <v/>
      </c>
      <c r="EK8" s="55" t="str">
        <f aca="false">IF(OR(EK$2="",$D8=""),"",IF(IF(ISNUMBER($F8),AND(EK$2&gt;=$F8,EK$2&lt;=IF(ISNUMBER($G8),$G8,$F8+$E8-$D8)),FALSE()),2,IF(AND(EK$2&gt;=$D8,EK$2&lt;=$E8),1,"")))</f>
        <v/>
      </c>
      <c r="EL8" s="55" t="str">
        <f aca="false">IF(OR(EL$2="",$D8=""),"",IF(IF(ISNUMBER($F8),AND(EL$2&gt;=$F8,EL$2&lt;=IF(ISNUMBER($G8),$G8,$F8+$E8-$D8)),FALSE()),2,IF(AND(EL$2&gt;=$D8,EL$2&lt;=$E8),1,"")))</f>
        <v/>
      </c>
      <c r="EM8" s="55" t="str">
        <f aca="false">IF(OR(EM$2="",$D8=""),"",IF(IF(ISNUMBER($F8),AND(EM$2&gt;=$F8,EM$2&lt;=IF(ISNUMBER($G8),$G8,$F8+$E8-$D8)),FALSE()),2,IF(AND(EM$2&gt;=$D8,EM$2&lt;=$E8),1,"")))</f>
        <v/>
      </c>
      <c r="EN8" s="55" t="str">
        <f aca="false">IF(OR(EN$2="",$D8=""),"",IF(IF(ISNUMBER($F8),AND(EN$2&gt;=$F8,EN$2&lt;=IF(ISNUMBER($G8),$G8,$F8+$E8-$D8)),FALSE()),2,IF(AND(EN$2&gt;=$D8,EN$2&lt;=$E8),1,"")))</f>
        <v/>
      </c>
      <c r="EO8" s="55" t="str">
        <f aca="false">IF(OR(EO$2="",$D8=""),"",IF(IF(ISNUMBER($F8),AND(EO$2&gt;=$F8,EO$2&lt;=IF(ISNUMBER($G8),$G8,$F8+$E8-$D8)),FALSE()),2,IF(AND(EO$2&gt;=$D8,EO$2&lt;=$E8),1,"")))</f>
        <v/>
      </c>
      <c r="EP8" s="55" t="str">
        <f aca="false">IF(OR(EP$2="",$D8=""),"",IF(IF(ISNUMBER($F8),AND(EP$2&gt;=$F8,EP$2&lt;=IF(ISNUMBER($G8),$G8,$F8+$E8-$D8)),FALSE()),2,IF(AND(EP$2&gt;=$D8,EP$2&lt;=$E8),1,"")))</f>
        <v/>
      </c>
      <c r="EQ8" s="55" t="str">
        <f aca="false">IF(OR(EQ$2="",$D8=""),"",IF(IF(ISNUMBER($F8),AND(EQ$2&gt;=$F8,EQ$2&lt;=IF(ISNUMBER($G8),$G8,$F8+$E8-$D8)),FALSE()),2,IF(AND(EQ$2&gt;=$D8,EQ$2&lt;=$E8),1,"")))</f>
        <v/>
      </c>
      <c r="ER8" s="55" t="str">
        <f aca="false">IF(OR(ER$2="",$D8=""),"",IF(IF(ISNUMBER($F8),AND(ER$2&gt;=$F8,ER$2&lt;=IF(ISNUMBER($G8),$G8,$F8+$E8-$D8)),FALSE()),2,IF(AND(ER$2&gt;=$D8,ER$2&lt;=$E8),1,"")))</f>
        <v/>
      </c>
      <c r="ES8" s="55" t="str">
        <f aca="false">IF(OR(ES$2="",$D8=""),"",IF(IF(ISNUMBER($F8),AND(ES$2&gt;=$F8,ES$2&lt;=IF(ISNUMBER($G8),$G8,$F8+$E8-$D8)),FALSE()),2,IF(AND(ES$2&gt;=$D8,ES$2&lt;=$E8),1,"")))</f>
        <v/>
      </c>
      <c r="ET8" s="55" t="str">
        <f aca="false">IF(OR(ET$2="",$D8=""),"",IF(IF(ISNUMBER($F8),AND(ET$2&gt;=$F8,ET$2&lt;=IF(ISNUMBER($G8),$G8,$F8+$E8-$D8)),FALSE()),2,IF(AND(ET$2&gt;=$D8,ET$2&lt;=$E8),1,"")))</f>
        <v/>
      </c>
      <c r="EU8" s="55" t="str">
        <f aca="false">IF(OR(EU$2="",$D8=""),"",IF(IF(ISNUMBER($F8),AND(EU$2&gt;=$F8,EU$2&lt;=IF(ISNUMBER($G8),$G8,$F8+$E8-$D8)),FALSE()),2,IF(AND(EU$2&gt;=$D8,EU$2&lt;=$E8),1,"")))</f>
        <v/>
      </c>
      <c r="EV8" s="55" t="str">
        <f aca="false">IF(OR(EV$2="",$D8=""),"",IF(IF(ISNUMBER($F8),AND(EV$2&gt;=$F8,EV$2&lt;=IF(ISNUMBER($G8),$G8,$F8+$E8-$D8)),FALSE()),2,IF(AND(EV$2&gt;=$D8,EV$2&lt;=$E8),1,"")))</f>
        <v/>
      </c>
      <c r="EW8" s="55" t="str">
        <f aca="false">IF(OR(EW$2="",$D8=""),"",IF(IF(ISNUMBER($F8),AND(EW$2&gt;=$F8,EW$2&lt;=IF(ISNUMBER($G8),$G8,$F8+$E8-$D8)),FALSE()),2,IF(AND(EW$2&gt;=$D8,EW$2&lt;=$E8),1,"")))</f>
        <v/>
      </c>
      <c r="EX8" s="55" t="str">
        <f aca="false">IF(OR(EX$2="",$D8=""),"",IF(IF(ISNUMBER($F8),AND(EX$2&gt;=$F8,EX$2&lt;=IF(ISNUMBER($G8),$G8,$F8+$E8-$D8)),FALSE()),2,IF(AND(EX$2&gt;=$D8,EX$2&lt;=$E8),1,"")))</f>
        <v/>
      </c>
      <c r="EY8" s="55" t="str">
        <f aca="false">IF(OR(EY$2="",$D8=""),"",IF(IF(ISNUMBER($F8),AND(EY$2&gt;=$F8,EY$2&lt;=IF(ISNUMBER($G8),$G8,$F8+$E8-$D8)),FALSE()),2,IF(AND(EY$2&gt;=$D8,EY$2&lt;=$E8),1,"")))</f>
        <v/>
      </c>
      <c r="EZ8" s="55" t="str">
        <f aca="false">IF(OR(EZ$2="",$D8=""),"",IF(IF(ISNUMBER($F8),AND(EZ$2&gt;=$F8,EZ$2&lt;=IF(ISNUMBER($G8),$G8,$F8+$E8-$D8)),FALSE()),2,IF(AND(EZ$2&gt;=$D8,EZ$2&lt;=$E8),1,"")))</f>
        <v/>
      </c>
      <c r="FA8" s="55" t="str">
        <f aca="false">IF(OR(FA$2="",$D8=""),"",IF(IF(ISNUMBER($F8),AND(FA$2&gt;=$F8,FA$2&lt;=IF(ISNUMBER($G8),$G8,$F8+$E8-$D8)),FALSE()),2,IF(AND(FA$2&gt;=$D8,FA$2&lt;=$E8),1,"")))</f>
        <v/>
      </c>
      <c r="FB8" s="55" t="str">
        <f aca="false">IF(OR(FB$2="",$D8=""),"",IF(IF(ISNUMBER($F8),AND(FB$2&gt;=$F8,FB$2&lt;=IF(ISNUMBER($G8),$G8,$F8+$E8-$D8)),FALSE()),2,IF(AND(FB$2&gt;=$D8,FB$2&lt;=$E8),1,"")))</f>
        <v/>
      </c>
      <c r="FC8" s="55" t="str">
        <f aca="false">IF(OR(FC$2="",$D8=""),"",IF(IF(ISNUMBER($F8),AND(FC$2&gt;=$F8,FC$2&lt;=IF(ISNUMBER($G8),$G8,$F8+$E8-$D8)),FALSE()),2,IF(AND(FC$2&gt;=$D8,FC$2&lt;=$E8),1,"")))</f>
        <v/>
      </c>
      <c r="FD8" s="55" t="str">
        <f aca="false">IF(OR(FD$2="",$D8=""),"",IF(IF(ISNUMBER($F8),AND(FD$2&gt;=$F8,FD$2&lt;=IF(ISNUMBER($G8),$G8,$F8+$E8-$D8)),FALSE()),2,IF(AND(FD$2&gt;=$D8,FD$2&lt;=$E8),1,"")))</f>
        <v/>
      </c>
      <c r="FE8" s="55" t="str">
        <f aca="false">IF(OR(FE$2="",$D8=""),"",IF(IF(ISNUMBER($F8),AND(FE$2&gt;=$F8,FE$2&lt;=IF(ISNUMBER($G8),$G8,$F8+$E8-$D8)),FALSE()),2,IF(AND(FE$2&gt;=$D8,FE$2&lt;=$E8),1,"")))</f>
        <v/>
      </c>
      <c r="FF8" s="55" t="str">
        <f aca="false">IF(OR(FF$2="",$D8=""),"",IF(IF(ISNUMBER($F8),AND(FF$2&gt;=$F8,FF$2&lt;=IF(ISNUMBER($G8),$G8,$F8+$E8-$D8)),FALSE()),2,IF(AND(FF$2&gt;=$D8,FF$2&lt;=$E8),1,"")))</f>
        <v/>
      </c>
      <c r="FG8" s="55" t="str">
        <f aca="false">IF(OR(FG$2="",$D8=""),"",IF(IF(ISNUMBER($F8),AND(FG$2&gt;=$F8,FG$2&lt;=IF(ISNUMBER($G8),$G8,$F8+$E8-$D8)),FALSE()),2,IF(AND(FG$2&gt;=$D8,FG$2&lt;=$E8),1,"")))</f>
        <v/>
      </c>
      <c r="FH8" s="55" t="str">
        <f aca="false">IF(OR(FH$2="",$D8=""),"",IF(IF(ISNUMBER($F8),AND(FH$2&gt;=$F8,FH$2&lt;=IF(ISNUMBER($G8),$G8,$F8+$E8-$D8)),FALSE()),2,IF(AND(FH$2&gt;=$D8,FH$2&lt;=$E8),1,"")))</f>
        <v/>
      </c>
      <c r="FI8" s="55" t="str">
        <f aca="false">IF(OR(FI$2="",$D8=""),"",IF(IF(ISNUMBER($F8),AND(FI$2&gt;=$F8,FI$2&lt;=IF(ISNUMBER($G8),$G8,$F8+$E8-$D8)),FALSE()),2,IF(AND(FI$2&gt;=$D8,FI$2&lt;=$E8),1,"")))</f>
        <v/>
      </c>
      <c r="FJ8" s="55" t="str">
        <f aca="false">IF(OR(FJ$2="",$D8=""),"",IF(IF(ISNUMBER($F8),AND(FJ$2&gt;=$F8,FJ$2&lt;=IF(ISNUMBER($G8),$G8,$F8+$E8-$D8)),FALSE()),2,IF(AND(FJ$2&gt;=$D8,FJ$2&lt;=$E8),1,"")))</f>
        <v/>
      </c>
      <c r="FK8" s="55" t="str">
        <f aca="false">IF(OR(FK$2="",$D8=""),"",IF(IF(ISNUMBER($F8),AND(FK$2&gt;=$F8,FK$2&lt;=IF(ISNUMBER($G8),$G8,$F8+$E8-$D8)),FALSE()),2,IF(AND(FK$2&gt;=$D8,FK$2&lt;=$E8),1,"")))</f>
        <v/>
      </c>
      <c r="FL8" s="55" t="str">
        <f aca="false">IF(OR(FL$2="",$D8=""),"",IF(IF(ISNUMBER($F8),AND(FL$2&gt;=$F8,FL$2&lt;=IF(ISNUMBER($G8),$G8,$F8+$E8-$D8)),FALSE()),2,IF(AND(FL$2&gt;=$D8,FL$2&lt;=$E8),1,"")))</f>
        <v/>
      </c>
      <c r="FM8" s="55" t="str">
        <f aca="false">IF(OR(FM$2="",$D8=""),"",IF(IF(ISNUMBER($F8),AND(FM$2&gt;=$F8,FM$2&lt;=IF(ISNUMBER($G8),$G8,$F8+$E8-$D8)),FALSE()),2,IF(AND(FM$2&gt;=$D8,FM$2&lt;=$E8),1,"")))</f>
        <v/>
      </c>
      <c r="FN8" s="55" t="str">
        <f aca="false">IF(OR(FN$2="",$D8=""),"",IF(IF(ISNUMBER($F8),AND(FN$2&gt;=$F8,FN$2&lt;=IF(ISNUMBER($G8),$G8,$F8+$E8-$D8)),FALSE()),2,IF(AND(FN$2&gt;=$D8,FN$2&lt;=$E8),1,"")))</f>
        <v/>
      </c>
      <c r="FO8" s="55" t="str">
        <f aca="false">IF(OR(FO$2="",$D8=""),"",IF(IF(ISNUMBER($F8),AND(FO$2&gt;=$F8,FO$2&lt;=IF(ISNUMBER($G8),$G8,$F8+$E8-$D8)),FALSE()),2,IF(AND(FO$2&gt;=$D8,FO$2&lt;=$E8),1,"")))</f>
        <v/>
      </c>
      <c r="FP8" s="55" t="str">
        <f aca="false">IF(OR(FP$2="",$D8=""),"",IF(IF(ISNUMBER($F8),AND(FP$2&gt;=$F8,FP$2&lt;=IF(ISNUMBER($G8),$G8,$F8+$E8-$D8)),FALSE()),2,IF(AND(FP$2&gt;=$D8,FP$2&lt;=$E8),1,"")))</f>
        <v/>
      </c>
      <c r="FQ8" s="55" t="str">
        <f aca="false">IF(OR(FQ$2="",$D8=""),"",IF(IF(ISNUMBER($F8),AND(FQ$2&gt;=$F8,FQ$2&lt;=IF(ISNUMBER($G8),$G8,$F8+$E8-$D8)),FALSE()),2,IF(AND(FQ$2&gt;=$D8,FQ$2&lt;=$E8),1,"")))</f>
        <v/>
      </c>
      <c r="FR8" s="55" t="str">
        <f aca="false">IF(OR(FR$2="",$D8=""),"",IF(IF(ISNUMBER($F8),AND(FR$2&gt;=$F8,FR$2&lt;=IF(ISNUMBER($G8),$G8,$F8+$E8-$D8)),FALSE()),2,IF(AND(FR$2&gt;=$D8,FR$2&lt;=$E8),1,"")))</f>
        <v/>
      </c>
      <c r="FS8" s="55" t="str">
        <f aca="false">IF(OR(FS$2="",$D8=""),"",IF(IF(ISNUMBER($F8),AND(FS$2&gt;=$F8,FS$2&lt;=IF(ISNUMBER($G8),$G8,$F8+$E8-$D8)),FALSE()),2,IF(AND(FS$2&gt;=$D8,FS$2&lt;=$E8),1,"")))</f>
        <v/>
      </c>
      <c r="FT8" s="55" t="str">
        <f aca="false">IF(OR(FT$2="",$D8=""),"",IF(IF(ISNUMBER($F8),AND(FT$2&gt;=$F8,FT$2&lt;=IF(ISNUMBER($G8),$G8,$F8+$E8-$D8)),FALSE()),2,IF(AND(FT$2&gt;=$D8,FT$2&lt;=$E8),1,"")))</f>
        <v/>
      </c>
      <c r="FU8" s="55" t="str">
        <f aca="false">IF(OR(FU$2="",$D8=""),"",IF(IF(ISNUMBER($F8),AND(FU$2&gt;=$F8,FU$2&lt;=IF(ISNUMBER($G8),$G8,$F8+$E8-$D8)),FALSE()),2,IF(AND(FU$2&gt;=$D8,FU$2&lt;=$E8),1,"")))</f>
        <v/>
      </c>
      <c r="FV8" s="55" t="str">
        <f aca="false">IF(OR(FV$2="",$D8=""),"",IF(IF(ISNUMBER($F8),AND(FV$2&gt;=$F8,FV$2&lt;=IF(ISNUMBER($G8),$G8,$F8+$E8-$D8)),FALSE()),2,IF(AND(FV$2&gt;=$D8,FV$2&lt;=$E8),1,"")))</f>
        <v/>
      </c>
      <c r="FW8" s="55" t="str">
        <f aca="false">IF(OR(FW$2="",$D8=""),"",IF(IF(ISNUMBER($F8),AND(FW$2&gt;=$F8,FW$2&lt;=IF(ISNUMBER($G8),$G8,$F8+$E8-$D8)),FALSE()),2,IF(AND(FW$2&gt;=$D8,FW$2&lt;=$E8),1,"")))</f>
        <v/>
      </c>
      <c r="FX8" s="55" t="str">
        <f aca="false">IF(OR(FX$2="",$D8=""),"",IF(IF(ISNUMBER($F8),AND(FX$2&gt;=$F8,FX$2&lt;=IF(ISNUMBER($G8),$G8,$F8+$E8-$D8)),FALSE()),2,IF(AND(FX$2&gt;=$D8,FX$2&lt;=$E8),1,"")))</f>
        <v/>
      </c>
      <c r="FY8" s="55" t="str">
        <f aca="false">IF(OR(FY$2="",$D8=""),"",IF(IF(ISNUMBER($F8),AND(FY$2&gt;=$F8,FY$2&lt;=IF(ISNUMBER($G8),$G8,$F8+$E8-$D8)),FALSE()),2,IF(AND(FY$2&gt;=$D8,FY$2&lt;=$E8),1,"")))</f>
        <v/>
      </c>
      <c r="FZ8" s="55" t="str">
        <f aca="false">IF(OR(FZ$2="",$D8=""),"",IF(IF(ISNUMBER($F8),AND(FZ$2&gt;=$F8,FZ$2&lt;=IF(ISNUMBER($G8),$G8,$F8+$E8-$D8)),FALSE()),2,IF(AND(FZ$2&gt;=$D8,FZ$2&lt;=$E8),1,"")))</f>
        <v/>
      </c>
      <c r="GA8" s="55" t="str">
        <f aca="false">IF(OR(GA$2="",$D8=""),"",IF(IF(ISNUMBER($F8),AND(GA$2&gt;=$F8,GA$2&lt;=IF(ISNUMBER($G8),$G8,$F8+$E8-$D8)),FALSE()),2,IF(AND(GA$2&gt;=$D8,GA$2&lt;=$E8),1,"")))</f>
        <v/>
      </c>
      <c r="GB8" s="55" t="str">
        <f aca="false">IF(OR(GB$2="",$D8=""),"",IF(IF(ISNUMBER($F8),AND(GB$2&gt;=$F8,GB$2&lt;=IF(ISNUMBER($G8),$G8,$F8+$E8-$D8)),FALSE()),2,IF(AND(GB$2&gt;=$D8,GB$2&lt;=$E8),1,"")))</f>
        <v/>
      </c>
      <c r="GC8" s="55" t="str">
        <f aca="false">IF(OR(GC$2="",$D8=""),"",IF(IF(ISNUMBER($F8),AND(GC$2&gt;=$F8,GC$2&lt;=IF(ISNUMBER($G8),$G8,$F8+$E8-$D8)),FALSE()),2,IF(AND(GC$2&gt;=$D8,GC$2&lt;=$E8),1,"")))</f>
        <v/>
      </c>
      <c r="GD8" s="55" t="str">
        <f aca="false">IF(OR(GD$2="",$D8=""),"",IF(IF(ISNUMBER($F8),AND(GD$2&gt;=$F8,GD$2&lt;=IF(ISNUMBER($G8),$G8,$F8+$E8-$D8)),FALSE()),2,IF(AND(GD$2&gt;=$D8,GD$2&lt;=$E8),1,"")))</f>
        <v/>
      </c>
      <c r="GE8" s="55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false" outlineLevel="0" collapsed="false">
      <c r="A9" s="54" t="s">
        <v>214</v>
      </c>
      <c r="B9" s="21" t="s">
        <v>366</v>
      </c>
      <c r="C9" s="21" t="s">
        <v>83</v>
      </c>
      <c r="D9" s="51" t="n">
        <f aca="false">IF(ISNUMBER(TransDate),TransDate,"")</f>
        <v>46038</v>
      </c>
      <c r="E9" s="51" t="n">
        <f aca="false">IF(D9="","",D9)</f>
        <v>46038</v>
      </c>
      <c r="F9" s="51" t="n">
        <f aca="false">IF(_xlfn.MINIFS(2_Daily_input!$D$1:$FQ$1,2_Daily_input!$D$71:$FQ$71,"Transplanting")+_xlfn.MINIFS(2_Daily_input!$D$1:$FQ$1,2_Daily_input!$D$72:$FQ$72,"Transplanting")=0,"",IF(_xlfn.MINIFS(2_Daily_input!$D$1:$FQ$1,2_Daily_input!$D$71:$FQ$71,"Transplanting")=0,_xlfn.MINIFS(2_Daily_input!$D$1:$FQ$1,2_Daily_input!$D$72:$FQ$72,"Transplanting"),IF(_xlfn.MINIFS(2_Daily_input!$D$1:$FQ$1,2_Daily_input!$D$72:$FQ$72,"Transplanting")=0,_xlfn.MINIFS(2_Daily_input!$D$1:$FQ$1,2_Daily_input!$D$71:$FQ$71,"Transplanting"),MIN(_xlfn.MINIFS(2_Daily_input!$D$1:$FQ$1,2_Daily_input!$D$71:$FQ$71,"Transplanting"),_xlfn.MINIFS(2_Daily_input!$D$1:$FQ$1,2_Daily_input!$D$72:$FQ$72,"Transplanting")))))</f>
        <v>46038</v>
      </c>
      <c r="G9" s="51" t="str">
        <f aca="false">""</f>
        <v/>
      </c>
      <c r="H9" s="50" t="str">
        <f aca="true">IF(D9="","no plan",IF(F9&lt;&gt;"",IF(F9-D9&gt;=2,"LATE","OK"),IF(TODAY()&gt;D9+2,"OVERDUE","upcoming")))</f>
        <v>OK</v>
      </c>
      <c r="I9" s="50" t="n">
        <f aca="false">IF(AND(D9&lt;&gt;"",F9&lt;&gt;""),F9-D9,"")</f>
        <v>0</v>
      </c>
      <c r="J9" s="51" t="n">
        <f aca="false">IF(F9&lt;&gt;"",F9,D9)</f>
        <v>46038</v>
      </c>
      <c r="K9" s="51" t="n">
        <f aca="false">IF(G9&lt;&gt;"",G9,IF(AND(F9&lt;&gt;"",E9=D9),F9,E9))</f>
        <v>46038</v>
      </c>
      <c r="L9" s="50" t="str">
        <f aca="true">IF(AND(D9&lt;&gt;"",F9="",D9&gt;=TODAY()),D9+ROW()/1000,"")</f>
        <v/>
      </c>
      <c r="M9" s="55" t="str">
        <f aca="false">IF(OR(M$2="",$D9=""),"",IF(IF(ISNUMBER($F9),AND(M$2&gt;=$F9,M$2&lt;=IF(ISNUMBER($G9),$G9,$F9+$E9-$D9)),FALSE()),2,IF(AND(M$2&gt;=$D9,M$2&lt;=$E9),1,"")))</f>
        <v/>
      </c>
      <c r="N9" s="55" t="str">
        <f aca="false">IF(OR(N$2="",$D9=""),"",IF(IF(ISNUMBER($F9),AND(N$2&gt;=$F9,N$2&lt;=IF(ISNUMBER($G9),$G9,$F9+$E9-$D9)),FALSE()),2,IF(AND(N$2&gt;=$D9,N$2&lt;=$E9),1,"")))</f>
        <v/>
      </c>
      <c r="O9" s="55" t="str">
        <f aca="false">IF(OR(O$2="",$D9=""),"",IF(IF(ISNUMBER($F9),AND(O$2&gt;=$F9,O$2&lt;=IF(ISNUMBER($G9),$G9,$F9+$E9-$D9)),FALSE()),2,IF(AND(O$2&gt;=$D9,O$2&lt;=$E9),1,"")))</f>
        <v/>
      </c>
      <c r="P9" s="55" t="str">
        <f aca="false">IF(OR(P$2="",$D9=""),"",IF(IF(ISNUMBER($F9),AND(P$2&gt;=$F9,P$2&lt;=IF(ISNUMBER($G9),$G9,$F9+$E9-$D9)),FALSE()),2,IF(AND(P$2&gt;=$D9,P$2&lt;=$E9),1,"")))</f>
        <v/>
      </c>
      <c r="Q9" s="55" t="str">
        <f aca="false">IF(OR(Q$2="",$D9=""),"",IF(IF(ISNUMBER($F9),AND(Q$2&gt;=$F9,Q$2&lt;=IF(ISNUMBER($G9),$G9,$F9+$E9-$D9)),FALSE()),2,IF(AND(Q$2&gt;=$D9,Q$2&lt;=$E9),1,"")))</f>
        <v/>
      </c>
      <c r="R9" s="55" t="str">
        <f aca="false">IF(OR(R$2="",$D9=""),"",IF(IF(ISNUMBER($F9),AND(R$2&gt;=$F9,R$2&lt;=IF(ISNUMBER($G9),$G9,$F9+$E9-$D9)),FALSE()),2,IF(AND(R$2&gt;=$D9,R$2&lt;=$E9),1,"")))</f>
        <v/>
      </c>
      <c r="S9" s="55" t="str">
        <f aca="false">IF(OR(S$2="",$D9=""),"",IF(IF(ISNUMBER($F9),AND(S$2&gt;=$F9,S$2&lt;=IF(ISNUMBER($G9),$G9,$F9+$E9-$D9)),FALSE()),2,IF(AND(S$2&gt;=$D9,S$2&lt;=$E9),1,"")))</f>
        <v/>
      </c>
      <c r="T9" s="55" t="str">
        <f aca="false">IF(OR(T$2="",$D9=""),"",IF(IF(ISNUMBER($F9),AND(T$2&gt;=$F9,T$2&lt;=IF(ISNUMBER($G9),$G9,$F9+$E9-$D9)),FALSE()),2,IF(AND(T$2&gt;=$D9,T$2&lt;=$E9),1,"")))</f>
        <v/>
      </c>
      <c r="U9" s="55" t="str">
        <f aca="false">IF(OR(U$2="",$D9=""),"",IF(IF(ISNUMBER($F9),AND(U$2&gt;=$F9,U$2&lt;=IF(ISNUMBER($G9),$G9,$F9+$E9-$D9)),FALSE()),2,IF(AND(U$2&gt;=$D9,U$2&lt;=$E9),1,"")))</f>
        <v/>
      </c>
      <c r="V9" s="55" t="str">
        <f aca="false">IF(OR(V$2="",$D9=""),"",IF(IF(ISNUMBER($F9),AND(V$2&gt;=$F9,V$2&lt;=IF(ISNUMBER($G9),$G9,$F9+$E9-$D9)),FALSE()),2,IF(AND(V$2&gt;=$D9,V$2&lt;=$E9),1,"")))</f>
        <v/>
      </c>
      <c r="W9" s="55" t="str">
        <f aca="false">IF(OR(W$2="",$D9=""),"",IF(IF(ISNUMBER($F9),AND(W$2&gt;=$F9,W$2&lt;=IF(ISNUMBER($G9),$G9,$F9+$E9-$D9)),FALSE()),2,IF(AND(W$2&gt;=$D9,W$2&lt;=$E9),1,"")))</f>
        <v/>
      </c>
      <c r="X9" s="55" t="str">
        <f aca="false">IF(OR(X$2="",$D9=""),"",IF(IF(ISNUMBER($F9),AND(X$2&gt;=$F9,X$2&lt;=IF(ISNUMBER($G9),$G9,$F9+$E9-$D9)),FALSE()),2,IF(AND(X$2&gt;=$D9,X$2&lt;=$E9),1,"")))</f>
        <v/>
      </c>
      <c r="Y9" s="55" t="str">
        <f aca="false">IF(OR(Y$2="",$D9=""),"",IF(IF(ISNUMBER($F9),AND(Y$2&gt;=$F9,Y$2&lt;=IF(ISNUMBER($G9),$G9,$F9+$E9-$D9)),FALSE()),2,IF(AND(Y$2&gt;=$D9,Y$2&lt;=$E9),1,"")))</f>
        <v/>
      </c>
      <c r="Z9" s="55" t="str">
        <f aca="false">IF(OR(Z$2="",$D9=""),"",IF(IF(ISNUMBER($F9),AND(Z$2&gt;=$F9,Z$2&lt;=IF(ISNUMBER($G9),$G9,$F9+$E9-$D9)),FALSE()),2,IF(AND(Z$2&gt;=$D9,Z$2&lt;=$E9),1,"")))</f>
        <v/>
      </c>
      <c r="AA9" s="55" t="str">
        <f aca="false">IF(OR(AA$2="",$D9=""),"",IF(IF(ISNUMBER($F9),AND(AA$2&gt;=$F9,AA$2&lt;=IF(ISNUMBER($G9),$G9,$F9+$E9-$D9)),FALSE()),2,IF(AND(AA$2&gt;=$D9,AA$2&lt;=$E9),1,"")))</f>
        <v/>
      </c>
      <c r="AB9" s="55" t="str">
        <f aca="false">IF(OR(AB$2="",$D9=""),"",IF(IF(ISNUMBER($F9),AND(AB$2&gt;=$F9,AB$2&lt;=IF(ISNUMBER($G9),$G9,$F9+$E9-$D9)),FALSE()),2,IF(AND(AB$2&gt;=$D9,AB$2&lt;=$E9),1,"")))</f>
        <v/>
      </c>
      <c r="AC9" s="55" t="str">
        <f aca="false">IF(OR(AC$2="",$D9=""),"",IF(IF(ISNUMBER($F9),AND(AC$2&gt;=$F9,AC$2&lt;=IF(ISNUMBER($G9),$G9,$F9+$E9-$D9)),FALSE()),2,IF(AND(AC$2&gt;=$D9,AC$2&lt;=$E9),1,"")))</f>
        <v/>
      </c>
      <c r="AD9" s="55" t="str">
        <f aca="false">IF(OR(AD$2="",$D9=""),"",IF(IF(ISNUMBER($F9),AND(AD$2&gt;=$F9,AD$2&lt;=IF(ISNUMBER($G9),$G9,$F9+$E9-$D9)),FALSE()),2,IF(AND(AD$2&gt;=$D9,AD$2&lt;=$E9),1,"")))</f>
        <v/>
      </c>
      <c r="AE9" s="55" t="str">
        <f aca="false">IF(OR(AE$2="",$D9=""),"",IF(IF(ISNUMBER($F9),AND(AE$2&gt;=$F9,AE$2&lt;=IF(ISNUMBER($G9),$G9,$F9+$E9-$D9)),FALSE()),2,IF(AND(AE$2&gt;=$D9,AE$2&lt;=$E9),1,"")))</f>
        <v/>
      </c>
      <c r="AF9" s="55" t="str">
        <f aca="false">IF(OR(AF$2="",$D9=""),"",IF(IF(ISNUMBER($F9),AND(AF$2&gt;=$F9,AF$2&lt;=IF(ISNUMBER($G9),$G9,$F9+$E9-$D9)),FALSE()),2,IF(AND(AF$2&gt;=$D9,AF$2&lt;=$E9),1,"")))</f>
        <v/>
      </c>
      <c r="AG9" s="55" t="str">
        <f aca="false">IF(OR(AG$2="",$D9=""),"",IF(IF(ISNUMBER($F9),AND(AG$2&gt;=$F9,AG$2&lt;=IF(ISNUMBER($G9),$G9,$F9+$E9-$D9)),FALSE()),2,IF(AND(AG$2&gt;=$D9,AG$2&lt;=$E9),1,"")))</f>
        <v/>
      </c>
      <c r="AH9" s="55" t="str">
        <f aca="false">IF(OR(AH$2="",$D9=""),"",IF(IF(ISNUMBER($F9),AND(AH$2&gt;=$F9,AH$2&lt;=IF(ISNUMBER($G9),$G9,$F9+$E9-$D9)),FALSE()),2,IF(AND(AH$2&gt;=$D9,AH$2&lt;=$E9),1,"")))</f>
        <v/>
      </c>
      <c r="AI9" s="55" t="str">
        <f aca="false">IF(OR(AI$2="",$D9=""),"",IF(IF(ISNUMBER($F9),AND(AI$2&gt;=$F9,AI$2&lt;=IF(ISNUMBER($G9),$G9,$F9+$E9-$D9)),FALSE()),2,IF(AND(AI$2&gt;=$D9,AI$2&lt;=$E9),1,"")))</f>
        <v/>
      </c>
      <c r="AJ9" s="55" t="str">
        <f aca="false">IF(OR(AJ$2="",$D9=""),"",IF(IF(ISNUMBER($F9),AND(AJ$2&gt;=$F9,AJ$2&lt;=IF(ISNUMBER($G9),$G9,$F9+$E9-$D9)),FALSE()),2,IF(AND(AJ$2&gt;=$D9,AJ$2&lt;=$E9),1,"")))</f>
        <v/>
      </c>
      <c r="AK9" s="55" t="str">
        <f aca="false">IF(OR(AK$2="",$D9=""),"",IF(IF(ISNUMBER($F9),AND(AK$2&gt;=$F9,AK$2&lt;=IF(ISNUMBER($G9),$G9,$F9+$E9-$D9)),FALSE()),2,IF(AND(AK$2&gt;=$D9,AK$2&lt;=$E9),1,"")))</f>
        <v/>
      </c>
      <c r="AL9" s="55" t="str">
        <f aca="false">IF(OR(AL$2="",$D9=""),"",IF(IF(ISNUMBER($F9),AND(AL$2&gt;=$F9,AL$2&lt;=IF(ISNUMBER($G9),$G9,$F9+$E9-$D9)),FALSE()),2,IF(AND(AL$2&gt;=$D9,AL$2&lt;=$E9),1,"")))</f>
        <v/>
      </c>
      <c r="AM9" s="55" t="str">
        <f aca="false">IF(OR(AM$2="",$D9=""),"",IF(IF(ISNUMBER($F9),AND(AM$2&gt;=$F9,AM$2&lt;=IF(ISNUMBER($G9),$G9,$F9+$E9-$D9)),FALSE()),2,IF(AND(AM$2&gt;=$D9,AM$2&lt;=$E9),1,"")))</f>
        <v/>
      </c>
      <c r="AN9" s="55" t="str">
        <f aca="false">IF(OR(AN$2="",$D9=""),"",IF(IF(ISNUMBER($F9),AND(AN$2&gt;=$F9,AN$2&lt;=IF(ISNUMBER($G9),$G9,$F9+$E9-$D9)),FALSE()),2,IF(AND(AN$2&gt;=$D9,AN$2&lt;=$E9),1,"")))</f>
        <v/>
      </c>
      <c r="AO9" s="55" t="str">
        <f aca="false">IF(OR(AO$2="",$D9=""),"",IF(IF(ISNUMBER($F9),AND(AO$2&gt;=$F9,AO$2&lt;=IF(ISNUMBER($G9),$G9,$F9+$E9-$D9)),FALSE()),2,IF(AND(AO$2&gt;=$D9,AO$2&lt;=$E9),1,"")))</f>
        <v/>
      </c>
      <c r="AP9" s="55" t="str">
        <f aca="false">IF(OR(AP$2="",$D9=""),"",IF(IF(ISNUMBER($F9),AND(AP$2&gt;=$F9,AP$2&lt;=IF(ISNUMBER($G9),$G9,$F9+$E9-$D9)),FALSE()),2,IF(AND(AP$2&gt;=$D9,AP$2&lt;=$E9),1,"")))</f>
        <v/>
      </c>
      <c r="AQ9" s="55" t="str">
        <f aca="false">IF(OR(AQ$2="",$D9=""),"",IF(IF(ISNUMBER($F9),AND(AQ$2&gt;=$F9,AQ$2&lt;=IF(ISNUMBER($G9),$G9,$F9+$E9-$D9)),FALSE()),2,IF(AND(AQ$2&gt;=$D9,AQ$2&lt;=$E9),1,"")))</f>
        <v/>
      </c>
      <c r="AR9" s="55" t="str">
        <f aca="false">IF(OR(AR$2="",$D9=""),"",IF(IF(ISNUMBER($F9),AND(AR$2&gt;=$F9,AR$2&lt;=IF(ISNUMBER($G9),$G9,$F9+$E9-$D9)),FALSE()),2,IF(AND(AR$2&gt;=$D9,AR$2&lt;=$E9),1,"")))</f>
        <v/>
      </c>
      <c r="AS9" s="55" t="str">
        <f aca="false">IF(OR(AS$2="",$D9=""),"",IF(IF(ISNUMBER($F9),AND(AS$2&gt;=$F9,AS$2&lt;=IF(ISNUMBER($G9),$G9,$F9+$E9-$D9)),FALSE()),2,IF(AND(AS$2&gt;=$D9,AS$2&lt;=$E9),1,"")))</f>
        <v/>
      </c>
      <c r="AT9" s="55" t="str">
        <f aca="false">IF(OR(AT$2="",$D9=""),"",IF(IF(ISNUMBER($F9),AND(AT$2&gt;=$F9,AT$2&lt;=IF(ISNUMBER($G9),$G9,$F9+$E9-$D9)),FALSE()),2,IF(AND(AT$2&gt;=$D9,AT$2&lt;=$E9),1,"")))</f>
        <v/>
      </c>
      <c r="AU9" s="55" t="str">
        <f aca="false">IF(OR(AU$2="",$D9=""),"",IF(IF(ISNUMBER($F9),AND(AU$2&gt;=$F9,AU$2&lt;=IF(ISNUMBER($G9),$G9,$F9+$E9-$D9)),FALSE()),2,IF(AND(AU$2&gt;=$D9,AU$2&lt;=$E9),1,"")))</f>
        <v/>
      </c>
      <c r="AV9" s="55" t="str">
        <f aca="false">IF(OR(AV$2="",$D9=""),"",IF(IF(ISNUMBER($F9),AND(AV$2&gt;=$F9,AV$2&lt;=IF(ISNUMBER($G9),$G9,$F9+$E9-$D9)),FALSE()),2,IF(AND(AV$2&gt;=$D9,AV$2&lt;=$E9),1,"")))</f>
        <v/>
      </c>
      <c r="AW9" s="55" t="str">
        <f aca="false">IF(OR(AW$2="",$D9=""),"",IF(IF(ISNUMBER($F9),AND(AW$2&gt;=$F9,AW$2&lt;=IF(ISNUMBER($G9),$G9,$F9+$E9-$D9)),FALSE()),2,IF(AND(AW$2&gt;=$D9,AW$2&lt;=$E9),1,"")))</f>
        <v/>
      </c>
      <c r="AX9" s="55" t="str">
        <f aca="false">IF(OR(AX$2="",$D9=""),"",IF(IF(ISNUMBER($F9),AND(AX$2&gt;=$F9,AX$2&lt;=IF(ISNUMBER($G9),$G9,$F9+$E9-$D9)),FALSE()),2,IF(AND(AX$2&gt;=$D9,AX$2&lt;=$E9),1,"")))</f>
        <v/>
      </c>
      <c r="AY9" s="55" t="str">
        <f aca="false">IF(OR(AY$2="",$D9=""),"",IF(IF(ISNUMBER($F9),AND(AY$2&gt;=$F9,AY$2&lt;=IF(ISNUMBER($G9),$G9,$F9+$E9-$D9)),FALSE()),2,IF(AND(AY$2&gt;=$D9,AY$2&lt;=$E9),1,"")))</f>
        <v/>
      </c>
      <c r="AZ9" s="55" t="str">
        <f aca="false">IF(OR(AZ$2="",$D9=""),"",IF(IF(ISNUMBER($F9),AND(AZ$2&gt;=$F9,AZ$2&lt;=IF(ISNUMBER($G9),$G9,$F9+$E9-$D9)),FALSE()),2,IF(AND(AZ$2&gt;=$D9,AZ$2&lt;=$E9),1,"")))</f>
        <v/>
      </c>
      <c r="BA9" s="55" t="str">
        <f aca="false">IF(OR(BA$2="",$D9=""),"",IF(IF(ISNUMBER($F9),AND(BA$2&gt;=$F9,BA$2&lt;=IF(ISNUMBER($G9),$G9,$F9+$E9-$D9)),FALSE()),2,IF(AND(BA$2&gt;=$D9,BA$2&lt;=$E9),1,"")))</f>
        <v/>
      </c>
      <c r="BB9" s="55" t="str">
        <f aca="false">IF(OR(BB$2="",$D9=""),"",IF(IF(ISNUMBER($F9),AND(BB$2&gt;=$F9,BB$2&lt;=IF(ISNUMBER($G9),$G9,$F9+$E9-$D9)),FALSE()),2,IF(AND(BB$2&gt;=$D9,BB$2&lt;=$E9),1,"")))</f>
        <v/>
      </c>
      <c r="BC9" s="55" t="str">
        <f aca="false">IF(OR(BC$2="",$D9=""),"",IF(IF(ISNUMBER($F9),AND(BC$2&gt;=$F9,BC$2&lt;=IF(ISNUMBER($G9),$G9,$F9+$E9-$D9)),FALSE()),2,IF(AND(BC$2&gt;=$D9,BC$2&lt;=$E9),1,"")))</f>
        <v/>
      </c>
      <c r="BD9" s="55" t="str">
        <f aca="false">IF(OR(BD$2="",$D9=""),"",IF(IF(ISNUMBER($F9),AND(BD$2&gt;=$F9,BD$2&lt;=IF(ISNUMBER($G9),$G9,$F9+$E9-$D9)),FALSE()),2,IF(AND(BD$2&gt;=$D9,BD$2&lt;=$E9),1,"")))</f>
        <v/>
      </c>
      <c r="BE9" s="55" t="str">
        <f aca="false">IF(OR(BE$2="",$D9=""),"",IF(IF(ISNUMBER($F9),AND(BE$2&gt;=$F9,BE$2&lt;=IF(ISNUMBER($G9),$G9,$F9+$E9-$D9)),FALSE()),2,IF(AND(BE$2&gt;=$D9,BE$2&lt;=$E9),1,"")))</f>
        <v/>
      </c>
      <c r="BF9" s="55" t="str">
        <f aca="false">IF(OR(BF$2="",$D9=""),"",IF(IF(ISNUMBER($F9),AND(BF$2&gt;=$F9,BF$2&lt;=IF(ISNUMBER($G9),$G9,$F9+$E9-$D9)),FALSE()),2,IF(AND(BF$2&gt;=$D9,BF$2&lt;=$E9),1,"")))</f>
        <v/>
      </c>
      <c r="BG9" s="55" t="str">
        <f aca="false">IF(OR(BG$2="",$D9=""),"",IF(IF(ISNUMBER($F9),AND(BG$2&gt;=$F9,BG$2&lt;=IF(ISNUMBER($G9),$G9,$F9+$E9-$D9)),FALSE()),2,IF(AND(BG$2&gt;=$D9,BG$2&lt;=$E9),1,"")))</f>
        <v/>
      </c>
      <c r="BH9" s="55" t="str">
        <f aca="false">IF(OR(BH$2="",$D9=""),"",IF(IF(ISNUMBER($F9),AND(BH$2&gt;=$F9,BH$2&lt;=IF(ISNUMBER($G9),$G9,$F9+$E9-$D9)),FALSE()),2,IF(AND(BH$2&gt;=$D9,BH$2&lt;=$E9),1,"")))</f>
        <v/>
      </c>
      <c r="BI9" s="55" t="str">
        <f aca="false">IF(OR(BI$2="",$D9=""),"",IF(IF(ISNUMBER($F9),AND(BI$2&gt;=$F9,BI$2&lt;=IF(ISNUMBER($G9),$G9,$F9+$E9-$D9)),FALSE()),2,IF(AND(BI$2&gt;=$D9,BI$2&lt;=$E9),1,"")))</f>
        <v/>
      </c>
      <c r="BJ9" s="55" t="str">
        <f aca="false">IF(OR(BJ$2="",$D9=""),"",IF(IF(ISNUMBER($F9),AND(BJ$2&gt;=$F9,BJ$2&lt;=IF(ISNUMBER($G9),$G9,$F9+$E9-$D9)),FALSE()),2,IF(AND(BJ$2&gt;=$D9,BJ$2&lt;=$E9),1,"")))</f>
        <v/>
      </c>
      <c r="BK9" s="55" t="str">
        <f aca="false">IF(OR(BK$2="",$D9=""),"",IF(IF(ISNUMBER($F9),AND(BK$2&gt;=$F9,BK$2&lt;=IF(ISNUMBER($G9),$G9,$F9+$E9-$D9)),FALSE()),2,IF(AND(BK$2&gt;=$D9,BK$2&lt;=$E9),1,"")))</f>
        <v/>
      </c>
      <c r="BL9" s="55" t="str">
        <f aca="false">IF(OR(BL$2="",$D9=""),"",IF(IF(ISNUMBER($F9),AND(BL$2&gt;=$F9,BL$2&lt;=IF(ISNUMBER($G9),$G9,$F9+$E9-$D9)),FALSE()),2,IF(AND(BL$2&gt;=$D9,BL$2&lt;=$E9),1,"")))</f>
        <v/>
      </c>
      <c r="BM9" s="55" t="n">
        <f aca="false">IF(OR(BM$2="",$D9=""),"",IF(IF(ISNUMBER($F9),AND(BM$2&gt;=$F9,BM$2&lt;=IF(ISNUMBER($G9),$G9,$F9+$E9-$D9)),FALSE()),2,IF(AND(BM$2&gt;=$D9,BM$2&lt;=$E9),1,"")))</f>
        <v>2</v>
      </c>
      <c r="BN9" s="55" t="str">
        <f aca="false">IF(OR(BN$2="",$D9=""),"",IF(IF(ISNUMBER($F9),AND(BN$2&gt;=$F9,BN$2&lt;=IF(ISNUMBER($G9),$G9,$F9+$E9-$D9)),FALSE()),2,IF(AND(BN$2&gt;=$D9,BN$2&lt;=$E9),1,"")))</f>
        <v/>
      </c>
      <c r="BO9" s="55" t="str">
        <f aca="false">IF(OR(BO$2="",$D9=""),"",IF(IF(ISNUMBER($F9),AND(BO$2&gt;=$F9,BO$2&lt;=IF(ISNUMBER($G9),$G9,$F9+$E9-$D9)),FALSE()),2,IF(AND(BO$2&gt;=$D9,BO$2&lt;=$E9),1,"")))</f>
        <v/>
      </c>
      <c r="BP9" s="55" t="str">
        <f aca="false">IF(OR(BP$2="",$D9=""),"",IF(IF(ISNUMBER($F9),AND(BP$2&gt;=$F9,BP$2&lt;=IF(ISNUMBER($G9),$G9,$F9+$E9-$D9)),FALSE()),2,IF(AND(BP$2&gt;=$D9,BP$2&lt;=$E9),1,"")))</f>
        <v/>
      </c>
      <c r="BQ9" s="55" t="str">
        <f aca="false">IF(OR(BQ$2="",$D9=""),"",IF(IF(ISNUMBER($F9),AND(BQ$2&gt;=$F9,BQ$2&lt;=IF(ISNUMBER($G9),$G9,$F9+$E9-$D9)),FALSE()),2,IF(AND(BQ$2&gt;=$D9,BQ$2&lt;=$E9),1,"")))</f>
        <v/>
      </c>
      <c r="BR9" s="55" t="str">
        <f aca="false">IF(OR(BR$2="",$D9=""),"",IF(IF(ISNUMBER($F9),AND(BR$2&gt;=$F9,BR$2&lt;=IF(ISNUMBER($G9),$G9,$F9+$E9-$D9)),FALSE()),2,IF(AND(BR$2&gt;=$D9,BR$2&lt;=$E9),1,"")))</f>
        <v/>
      </c>
      <c r="BS9" s="55" t="str">
        <f aca="false">IF(OR(BS$2="",$D9=""),"",IF(IF(ISNUMBER($F9),AND(BS$2&gt;=$F9,BS$2&lt;=IF(ISNUMBER($G9),$G9,$F9+$E9-$D9)),FALSE()),2,IF(AND(BS$2&gt;=$D9,BS$2&lt;=$E9),1,"")))</f>
        <v/>
      </c>
      <c r="BT9" s="55" t="str">
        <f aca="false">IF(OR(BT$2="",$D9=""),"",IF(IF(ISNUMBER($F9),AND(BT$2&gt;=$F9,BT$2&lt;=IF(ISNUMBER($G9),$G9,$F9+$E9-$D9)),FALSE()),2,IF(AND(BT$2&gt;=$D9,BT$2&lt;=$E9),1,"")))</f>
        <v/>
      </c>
      <c r="BU9" s="55" t="str">
        <f aca="false">IF(OR(BU$2="",$D9=""),"",IF(IF(ISNUMBER($F9),AND(BU$2&gt;=$F9,BU$2&lt;=IF(ISNUMBER($G9),$G9,$F9+$E9-$D9)),FALSE()),2,IF(AND(BU$2&gt;=$D9,BU$2&lt;=$E9),1,"")))</f>
        <v/>
      </c>
      <c r="BV9" s="55" t="str">
        <f aca="false">IF(OR(BV$2="",$D9=""),"",IF(IF(ISNUMBER($F9),AND(BV$2&gt;=$F9,BV$2&lt;=IF(ISNUMBER($G9),$G9,$F9+$E9-$D9)),FALSE()),2,IF(AND(BV$2&gt;=$D9,BV$2&lt;=$E9),1,"")))</f>
        <v/>
      </c>
      <c r="BW9" s="55" t="str">
        <f aca="false">IF(OR(BW$2="",$D9=""),"",IF(IF(ISNUMBER($F9),AND(BW$2&gt;=$F9,BW$2&lt;=IF(ISNUMBER($G9),$G9,$F9+$E9-$D9)),FALSE()),2,IF(AND(BW$2&gt;=$D9,BW$2&lt;=$E9),1,"")))</f>
        <v/>
      </c>
      <c r="BX9" s="55" t="str">
        <f aca="false">IF(OR(BX$2="",$D9=""),"",IF(IF(ISNUMBER($F9),AND(BX$2&gt;=$F9,BX$2&lt;=IF(ISNUMBER($G9),$G9,$F9+$E9-$D9)),FALSE()),2,IF(AND(BX$2&gt;=$D9,BX$2&lt;=$E9),1,"")))</f>
        <v/>
      </c>
      <c r="BY9" s="55" t="str">
        <f aca="false">IF(OR(BY$2="",$D9=""),"",IF(IF(ISNUMBER($F9),AND(BY$2&gt;=$F9,BY$2&lt;=IF(ISNUMBER($G9),$G9,$F9+$E9-$D9)),FALSE()),2,IF(AND(BY$2&gt;=$D9,BY$2&lt;=$E9),1,"")))</f>
        <v/>
      </c>
      <c r="BZ9" s="55" t="str">
        <f aca="false">IF(OR(BZ$2="",$D9=""),"",IF(IF(ISNUMBER($F9),AND(BZ$2&gt;=$F9,BZ$2&lt;=IF(ISNUMBER($G9),$G9,$F9+$E9-$D9)),FALSE()),2,IF(AND(BZ$2&gt;=$D9,BZ$2&lt;=$E9),1,"")))</f>
        <v/>
      </c>
      <c r="CA9" s="55" t="str">
        <f aca="false">IF(OR(CA$2="",$D9=""),"",IF(IF(ISNUMBER($F9),AND(CA$2&gt;=$F9,CA$2&lt;=IF(ISNUMBER($G9),$G9,$F9+$E9-$D9)),FALSE()),2,IF(AND(CA$2&gt;=$D9,CA$2&lt;=$E9),1,"")))</f>
        <v/>
      </c>
      <c r="CB9" s="55" t="str">
        <f aca="false">IF(OR(CB$2="",$D9=""),"",IF(IF(ISNUMBER($F9),AND(CB$2&gt;=$F9,CB$2&lt;=IF(ISNUMBER($G9),$G9,$F9+$E9-$D9)),FALSE()),2,IF(AND(CB$2&gt;=$D9,CB$2&lt;=$E9),1,"")))</f>
        <v/>
      </c>
      <c r="CC9" s="55" t="str">
        <f aca="false">IF(OR(CC$2="",$D9=""),"",IF(IF(ISNUMBER($F9),AND(CC$2&gt;=$F9,CC$2&lt;=IF(ISNUMBER($G9),$G9,$F9+$E9-$D9)),FALSE()),2,IF(AND(CC$2&gt;=$D9,CC$2&lt;=$E9),1,"")))</f>
        <v/>
      </c>
      <c r="CD9" s="55" t="str">
        <f aca="false">IF(OR(CD$2="",$D9=""),"",IF(IF(ISNUMBER($F9),AND(CD$2&gt;=$F9,CD$2&lt;=IF(ISNUMBER($G9),$G9,$F9+$E9-$D9)),FALSE()),2,IF(AND(CD$2&gt;=$D9,CD$2&lt;=$E9),1,"")))</f>
        <v/>
      </c>
      <c r="CE9" s="55" t="str">
        <f aca="false">IF(OR(CE$2="",$D9=""),"",IF(IF(ISNUMBER($F9),AND(CE$2&gt;=$F9,CE$2&lt;=IF(ISNUMBER($G9),$G9,$F9+$E9-$D9)),FALSE()),2,IF(AND(CE$2&gt;=$D9,CE$2&lt;=$E9),1,"")))</f>
        <v/>
      </c>
      <c r="CF9" s="55" t="str">
        <f aca="false">IF(OR(CF$2="",$D9=""),"",IF(IF(ISNUMBER($F9),AND(CF$2&gt;=$F9,CF$2&lt;=IF(ISNUMBER($G9),$G9,$F9+$E9-$D9)),FALSE()),2,IF(AND(CF$2&gt;=$D9,CF$2&lt;=$E9),1,"")))</f>
        <v/>
      </c>
      <c r="CG9" s="55" t="str">
        <f aca="false">IF(OR(CG$2="",$D9=""),"",IF(IF(ISNUMBER($F9),AND(CG$2&gt;=$F9,CG$2&lt;=IF(ISNUMBER($G9),$G9,$F9+$E9-$D9)),FALSE()),2,IF(AND(CG$2&gt;=$D9,CG$2&lt;=$E9),1,"")))</f>
        <v/>
      </c>
      <c r="CH9" s="55" t="str">
        <f aca="false">IF(OR(CH$2="",$D9=""),"",IF(IF(ISNUMBER($F9),AND(CH$2&gt;=$F9,CH$2&lt;=IF(ISNUMBER($G9),$G9,$F9+$E9-$D9)),FALSE()),2,IF(AND(CH$2&gt;=$D9,CH$2&lt;=$E9),1,"")))</f>
        <v/>
      </c>
      <c r="CI9" s="55" t="str">
        <f aca="false">IF(OR(CI$2="",$D9=""),"",IF(IF(ISNUMBER($F9),AND(CI$2&gt;=$F9,CI$2&lt;=IF(ISNUMBER($G9),$G9,$F9+$E9-$D9)),FALSE()),2,IF(AND(CI$2&gt;=$D9,CI$2&lt;=$E9),1,"")))</f>
        <v/>
      </c>
      <c r="CJ9" s="55" t="str">
        <f aca="false">IF(OR(CJ$2="",$D9=""),"",IF(IF(ISNUMBER($F9),AND(CJ$2&gt;=$F9,CJ$2&lt;=IF(ISNUMBER($G9),$G9,$F9+$E9-$D9)),FALSE()),2,IF(AND(CJ$2&gt;=$D9,CJ$2&lt;=$E9),1,"")))</f>
        <v/>
      </c>
      <c r="CK9" s="55" t="str">
        <f aca="false">IF(OR(CK$2="",$D9=""),"",IF(IF(ISNUMBER($F9),AND(CK$2&gt;=$F9,CK$2&lt;=IF(ISNUMBER($G9),$G9,$F9+$E9-$D9)),FALSE()),2,IF(AND(CK$2&gt;=$D9,CK$2&lt;=$E9),1,"")))</f>
        <v/>
      </c>
      <c r="CL9" s="55" t="str">
        <f aca="false">IF(OR(CL$2="",$D9=""),"",IF(IF(ISNUMBER($F9),AND(CL$2&gt;=$F9,CL$2&lt;=IF(ISNUMBER($G9),$G9,$F9+$E9-$D9)),FALSE()),2,IF(AND(CL$2&gt;=$D9,CL$2&lt;=$E9),1,"")))</f>
        <v/>
      </c>
      <c r="CM9" s="55" t="str">
        <f aca="false">IF(OR(CM$2="",$D9=""),"",IF(IF(ISNUMBER($F9),AND(CM$2&gt;=$F9,CM$2&lt;=IF(ISNUMBER($G9),$G9,$F9+$E9-$D9)),FALSE()),2,IF(AND(CM$2&gt;=$D9,CM$2&lt;=$E9),1,"")))</f>
        <v/>
      </c>
      <c r="CN9" s="55" t="str">
        <f aca="false">IF(OR(CN$2="",$D9=""),"",IF(IF(ISNUMBER($F9),AND(CN$2&gt;=$F9,CN$2&lt;=IF(ISNUMBER($G9),$G9,$F9+$E9-$D9)),FALSE()),2,IF(AND(CN$2&gt;=$D9,CN$2&lt;=$E9),1,"")))</f>
        <v/>
      </c>
      <c r="CO9" s="55" t="str">
        <f aca="false">IF(OR(CO$2="",$D9=""),"",IF(IF(ISNUMBER($F9),AND(CO$2&gt;=$F9,CO$2&lt;=IF(ISNUMBER($G9),$G9,$F9+$E9-$D9)),FALSE()),2,IF(AND(CO$2&gt;=$D9,CO$2&lt;=$E9),1,"")))</f>
        <v/>
      </c>
      <c r="CP9" s="55" t="str">
        <f aca="false">IF(OR(CP$2="",$D9=""),"",IF(IF(ISNUMBER($F9),AND(CP$2&gt;=$F9,CP$2&lt;=IF(ISNUMBER($G9),$G9,$F9+$E9-$D9)),FALSE()),2,IF(AND(CP$2&gt;=$D9,CP$2&lt;=$E9),1,"")))</f>
        <v/>
      </c>
      <c r="CQ9" s="55" t="str">
        <f aca="false">IF(OR(CQ$2="",$D9=""),"",IF(IF(ISNUMBER($F9),AND(CQ$2&gt;=$F9,CQ$2&lt;=IF(ISNUMBER($G9),$G9,$F9+$E9-$D9)),FALSE()),2,IF(AND(CQ$2&gt;=$D9,CQ$2&lt;=$E9),1,"")))</f>
        <v/>
      </c>
      <c r="CR9" s="55" t="str">
        <f aca="false">IF(OR(CR$2="",$D9=""),"",IF(IF(ISNUMBER($F9),AND(CR$2&gt;=$F9,CR$2&lt;=IF(ISNUMBER($G9),$G9,$F9+$E9-$D9)),FALSE()),2,IF(AND(CR$2&gt;=$D9,CR$2&lt;=$E9),1,"")))</f>
        <v/>
      </c>
      <c r="CS9" s="55" t="str">
        <f aca="false">IF(OR(CS$2="",$D9=""),"",IF(IF(ISNUMBER($F9),AND(CS$2&gt;=$F9,CS$2&lt;=IF(ISNUMBER($G9),$G9,$F9+$E9-$D9)),FALSE()),2,IF(AND(CS$2&gt;=$D9,CS$2&lt;=$E9),1,"")))</f>
        <v/>
      </c>
      <c r="CT9" s="55" t="str">
        <f aca="false">IF(OR(CT$2="",$D9=""),"",IF(IF(ISNUMBER($F9),AND(CT$2&gt;=$F9,CT$2&lt;=IF(ISNUMBER($G9),$G9,$F9+$E9-$D9)),FALSE()),2,IF(AND(CT$2&gt;=$D9,CT$2&lt;=$E9),1,"")))</f>
        <v/>
      </c>
      <c r="CU9" s="55" t="str">
        <f aca="false">IF(OR(CU$2="",$D9=""),"",IF(IF(ISNUMBER($F9),AND(CU$2&gt;=$F9,CU$2&lt;=IF(ISNUMBER($G9),$G9,$F9+$E9-$D9)),FALSE()),2,IF(AND(CU$2&gt;=$D9,CU$2&lt;=$E9),1,"")))</f>
        <v/>
      </c>
      <c r="CV9" s="55" t="str">
        <f aca="false">IF(OR(CV$2="",$D9=""),"",IF(IF(ISNUMBER($F9),AND(CV$2&gt;=$F9,CV$2&lt;=IF(ISNUMBER($G9),$G9,$F9+$E9-$D9)),FALSE()),2,IF(AND(CV$2&gt;=$D9,CV$2&lt;=$E9),1,"")))</f>
        <v/>
      </c>
      <c r="CW9" s="55" t="str">
        <f aca="false">IF(OR(CW$2="",$D9=""),"",IF(IF(ISNUMBER($F9),AND(CW$2&gt;=$F9,CW$2&lt;=IF(ISNUMBER($G9),$G9,$F9+$E9-$D9)),FALSE()),2,IF(AND(CW$2&gt;=$D9,CW$2&lt;=$E9),1,"")))</f>
        <v/>
      </c>
      <c r="CX9" s="55" t="str">
        <f aca="false">IF(OR(CX$2="",$D9=""),"",IF(IF(ISNUMBER($F9),AND(CX$2&gt;=$F9,CX$2&lt;=IF(ISNUMBER($G9),$G9,$F9+$E9-$D9)),FALSE()),2,IF(AND(CX$2&gt;=$D9,CX$2&lt;=$E9),1,"")))</f>
        <v/>
      </c>
      <c r="CY9" s="55" t="str">
        <f aca="false">IF(OR(CY$2="",$D9=""),"",IF(IF(ISNUMBER($F9),AND(CY$2&gt;=$F9,CY$2&lt;=IF(ISNUMBER($G9),$G9,$F9+$E9-$D9)),FALSE()),2,IF(AND(CY$2&gt;=$D9,CY$2&lt;=$E9),1,"")))</f>
        <v/>
      </c>
      <c r="CZ9" s="55" t="str">
        <f aca="false">IF(OR(CZ$2="",$D9=""),"",IF(IF(ISNUMBER($F9),AND(CZ$2&gt;=$F9,CZ$2&lt;=IF(ISNUMBER($G9),$G9,$F9+$E9-$D9)),FALSE()),2,IF(AND(CZ$2&gt;=$D9,CZ$2&lt;=$E9),1,"")))</f>
        <v/>
      </c>
      <c r="DA9" s="55" t="str">
        <f aca="false">IF(OR(DA$2="",$D9=""),"",IF(IF(ISNUMBER($F9),AND(DA$2&gt;=$F9,DA$2&lt;=IF(ISNUMBER($G9),$G9,$F9+$E9-$D9)),FALSE()),2,IF(AND(DA$2&gt;=$D9,DA$2&lt;=$E9),1,"")))</f>
        <v/>
      </c>
      <c r="DB9" s="55" t="str">
        <f aca="false">IF(OR(DB$2="",$D9=""),"",IF(IF(ISNUMBER($F9),AND(DB$2&gt;=$F9,DB$2&lt;=IF(ISNUMBER($G9),$G9,$F9+$E9-$D9)),FALSE()),2,IF(AND(DB$2&gt;=$D9,DB$2&lt;=$E9),1,"")))</f>
        <v/>
      </c>
      <c r="DC9" s="55" t="str">
        <f aca="false">IF(OR(DC$2="",$D9=""),"",IF(IF(ISNUMBER($F9),AND(DC$2&gt;=$F9,DC$2&lt;=IF(ISNUMBER($G9),$G9,$F9+$E9-$D9)),FALSE()),2,IF(AND(DC$2&gt;=$D9,DC$2&lt;=$E9),1,"")))</f>
        <v/>
      </c>
      <c r="DD9" s="55" t="str">
        <f aca="false">IF(OR(DD$2="",$D9=""),"",IF(IF(ISNUMBER($F9),AND(DD$2&gt;=$F9,DD$2&lt;=IF(ISNUMBER($G9),$G9,$F9+$E9-$D9)),FALSE()),2,IF(AND(DD$2&gt;=$D9,DD$2&lt;=$E9),1,"")))</f>
        <v/>
      </c>
      <c r="DE9" s="55" t="str">
        <f aca="false">IF(OR(DE$2="",$D9=""),"",IF(IF(ISNUMBER($F9),AND(DE$2&gt;=$F9,DE$2&lt;=IF(ISNUMBER($G9),$G9,$F9+$E9-$D9)),FALSE()),2,IF(AND(DE$2&gt;=$D9,DE$2&lt;=$E9),1,"")))</f>
        <v/>
      </c>
      <c r="DF9" s="55" t="str">
        <f aca="false">IF(OR(DF$2="",$D9=""),"",IF(IF(ISNUMBER($F9),AND(DF$2&gt;=$F9,DF$2&lt;=IF(ISNUMBER($G9),$G9,$F9+$E9-$D9)),FALSE()),2,IF(AND(DF$2&gt;=$D9,DF$2&lt;=$E9),1,"")))</f>
        <v/>
      </c>
      <c r="DG9" s="55" t="str">
        <f aca="false">IF(OR(DG$2="",$D9=""),"",IF(IF(ISNUMBER($F9),AND(DG$2&gt;=$F9,DG$2&lt;=IF(ISNUMBER($G9),$G9,$F9+$E9-$D9)),FALSE()),2,IF(AND(DG$2&gt;=$D9,DG$2&lt;=$E9),1,"")))</f>
        <v/>
      </c>
      <c r="DH9" s="55" t="str">
        <f aca="false">IF(OR(DH$2="",$D9=""),"",IF(IF(ISNUMBER($F9),AND(DH$2&gt;=$F9,DH$2&lt;=IF(ISNUMBER($G9),$G9,$F9+$E9-$D9)),FALSE()),2,IF(AND(DH$2&gt;=$D9,DH$2&lt;=$E9),1,"")))</f>
        <v/>
      </c>
      <c r="DI9" s="55" t="str">
        <f aca="false">IF(OR(DI$2="",$D9=""),"",IF(IF(ISNUMBER($F9),AND(DI$2&gt;=$F9,DI$2&lt;=IF(ISNUMBER($G9),$G9,$F9+$E9-$D9)),FALSE()),2,IF(AND(DI$2&gt;=$D9,DI$2&lt;=$E9),1,"")))</f>
        <v/>
      </c>
      <c r="DJ9" s="55" t="str">
        <f aca="false">IF(OR(DJ$2="",$D9=""),"",IF(IF(ISNUMBER($F9),AND(DJ$2&gt;=$F9,DJ$2&lt;=IF(ISNUMBER($G9),$G9,$F9+$E9-$D9)),FALSE()),2,IF(AND(DJ$2&gt;=$D9,DJ$2&lt;=$E9),1,"")))</f>
        <v/>
      </c>
      <c r="DK9" s="55" t="str">
        <f aca="false">IF(OR(DK$2="",$D9=""),"",IF(IF(ISNUMBER($F9),AND(DK$2&gt;=$F9,DK$2&lt;=IF(ISNUMBER($G9),$G9,$F9+$E9-$D9)),FALSE()),2,IF(AND(DK$2&gt;=$D9,DK$2&lt;=$E9),1,"")))</f>
        <v/>
      </c>
      <c r="DL9" s="55" t="str">
        <f aca="false">IF(OR(DL$2="",$D9=""),"",IF(IF(ISNUMBER($F9),AND(DL$2&gt;=$F9,DL$2&lt;=IF(ISNUMBER($G9),$G9,$F9+$E9-$D9)),FALSE()),2,IF(AND(DL$2&gt;=$D9,DL$2&lt;=$E9),1,"")))</f>
        <v/>
      </c>
      <c r="DM9" s="55" t="str">
        <f aca="false">IF(OR(DM$2="",$D9=""),"",IF(IF(ISNUMBER($F9),AND(DM$2&gt;=$F9,DM$2&lt;=IF(ISNUMBER($G9),$G9,$F9+$E9-$D9)),FALSE()),2,IF(AND(DM$2&gt;=$D9,DM$2&lt;=$E9),1,"")))</f>
        <v/>
      </c>
      <c r="DN9" s="55" t="str">
        <f aca="false">IF(OR(DN$2="",$D9=""),"",IF(IF(ISNUMBER($F9),AND(DN$2&gt;=$F9,DN$2&lt;=IF(ISNUMBER($G9),$G9,$F9+$E9-$D9)),FALSE()),2,IF(AND(DN$2&gt;=$D9,DN$2&lt;=$E9),1,"")))</f>
        <v/>
      </c>
      <c r="DO9" s="55" t="str">
        <f aca="false">IF(OR(DO$2="",$D9=""),"",IF(IF(ISNUMBER($F9),AND(DO$2&gt;=$F9,DO$2&lt;=IF(ISNUMBER($G9),$G9,$F9+$E9-$D9)),FALSE()),2,IF(AND(DO$2&gt;=$D9,DO$2&lt;=$E9),1,"")))</f>
        <v/>
      </c>
      <c r="DP9" s="55" t="str">
        <f aca="false">IF(OR(DP$2="",$D9=""),"",IF(IF(ISNUMBER($F9),AND(DP$2&gt;=$F9,DP$2&lt;=IF(ISNUMBER($G9),$G9,$F9+$E9-$D9)),FALSE()),2,IF(AND(DP$2&gt;=$D9,DP$2&lt;=$E9),1,"")))</f>
        <v/>
      </c>
      <c r="DQ9" s="55" t="str">
        <f aca="false">IF(OR(DQ$2="",$D9=""),"",IF(IF(ISNUMBER($F9),AND(DQ$2&gt;=$F9,DQ$2&lt;=IF(ISNUMBER($G9),$G9,$F9+$E9-$D9)),FALSE()),2,IF(AND(DQ$2&gt;=$D9,DQ$2&lt;=$E9),1,"")))</f>
        <v/>
      </c>
      <c r="DR9" s="55" t="str">
        <f aca="false">IF(OR(DR$2="",$D9=""),"",IF(IF(ISNUMBER($F9),AND(DR$2&gt;=$F9,DR$2&lt;=IF(ISNUMBER($G9),$G9,$F9+$E9-$D9)),FALSE()),2,IF(AND(DR$2&gt;=$D9,DR$2&lt;=$E9),1,"")))</f>
        <v/>
      </c>
      <c r="DS9" s="55" t="str">
        <f aca="false">IF(OR(DS$2="",$D9=""),"",IF(IF(ISNUMBER($F9),AND(DS$2&gt;=$F9,DS$2&lt;=IF(ISNUMBER($G9),$G9,$F9+$E9-$D9)),FALSE()),2,IF(AND(DS$2&gt;=$D9,DS$2&lt;=$E9),1,"")))</f>
        <v/>
      </c>
      <c r="DT9" s="55" t="str">
        <f aca="false">IF(OR(DT$2="",$D9=""),"",IF(IF(ISNUMBER($F9),AND(DT$2&gt;=$F9,DT$2&lt;=IF(ISNUMBER($G9),$G9,$F9+$E9-$D9)),FALSE()),2,IF(AND(DT$2&gt;=$D9,DT$2&lt;=$E9),1,"")))</f>
        <v/>
      </c>
      <c r="DU9" s="55" t="str">
        <f aca="false">IF(OR(DU$2="",$D9=""),"",IF(IF(ISNUMBER($F9),AND(DU$2&gt;=$F9,DU$2&lt;=IF(ISNUMBER($G9),$G9,$F9+$E9-$D9)),FALSE()),2,IF(AND(DU$2&gt;=$D9,DU$2&lt;=$E9),1,"")))</f>
        <v/>
      </c>
      <c r="DV9" s="55" t="str">
        <f aca="false">IF(OR(DV$2="",$D9=""),"",IF(IF(ISNUMBER($F9),AND(DV$2&gt;=$F9,DV$2&lt;=IF(ISNUMBER($G9),$G9,$F9+$E9-$D9)),FALSE()),2,IF(AND(DV$2&gt;=$D9,DV$2&lt;=$E9),1,"")))</f>
        <v/>
      </c>
      <c r="DW9" s="55" t="str">
        <f aca="false">IF(OR(DW$2="",$D9=""),"",IF(IF(ISNUMBER($F9),AND(DW$2&gt;=$F9,DW$2&lt;=IF(ISNUMBER($G9),$G9,$F9+$E9-$D9)),FALSE()),2,IF(AND(DW$2&gt;=$D9,DW$2&lt;=$E9),1,"")))</f>
        <v/>
      </c>
      <c r="DX9" s="55" t="str">
        <f aca="false">IF(OR(DX$2="",$D9=""),"",IF(IF(ISNUMBER($F9),AND(DX$2&gt;=$F9,DX$2&lt;=IF(ISNUMBER($G9),$G9,$F9+$E9-$D9)),FALSE()),2,IF(AND(DX$2&gt;=$D9,DX$2&lt;=$E9),1,"")))</f>
        <v/>
      </c>
      <c r="DY9" s="55" t="str">
        <f aca="false">IF(OR(DY$2="",$D9=""),"",IF(IF(ISNUMBER($F9),AND(DY$2&gt;=$F9,DY$2&lt;=IF(ISNUMBER($G9),$G9,$F9+$E9-$D9)),FALSE()),2,IF(AND(DY$2&gt;=$D9,DY$2&lt;=$E9),1,"")))</f>
        <v/>
      </c>
      <c r="DZ9" s="55" t="str">
        <f aca="false">IF(OR(DZ$2="",$D9=""),"",IF(IF(ISNUMBER($F9),AND(DZ$2&gt;=$F9,DZ$2&lt;=IF(ISNUMBER($G9),$G9,$F9+$E9-$D9)),FALSE()),2,IF(AND(DZ$2&gt;=$D9,DZ$2&lt;=$E9),1,"")))</f>
        <v/>
      </c>
      <c r="EA9" s="55" t="str">
        <f aca="false">IF(OR(EA$2="",$D9=""),"",IF(IF(ISNUMBER($F9),AND(EA$2&gt;=$F9,EA$2&lt;=IF(ISNUMBER($G9),$G9,$F9+$E9-$D9)),FALSE()),2,IF(AND(EA$2&gt;=$D9,EA$2&lt;=$E9),1,"")))</f>
        <v/>
      </c>
      <c r="EB9" s="55" t="str">
        <f aca="false">IF(OR(EB$2="",$D9=""),"",IF(IF(ISNUMBER($F9),AND(EB$2&gt;=$F9,EB$2&lt;=IF(ISNUMBER($G9),$G9,$F9+$E9-$D9)),FALSE()),2,IF(AND(EB$2&gt;=$D9,EB$2&lt;=$E9),1,"")))</f>
        <v/>
      </c>
      <c r="EC9" s="55" t="str">
        <f aca="false">IF(OR(EC$2="",$D9=""),"",IF(IF(ISNUMBER($F9),AND(EC$2&gt;=$F9,EC$2&lt;=IF(ISNUMBER($G9),$G9,$F9+$E9-$D9)),FALSE()),2,IF(AND(EC$2&gt;=$D9,EC$2&lt;=$E9),1,"")))</f>
        <v/>
      </c>
      <c r="ED9" s="55" t="str">
        <f aca="false">IF(OR(ED$2="",$D9=""),"",IF(IF(ISNUMBER($F9),AND(ED$2&gt;=$F9,ED$2&lt;=IF(ISNUMBER($G9),$G9,$F9+$E9-$D9)),FALSE()),2,IF(AND(ED$2&gt;=$D9,ED$2&lt;=$E9),1,"")))</f>
        <v/>
      </c>
      <c r="EE9" s="55" t="str">
        <f aca="false">IF(OR(EE$2="",$D9=""),"",IF(IF(ISNUMBER($F9),AND(EE$2&gt;=$F9,EE$2&lt;=IF(ISNUMBER($G9),$G9,$F9+$E9-$D9)),FALSE()),2,IF(AND(EE$2&gt;=$D9,EE$2&lt;=$E9),1,"")))</f>
        <v/>
      </c>
      <c r="EF9" s="55" t="str">
        <f aca="false">IF(OR(EF$2="",$D9=""),"",IF(IF(ISNUMBER($F9),AND(EF$2&gt;=$F9,EF$2&lt;=IF(ISNUMBER($G9),$G9,$F9+$E9-$D9)),FALSE()),2,IF(AND(EF$2&gt;=$D9,EF$2&lt;=$E9),1,"")))</f>
        <v/>
      </c>
      <c r="EG9" s="55" t="str">
        <f aca="false">IF(OR(EG$2="",$D9=""),"",IF(IF(ISNUMBER($F9),AND(EG$2&gt;=$F9,EG$2&lt;=IF(ISNUMBER($G9),$G9,$F9+$E9-$D9)),FALSE()),2,IF(AND(EG$2&gt;=$D9,EG$2&lt;=$E9),1,"")))</f>
        <v/>
      </c>
      <c r="EH9" s="55" t="str">
        <f aca="false">IF(OR(EH$2="",$D9=""),"",IF(IF(ISNUMBER($F9),AND(EH$2&gt;=$F9,EH$2&lt;=IF(ISNUMBER($G9),$G9,$F9+$E9-$D9)),FALSE()),2,IF(AND(EH$2&gt;=$D9,EH$2&lt;=$E9),1,"")))</f>
        <v/>
      </c>
      <c r="EI9" s="55" t="str">
        <f aca="false">IF(OR(EI$2="",$D9=""),"",IF(IF(ISNUMBER($F9),AND(EI$2&gt;=$F9,EI$2&lt;=IF(ISNUMBER($G9),$G9,$F9+$E9-$D9)),FALSE()),2,IF(AND(EI$2&gt;=$D9,EI$2&lt;=$E9),1,"")))</f>
        <v/>
      </c>
      <c r="EJ9" s="55" t="str">
        <f aca="false">IF(OR(EJ$2="",$D9=""),"",IF(IF(ISNUMBER($F9),AND(EJ$2&gt;=$F9,EJ$2&lt;=IF(ISNUMBER($G9),$G9,$F9+$E9-$D9)),FALSE()),2,IF(AND(EJ$2&gt;=$D9,EJ$2&lt;=$E9),1,"")))</f>
        <v/>
      </c>
      <c r="EK9" s="55" t="str">
        <f aca="false">IF(OR(EK$2="",$D9=""),"",IF(IF(ISNUMBER($F9),AND(EK$2&gt;=$F9,EK$2&lt;=IF(ISNUMBER($G9),$G9,$F9+$E9-$D9)),FALSE()),2,IF(AND(EK$2&gt;=$D9,EK$2&lt;=$E9),1,"")))</f>
        <v/>
      </c>
      <c r="EL9" s="55" t="str">
        <f aca="false">IF(OR(EL$2="",$D9=""),"",IF(IF(ISNUMBER($F9),AND(EL$2&gt;=$F9,EL$2&lt;=IF(ISNUMBER($G9),$G9,$F9+$E9-$D9)),FALSE()),2,IF(AND(EL$2&gt;=$D9,EL$2&lt;=$E9),1,"")))</f>
        <v/>
      </c>
      <c r="EM9" s="55" t="str">
        <f aca="false">IF(OR(EM$2="",$D9=""),"",IF(IF(ISNUMBER($F9),AND(EM$2&gt;=$F9,EM$2&lt;=IF(ISNUMBER($G9),$G9,$F9+$E9-$D9)),FALSE()),2,IF(AND(EM$2&gt;=$D9,EM$2&lt;=$E9),1,"")))</f>
        <v/>
      </c>
      <c r="EN9" s="55" t="str">
        <f aca="false">IF(OR(EN$2="",$D9=""),"",IF(IF(ISNUMBER($F9),AND(EN$2&gt;=$F9,EN$2&lt;=IF(ISNUMBER($G9),$G9,$F9+$E9-$D9)),FALSE()),2,IF(AND(EN$2&gt;=$D9,EN$2&lt;=$E9),1,"")))</f>
        <v/>
      </c>
      <c r="EO9" s="55" t="str">
        <f aca="false">IF(OR(EO$2="",$D9=""),"",IF(IF(ISNUMBER($F9),AND(EO$2&gt;=$F9,EO$2&lt;=IF(ISNUMBER($G9),$G9,$F9+$E9-$D9)),FALSE()),2,IF(AND(EO$2&gt;=$D9,EO$2&lt;=$E9),1,"")))</f>
        <v/>
      </c>
      <c r="EP9" s="55" t="str">
        <f aca="false">IF(OR(EP$2="",$D9=""),"",IF(IF(ISNUMBER($F9),AND(EP$2&gt;=$F9,EP$2&lt;=IF(ISNUMBER($G9),$G9,$F9+$E9-$D9)),FALSE()),2,IF(AND(EP$2&gt;=$D9,EP$2&lt;=$E9),1,"")))</f>
        <v/>
      </c>
      <c r="EQ9" s="55" t="str">
        <f aca="false">IF(OR(EQ$2="",$D9=""),"",IF(IF(ISNUMBER($F9),AND(EQ$2&gt;=$F9,EQ$2&lt;=IF(ISNUMBER($G9),$G9,$F9+$E9-$D9)),FALSE()),2,IF(AND(EQ$2&gt;=$D9,EQ$2&lt;=$E9),1,"")))</f>
        <v/>
      </c>
      <c r="ER9" s="55" t="str">
        <f aca="false">IF(OR(ER$2="",$D9=""),"",IF(IF(ISNUMBER($F9),AND(ER$2&gt;=$F9,ER$2&lt;=IF(ISNUMBER($G9),$G9,$F9+$E9-$D9)),FALSE()),2,IF(AND(ER$2&gt;=$D9,ER$2&lt;=$E9),1,"")))</f>
        <v/>
      </c>
      <c r="ES9" s="55" t="str">
        <f aca="false">IF(OR(ES$2="",$D9=""),"",IF(IF(ISNUMBER($F9),AND(ES$2&gt;=$F9,ES$2&lt;=IF(ISNUMBER($G9),$G9,$F9+$E9-$D9)),FALSE()),2,IF(AND(ES$2&gt;=$D9,ES$2&lt;=$E9),1,"")))</f>
        <v/>
      </c>
      <c r="ET9" s="55" t="str">
        <f aca="false">IF(OR(ET$2="",$D9=""),"",IF(IF(ISNUMBER($F9),AND(ET$2&gt;=$F9,ET$2&lt;=IF(ISNUMBER($G9),$G9,$F9+$E9-$D9)),FALSE()),2,IF(AND(ET$2&gt;=$D9,ET$2&lt;=$E9),1,"")))</f>
        <v/>
      </c>
      <c r="EU9" s="55" t="str">
        <f aca="false">IF(OR(EU$2="",$D9=""),"",IF(IF(ISNUMBER($F9),AND(EU$2&gt;=$F9,EU$2&lt;=IF(ISNUMBER($G9),$G9,$F9+$E9-$D9)),FALSE()),2,IF(AND(EU$2&gt;=$D9,EU$2&lt;=$E9),1,"")))</f>
        <v/>
      </c>
      <c r="EV9" s="55" t="str">
        <f aca="false">IF(OR(EV$2="",$D9=""),"",IF(IF(ISNUMBER($F9),AND(EV$2&gt;=$F9,EV$2&lt;=IF(ISNUMBER($G9),$G9,$F9+$E9-$D9)),FALSE()),2,IF(AND(EV$2&gt;=$D9,EV$2&lt;=$E9),1,"")))</f>
        <v/>
      </c>
      <c r="EW9" s="55" t="str">
        <f aca="false">IF(OR(EW$2="",$D9=""),"",IF(IF(ISNUMBER($F9),AND(EW$2&gt;=$F9,EW$2&lt;=IF(ISNUMBER($G9),$G9,$F9+$E9-$D9)),FALSE()),2,IF(AND(EW$2&gt;=$D9,EW$2&lt;=$E9),1,"")))</f>
        <v/>
      </c>
      <c r="EX9" s="55" t="str">
        <f aca="false">IF(OR(EX$2="",$D9=""),"",IF(IF(ISNUMBER($F9),AND(EX$2&gt;=$F9,EX$2&lt;=IF(ISNUMBER($G9),$G9,$F9+$E9-$D9)),FALSE()),2,IF(AND(EX$2&gt;=$D9,EX$2&lt;=$E9),1,"")))</f>
        <v/>
      </c>
      <c r="EY9" s="55" t="str">
        <f aca="false">IF(OR(EY$2="",$D9=""),"",IF(IF(ISNUMBER($F9),AND(EY$2&gt;=$F9,EY$2&lt;=IF(ISNUMBER($G9),$G9,$F9+$E9-$D9)),FALSE()),2,IF(AND(EY$2&gt;=$D9,EY$2&lt;=$E9),1,"")))</f>
        <v/>
      </c>
      <c r="EZ9" s="55" t="str">
        <f aca="false">IF(OR(EZ$2="",$D9=""),"",IF(IF(ISNUMBER($F9),AND(EZ$2&gt;=$F9,EZ$2&lt;=IF(ISNUMBER($G9),$G9,$F9+$E9-$D9)),FALSE()),2,IF(AND(EZ$2&gt;=$D9,EZ$2&lt;=$E9),1,"")))</f>
        <v/>
      </c>
      <c r="FA9" s="55" t="str">
        <f aca="false">IF(OR(FA$2="",$D9=""),"",IF(IF(ISNUMBER($F9),AND(FA$2&gt;=$F9,FA$2&lt;=IF(ISNUMBER($G9),$G9,$F9+$E9-$D9)),FALSE()),2,IF(AND(FA$2&gt;=$D9,FA$2&lt;=$E9),1,"")))</f>
        <v/>
      </c>
      <c r="FB9" s="55" t="str">
        <f aca="false">IF(OR(FB$2="",$D9=""),"",IF(IF(ISNUMBER($F9),AND(FB$2&gt;=$F9,FB$2&lt;=IF(ISNUMBER($G9),$G9,$F9+$E9-$D9)),FALSE()),2,IF(AND(FB$2&gt;=$D9,FB$2&lt;=$E9),1,"")))</f>
        <v/>
      </c>
      <c r="FC9" s="55" t="str">
        <f aca="false">IF(OR(FC$2="",$D9=""),"",IF(IF(ISNUMBER($F9),AND(FC$2&gt;=$F9,FC$2&lt;=IF(ISNUMBER($G9),$G9,$F9+$E9-$D9)),FALSE()),2,IF(AND(FC$2&gt;=$D9,FC$2&lt;=$E9),1,"")))</f>
        <v/>
      </c>
      <c r="FD9" s="55" t="str">
        <f aca="false">IF(OR(FD$2="",$D9=""),"",IF(IF(ISNUMBER($F9),AND(FD$2&gt;=$F9,FD$2&lt;=IF(ISNUMBER($G9),$G9,$F9+$E9-$D9)),FALSE()),2,IF(AND(FD$2&gt;=$D9,FD$2&lt;=$E9),1,"")))</f>
        <v/>
      </c>
      <c r="FE9" s="55" t="str">
        <f aca="false">IF(OR(FE$2="",$D9=""),"",IF(IF(ISNUMBER($F9),AND(FE$2&gt;=$F9,FE$2&lt;=IF(ISNUMBER($G9),$G9,$F9+$E9-$D9)),FALSE()),2,IF(AND(FE$2&gt;=$D9,FE$2&lt;=$E9),1,"")))</f>
        <v/>
      </c>
      <c r="FF9" s="55" t="str">
        <f aca="false">IF(OR(FF$2="",$D9=""),"",IF(IF(ISNUMBER($F9),AND(FF$2&gt;=$F9,FF$2&lt;=IF(ISNUMBER($G9),$G9,$F9+$E9-$D9)),FALSE()),2,IF(AND(FF$2&gt;=$D9,FF$2&lt;=$E9),1,"")))</f>
        <v/>
      </c>
      <c r="FG9" s="55" t="str">
        <f aca="false">IF(OR(FG$2="",$D9=""),"",IF(IF(ISNUMBER($F9),AND(FG$2&gt;=$F9,FG$2&lt;=IF(ISNUMBER($G9),$G9,$F9+$E9-$D9)),FALSE()),2,IF(AND(FG$2&gt;=$D9,FG$2&lt;=$E9),1,"")))</f>
        <v/>
      </c>
      <c r="FH9" s="55" t="str">
        <f aca="false">IF(OR(FH$2="",$D9=""),"",IF(IF(ISNUMBER($F9),AND(FH$2&gt;=$F9,FH$2&lt;=IF(ISNUMBER($G9),$G9,$F9+$E9-$D9)),FALSE()),2,IF(AND(FH$2&gt;=$D9,FH$2&lt;=$E9),1,"")))</f>
        <v/>
      </c>
      <c r="FI9" s="55" t="str">
        <f aca="false">IF(OR(FI$2="",$D9=""),"",IF(IF(ISNUMBER($F9),AND(FI$2&gt;=$F9,FI$2&lt;=IF(ISNUMBER($G9),$G9,$F9+$E9-$D9)),FALSE()),2,IF(AND(FI$2&gt;=$D9,FI$2&lt;=$E9),1,"")))</f>
        <v/>
      </c>
      <c r="FJ9" s="55" t="str">
        <f aca="false">IF(OR(FJ$2="",$D9=""),"",IF(IF(ISNUMBER($F9),AND(FJ$2&gt;=$F9,FJ$2&lt;=IF(ISNUMBER($G9),$G9,$F9+$E9-$D9)),FALSE()),2,IF(AND(FJ$2&gt;=$D9,FJ$2&lt;=$E9),1,"")))</f>
        <v/>
      </c>
      <c r="FK9" s="55" t="str">
        <f aca="false">IF(OR(FK$2="",$D9=""),"",IF(IF(ISNUMBER($F9),AND(FK$2&gt;=$F9,FK$2&lt;=IF(ISNUMBER($G9),$G9,$F9+$E9-$D9)),FALSE()),2,IF(AND(FK$2&gt;=$D9,FK$2&lt;=$E9),1,"")))</f>
        <v/>
      </c>
      <c r="FL9" s="55" t="str">
        <f aca="false">IF(OR(FL$2="",$D9=""),"",IF(IF(ISNUMBER($F9),AND(FL$2&gt;=$F9,FL$2&lt;=IF(ISNUMBER($G9),$G9,$F9+$E9-$D9)),FALSE()),2,IF(AND(FL$2&gt;=$D9,FL$2&lt;=$E9),1,"")))</f>
        <v/>
      </c>
      <c r="FM9" s="55" t="str">
        <f aca="false">IF(OR(FM$2="",$D9=""),"",IF(IF(ISNUMBER($F9),AND(FM$2&gt;=$F9,FM$2&lt;=IF(ISNUMBER($G9),$G9,$F9+$E9-$D9)),FALSE()),2,IF(AND(FM$2&gt;=$D9,FM$2&lt;=$E9),1,"")))</f>
        <v/>
      </c>
      <c r="FN9" s="55" t="str">
        <f aca="false">IF(OR(FN$2="",$D9=""),"",IF(IF(ISNUMBER($F9),AND(FN$2&gt;=$F9,FN$2&lt;=IF(ISNUMBER($G9),$G9,$F9+$E9-$D9)),FALSE()),2,IF(AND(FN$2&gt;=$D9,FN$2&lt;=$E9),1,"")))</f>
        <v/>
      </c>
      <c r="FO9" s="55" t="str">
        <f aca="false">IF(OR(FO$2="",$D9=""),"",IF(IF(ISNUMBER($F9),AND(FO$2&gt;=$F9,FO$2&lt;=IF(ISNUMBER($G9),$G9,$F9+$E9-$D9)),FALSE()),2,IF(AND(FO$2&gt;=$D9,FO$2&lt;=$E9),1,"")))</f>
        <v/>
      </c>
      <c r="FP9" s="55" t="str">
        <f aca="false">IF(OR(FP$2="",$D9=""),"",IF(IF(ISNUMBER($F9),AND(FP$2&gt;=$F9,FP$2&lt;=IF(ISNUMBER($G9),$G9,$F9+$E9-$D9)),FALSE()),2,IF(AND(FP$2&gt;=$D9,FP$2&lt;=$E9),1,"")))</f>
        <v/>
      </c>
      <c r="FQ9" s="55" t="str">
        <f aca="false">IF(OR(FQ$2="",$D9=""),"",IF(IF(ISNUMBER($F9),AND(FQ$2&gt;=$F9,FQ$2&lt;=IF(ISNUMBER($G9),$G9,$F9+$E9-$D9)),FALSE()),2,IF(AND(FQ$2&gt;=$D9,FQ$2&lt;=$E9),1,"")))</f>
        <v/>
      </c>
      <c r="FR9" s="55" t="str">
        <f aca="false">IF(OR(FR$2="",$D9=""),"",IF(IF(ISNUMBER($F9),AND(FR$2&gt;=$F9,FR$2&lt;=IF(ISNUMBER($G9),$G9,$F9+$E9-$D9)),FALSE()),2,IF(AND(FR$2&gt;=$D9,FR$2&lt;=$E9),1,"")))</f>
        <v/>
      </c>
      <c r="FS9" s="55" t="str">
        <f aca="false">IF(OR(FS$2="",$D9=""),"",IF(IF(ISNUMBER($F9),AND(FS$2&gt;=$F9,FS$2&lt;=IF(ISNUMBER($G9),$G9,$F9+$E9-$D9)),FALSE()),2,IF(AND(FS$2&gt;=$D9,FS$2&lt;=$E9),1,"")))</f>
        <v/>
      </c>
      <c r="FT9" s="55" t="str">
        <f aca="false">IF(OR(FT$2="",$D9=""),"",IF(IF(ISNUMBER($F9),AND(FT$2&gt;=$F9,FT$2&lt;=IF(ISNUMBER($G9),$G9,$F9+$E9-$D9)),FALSE()),2,IF(AND(FT$2&gt;=$D9,FT$2&lt;=$E9),1,"")))</f>
        <v/>
      </c>
      <c r="FU9" s="55" t="str">
        <f aca="false">IF(OR(FU$2="",$D9=""),"",IF(IF(ISNUMBER($F9),AND(FU$2&gt;=$F9,FU$2&lt;=IF(ISNUMBER($G9),$G9,$F9+$E9-$D9)),FALSE()),2,IF(AND(FU$2&gt;=$D9,FU$2&lt;=$E9),1,"")))</f>
        <v/>
      </c>
      <c r="FV9" s="55" t="str">
        <f aca="false">IF(OR(FV$2="",$D9=""),"",IF(IF(ISNUMBER($F9),AND(FV$2&gt;=$F9,FV$2&lt;=IF(ISNUMBER($G9),$G9,$F9+$E9-$D9)),FALSE()),2,IF(AND(FV$2&gt;=$D9,FV$2&lt;=$E9),1,"")))</f>
        <v/>
      </c>
      <c r="FW9" s="55" t="str">
        <f aca="false">IF(OR(FW$2="",$D9=""),"",IF(IF(ISNUMBER($F9),AND(FW$2&gt;=$F9,FW$2&lt;=IF(ISNUMBER($G9),$G9,$F9+$E9-$D9)),FALSE()),2,IF(AND(FW$2&gt;=$D9,FW$2&lt;=$E9),1,"")))</f>
        <v/>
      </c>
      <c r="FX9" s="55" t="str">
        <f aca="false">IF(OR(FX$2="",$D9=""),"",IF(IF(ISNUMBER($F9),AND(FX$2&gt;=$F9,FX$2&lt;=IF(ISNUMBER($G9),$G9,$F9+$E9-$D9)),FALSE()),2,IF(AND(FX$2&gt;=$D9,FX$2&lt;=$E9),1,"")))</f>
        <v/>
      </c>
      <c r="FY9" s="55" t="str">
        <f aca="false">IF(OR(FY$2="",$D9=""),"",IF(IF(ISNUMBER($F9),AND(FY$2&gt;=$F9,FY$2&lt;=IF(ISNUMBER($G9),$G9,$F9+$E9-$D9)),FALSE()),2,IF(AND(FY$2&gt;=$D9,FY$2&lt;=$E9),1,"")))</f>
        <v/>
      </c>
      <c r="FZ9" s="55" t="str">
        <f aca="false">IF(OR(FZ$2="",$D9=""),"",IF(IF(ISNUMBER($F9),AND(FZ$2&gt;=$F9,FZ$2&lt;=IF(ISNUMBER($G9),$G9,$F9+$E9-$D9)),FALSE()),2,IF(AND(FZ$2&gt;=$D9,FZ$2&lt;=$E9),1,"")))</f>
        <v/>
      </c>
      <c r="GA9" s="55" t="str">
        <f aca="false">IF(OR(GA$2="",$D9=""),"",IF(IF(ISNUMBER($F9),AND(GA$2&gt;=$F9,GA$2&lt;=IF(ISNUMBER($G9),$G9,$F9+$E9-$D9)),FALSE()),2,IF(AND(GA$2&gt;=$D9,GA$2&lt;=$E9),1,"")))</f>
        <v/>
      </c>
      <c r="GB9" s="55" t="str">
        <f aca="false">IF(OR(GB$2="",$D9=""),"",IF(IF(ISNUMBER($F9),AND(GB$2&gt;=$F9,GB$2&lt;=IF(ISNUMBER($G9),$G9,$F9+$E9-$D9)),FALSE()),2,IF(AND(GB$2&gt;=$D9,GB$2&lt;=$E9),1,"")))</f>
        <v/>
      </c>
      <c r="GC9" s="55" t="str">
        <f aca="false">IF(OR(GC$2="",$D9=""),"",IF(IF(ISNUMBER($F9),AND(GC$2&gt;=$F9,GC$2&lt;=IF(ISNUMBER($G9),$G9,$F9+$E9-$D9)),FALSE()),2,IF(AND(GC$2&gt;=$D9,GC$2&lt;=$E9),1,"")))</f>
        <v/>
      </c>
      <c r="GD9" s="55" t="str">
        <f aca="false">IF(OR(GD$2="",$D9=""),"",IF(IF(ISNUMBER($F9),AND(GD$2&gt;=$F9,GD$2&lt;=IF(ISNUMBER($G9),$G9,$F9+$E9-$D9)),FALSE()),2,IF(AND(GD$2&gt;=$D9,GD$2&lt;=$E9),1,"")))</f>
        <v/>
      </c>
      <c r="GE9" s="55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false" outlineLevel="0" collapsed="false">
      <c r="A10" s="54" t="s">
        <v>367</v>
      </c>
      <c r="B10" s="21" t="s">
        <v>368</v>
      </c>
      <c r="C10" s="21" t="s">
        <v>83</v>
      </c>
      <c r="D10" s="51" t="n">
        <f aca="false">IF(Day_0="","",Day_0+cfg_0+cfg_1-cfg_12)</f>
        <v>46064</v>
      </c>
      <c r="E10" s="51" t="n">
        <f aca="false">IF(D10="","",D10)</f>
        <v>46064</v>
      </c>
      <c r="F10" s="51" t="str">
        <f aca="false">IF(_xlfn.MINIFS(2_Daily_input!$D$1:$FQ$1,2_Daily_input!$D$71:$FQ$71,"Last irrigation for Pitan")+_xlfn.MINIFS(2_Daily_input!$D$1:$FQ$1,2_Daily_input!$D$72:$FQ$72,"Last irrigation for Pitan")=0,"",IF(_xlfn.MINIFS(2_Daily_input!$D$1:$FQ$1,2_Daily_input!$D$71:$FQ$71,"Last irrigation for Pitan")=0,_xlfn.MINIFS(2_Daily_input!$D$1:$FQ$1,2_Daily_input!$D$72:$FQ$72,"Last irrigation for Pitan"),IF(_xlfn.MINIFS(2_Daily_input!$D$1:$FQ$1,2_Daily_input!$D$72:$FQ$72,"Last irrigation for Pitan")=0,_xlfn.MINIFS(2_Daily_input!$D$1:$FQ$1,2_Daily_input!$D$71:$FQ$71,"Last irrigation for Pitan"),MIN(_xlfn.MINIFS(2_Daily_input!$D$1:$FQ$1,2_Daily_input!$D$71:$FQ$71,"Last irrigation for Pitan"),_xlfn.MINIFS(2_Daily_input!$D$1:$FQ$1,2_Daily_input!$D$72:$FQ$72,"Last irrigation for Pitan")))))</f>
        <v/>
      </c>
      <c r="G10" s="51" t="str">
        <f aca="false">""</f>
        <v/>
      </c>
      <c r="H10" s="50" t="str">
        <f aca="true">IF(D10="","no plan",IF(F10&lt;&gt;"",IF(F10-D10&gt;=2,"LATE","OK"),IF(TODAY()&gt;D10+2,"OVERDUE","upcoming")))</f>
        <v>OVERDUE</v>
      </c>
      <c r="I10" s="50" t="str">
        <f aca="false">IF(AND(D10&lt;&gt;"",F10&lt;&gt;""),F10-D10,"")</f>
        <v/>
      </c>
      <c r="J10" s="51" t="n">
        <f aca="false">IF(F10&lt;&gt;"",F10,D10)</f>
        <v>46064</v>
      </c>
      <c r="K10" s="51" t="n">
        <f aca="false">IF(G10&lt;&gt;"",G10,IF(AND(F10&lt;&gt;"",E10=D10),F10,E10))</f>
        <v>46064</v>
      </c>
      <c r="L10" s="50" t="str">
        <f aca="true">IF(AND(D10&lt;&gt;"",F10="",D10&gt;=TODAY()),D10+ROW()/1000,"")</f>
        <v/>
      </c>
      <c r="M10" s="55" t="str">
        <f aca="false">IF(OR(M$2="",$D10=""),"",IF(IF(ISNUMBER($F10),AND(M$2&gt;=$F10,M$2&lt;=IF(ISNUMBER($G10),$G10,$F10+$E10-$D10)),FALSE()),2,IF(AND(M$2&gt;=$D10,M$2&lt;=$E10),1,"")))</f>
        <v/>
      </c>
      <c r="N10" s="55" t="str">
        <f aca="false">IF(OR(N$2="",$D10=""),"",IF(IF(ISNUMBER($F10),AND(N$2&gt;=$F10,N$2&lt;=IF(ISNUMBER($G10),$G10,$F10+$E10-$D10)),FALSE()),2,IF(AND(N$2&gt;=$D10,N$2&lt;=$E10),1,"")))</f>
        <v/>
      </c>
      <c r="O10" s="55" t="str">
        <f aca="false">IF(OR(O$2="",$D10=""),"",IF(IF(ISNUMBER($F10),AND(O$2&gt;=$F10,O$2&lt;=IF(ISNUMBER($G10),$G10,$F10+$E10-$D10)),FALSE()),2,IF(AND(O$2&gt;=$D10,O$2&lt;=$E10),1,"")))</f>
        <v/>
      </c>
      <c r="P10" s="55" t="str">
        <f aca="false">IF(OR(P$2="",$D10=""),"",IF(IF(ISNUMBER($F10),AND(P$2&gt;=$F10,P$2&lt;=IF(ISNUMBER($G10),$G10,$F10+$E10-$D10)),FALSE()),2,IF(AND(P$2&gt;=$D10,P$2&lt;=$E10),1,"")))</f>
        <v/>
      </c>
      <c r="Q10" s="55" t="str">
        <f aca="false">IF(OR(Q$2="",$D10=""),"",IF(IF(ISNUMBER($F10),AND(Q$2&gt;=$F10,Q$2&lt;=IF(ISNUMBER($G10),$G10,$F10+$E10-$D10)),FALSE()),2,IF(AND(Q$2&gt;=$D10,Q$2&lt;=$E10),1,"")))</f>
        <v/>
      </c>
      <c r="R10" s="55" t="str">
        <f aca="false">IF(OR(R$2="",$D10=""),"",IF(IF(ISNUMBER($F10),AND(R$2&gt;=$F10,R$2&lt;=IF(ISNUMBER($G10),$G10,$F10+$E10-$D10)),FALSE()),2,IF(AND(R$2&gt;=$D10,R$2&lt;=$E10),1,"")))</f>
        <v/>
      </c>
      <c r="S10" s="55" t="str">
        <f aca="false">IF(OR(S$2="",$D10=""),"",IF(IF(ISNUMBER($F10),AND(S$2&gt;=$F10,S$2&lt;=IF(ISNUMBER($G10),$G10,$F10+$E10-$D10)),FALSE()),2,IF(AND(S$2&gt;=$D10,S$2&lt;=$E10),1,"")))</f>
        <v/>
      </c>
      <c r="T10" s="55" t="str">
        <f aca="false">IF(OR(T$2="",$D10=""),"",IF(IF(ISNUMBER($F10),AND(T$2&gt;=$F10,T$2&lt;=IF(ISNUMBER($G10),$G10,$F10+$E10-$D10)),FALSE()),2,IF(AND(T$2&gt;=$D10,T$2&lt;=$E10),1,"")))</f>
        <v/>
      </c>
      <c r="U10" s="55" t="str">
        <f aca="false">IF(OR(U$2="",$D10=""),"",IF(IF(ISNUMBER($F10),AND(U$2&gt;=$F10,U$2&lt;=IF(ISNUMBER($G10),$G10,$F10+$E10-$D10)),FALSE()),2,IF(AND(U$2&gt;=$D10,U$2&lt;=$E10),1,"")))</f>
        <v/>
      </c>
      <c r="V10" s="55" t="str">
        <f aca="false">IF(OR(V$2="",$D10=""),"",IF(IF(ISNUMBER($F10),AND(V$2&gt;=$F10,V$2&lt;=IF(ISNUMBER($G10),$G10,$F10+$E10-$D10)),FALSE()),2,IF(AND(V$2&gt;=$D10,V$2&lt;=$E10),1,"")))</f>
        <v/>
      </c>
      <c r="W10" s="55" t="str">
        <f aca="false">IF(OR(W$2="",$D10=""),"",IF(IF(ISNUMBER($F10),AND(W$2&gt;=$F10,W$2&lt;=IF(ISNUMBER($G10),$G10,$F10+$E10-$D10)),FALSE()),2,IF(AND(W$2&gt;=$D10,W$2&lt;=$E10),1,"")))</f>
        <v/>
      </c>
      <c r="X10" s="55" t="str">
        <f aca="false">IF(OR(X$2="",$D10=""),"",IF(IF(ISNUMBER($F10),AND(X$2&gt;=$F10,X$2&lt;=IF(ISNUMBER($G10),$G10,$F10+$E10-$D10)),FALSE()),2,IF(AND(X$2&gt;=$D10,X$2&lt;=$E10),1,"")))</f>
        <v/>
      </c>
      <c r="Y10" s="55" t="str">
        <f aca="false">IF(OR(Y$2="",$D10=""),"",IF(IF(ISNUMBER($F10),AND(Y$2&gt;=$F10,Y$2&lt;=IF(ISNUMBER($G10),$G10,$F10+$E10-$D10)),FALSE()),2,IF(AND(Y$2&gt;=$D10,Y$2&lt;=$E10),1,"")))</f>
        <v/>
      </c>
      <c r="Z10" s="55" t="str">
        <f aca="false">IF(OR(Z$2="",$D10=""),"",IF(IF(ISNUMBER($F10),AND(Z$2&gt;=$F10,Z$2&lt;=IF(ISNUMBER($G10),$G10,$F10+$E10-$D10)),FALSE()),2,IF(AND(Z$2&gt;=$D10,Z$2&lt;=$E10),1,"")))</f>
        <v/>
      </c>
      <c r="AA10" s="55" t="str">
        <f aca="false">IF(OR(AA$2="",$D10=""),"",IF(IF(ISNUMBER($F10),AND(AA$2&gt;=$F10,AA$2&lt;=IF(ISNUMBER($G10),$G10,$F10+$E10-$D10)),FALSE()),2,IF(AND(AA$2&gt;=$D10,AA$2&lt;=$E10),1,"")))</f>
        <v/>
      </c>
      <c r="AB10" s="55" t="str">
        <f aca="false">IF(OR(AB$2="",$D10=""),"",IF(IF(ISNUMBER($F10),AND(AB$2&gt;=$F10,AB$2&lt;=IF(ISNUMBER($G10),$G10,$F10+$E10-$D10)),FALSE()),2,IF(AND(AB$2&gt;=$D10,AB$2&lt;=$E10),1,"")))</f>
        <v/>
      </c>
      <c r="AC10" s="55" t="str">
        <f aca="false">IF(OR(AC$2="",$D10=""),"",IF(IF(ISNUMBER($F10),AND(AC$2&gt;=$F10,AC$2&lt;=IF(ISNUMBER($G10),$G10,$F10+$E10-$D10)),FALSE()),2,IF(AND(AC$2&gt;=$D10,AC$2&lt;=$E10),1,"")))</f>
        <v/>
      </c>
      <c r="AD10" s="55" t="str">
        <f aca="false">IF(OR(AD$2="",$D10=""),"",IF(IF(ISNUMBER($F10),AND(AD$2&gt;=$F10,AD$2&lt;=IF(ISNUMBER($G10),$G10,$F10+$E10-$D10)),FALSE()),2,IF(AND(AD$2&gt;=$D10,AD$2&lt;=$E10),1,"")))</f>
        <v/>
      </c>
      <c r="AE10" s="55" t="str">
        <f aca="false">IF(OR(AE$2="",$D10=""),"",IF(IF(ISNUMBER($F10),AND(AE$2&gt;=$F10,AE$2&lt;=IF(ISNUMBER($G10),$G10,$F10+$E10-$D10)),FALSE()),2,IF(AND(AE$2&gt;=$D10,AE$2&lt;=$E10),1,"")))</f>
        <v/>
      </c>
      <c r="AF10" s="55" t="str">
        <f aca="false">IF(OR(AF$2="",$D10=""),"",IF(IF(ISNUMBER($F10),AND(AF$2&gt;=$F10,AF$2&lt;=IF(ISNUMBER($G10),$G10,$F10+$E10-$D10)),FALSE()),2,IF(AND(AF$2&gt;=$D10,AF$2&lt;=$E10),1,"")))</f>
        <v/>
      </c>
      <c r="AG10" s="55" t="str">
        <f aca="false">IF(OR(AG$2="",$D10=""),"",IF(IF(ISNUMBER($F10),AND(AG$2&gt;=$F10,AG$2&lt;=IF(ISNUMBER($G10),$G10,$F10+$E10-$D10)),FALSE()),2,IF(AND(AG$2&gt;=$D10,AG$2&lt;=$E10),1,"")))</f>
        <v/>
      </c>
      <c r="AH10" s="55" t="str">
        <f aca="false">IF(OR(AH$2="",$D10=""),"",IF(IF(ISNUMBER($F10),AND(AH$2&gt;=$F10,AH$2&lt;=IF(ISNUMBER($G10),$G10,$F10+$E10-$D10)),FALSE()),2,IF(AND(AH$2&gt;=$D10,AH$2&lt;=$E10),1,"")))</f>
        <v/>
      </c>
      <c r="AI10" s="55" t="str">
        <f aca="false">IF(OR(AI$2="",$D10=""),"",IF(IF(ISNUMBER($F10),AND(AI$2&gt;=$F10,AI$2&lt;=IF(ISNUMBER($G10),$G10,$F10+$E10-$D10)),FALSE()),2,IF(AND(AI$2&gt;=$D10,AI$2&lt;=$E10),1,"")))</f>
        <v/>
      </c>
      <c r="AJ10" s="55" t="str">
        <f aca="false">IF(OR(AJ$2="",$D10=""),"",IF(IF(ISNUMBER($F10),AND(AJ$2&gt;=$F10,AJ$2&lt;=IF(ISNUMBER($G10),$G10,$F10+$E10-$D10)),FALSE()),2,IF(AND(AJ$2&gt;=$D10,AJ$2&lt;=$E10),1,"")))</f>
        <v/>
      </c>
      <c r="AK10" s="55" t="str">
        <f aca="false">IF(OR(AK$2="",$D10=""),"",IF(IF(ISNUMBER($F10),AND(AK$2&gt;=$F10,AK$2&lt;=IF(ISNUMBER($G10),$G10,$F10+$E10-$D10)),FALSE()),2,IF(AND(AK$2&gt;=$D10,AK$2&lt;=$E10),1,"")))</f>
        <v/>
      </c>
      <c r="AL10" s="55" t="str">
        <f aca="false">IF(OR(AL$2="",$D10=""),"",IF(IF(ISNUMBER($F10),AND(AL$2&gt;=$F10,AL$2&lt;=IF(ISNUMBER($G10),$G10,$F10+$E10-$D10)),FALSE()),2,IF(AND(AL$2&gt;=$D10,AL$2&lt;=$E10),1,"")))</f>
        <v/>
      </c>
      <c r="AM10" s="55" t="str">
        <f aca="false">IF(OR(AM$2="",$D10=""),"",IF(IF(ISNUMBER($F10),AND(AM$2&gt;=$F10,AM$2&lt;=IF(ISNUMBER($G10),$G10,$F10+$E10-$D10)),FALSE()),2,IF(AND(AM$2&gt;=$D10,AM$2&lt;=$E10),1,"")))</f>
        <v/>
      </c>
      <c r="AN10" s="55" t="str">
        <f aca="false">IF(OR(AN$2="",$D10=""),"",IF(IF(ISNUMBER($F10),AND(AN$2&gt;=$F10,AN$2&lt;=IF(ISNUMBER($G10),$G10,$F10+$E10-$D10)),FALSE()),2,IF(AND(AN$2&gt;=$D10,AN$2&lt;=$E10),1,"")))</f>
        <v/>
      </c>
      <c r="AO10" s="55" t="str">
        <f aca="false">IF(OR(AO$2="",$D10=""),"",IF(IF(ISNUMBER($F10),AND(AO$2&gt;=$F10,AO$2&lt;=IF(ISNUMBER($G10),$G10,$F10+$E10-$D10)),FALSE()),2,IF(AND(AO$2&gt;=$D10,AO$2&lt;=$E10),1,"")))</f>
        <v/>
      </c>
      <c r="AP10" s="55" t="str">
        <f aca="false">IF(OR(AP$2="",$D10=""),"",IF(IF(ISNUMBER($F10),AND(AP$2&gt;=$F10,AP$2&lt;=IF(ISNUMBER($G10),$G10,$F10+$E10-$D10)),FALSE()),2,IF(AND(AP$2&gt;=$D10,AP$2&lt;=$E10),1,"")))</f>
        <v/>
      </c>
      <c r="AQ10" s="55" t="str">
        <f aca="false">IF(OR(AQ$2="",$D10=""),"",IF(IF(ISNUMBER($F10),AND(AQ$2&gt;=$F10,AQ$2&lt;=IF(ISNUMBER($G10),$G10,$F10+$E10-$D10)),FALSE()),2,IF(AND(AQ$2&gt;=$D10,AQ$2&lt;=$E10),1,"")))</f>
        <v/>
      </c>
      <c r="AR10" s="55" t="str">
        <f aca="false">IF(OR(AR$2="",$D10=""),"",IF(IF(ISNUMBER($F10),AND(AR$2&gt;=$F10,AR$2&lt;=IF(ISNUMBER($G10),$G10,$F10+$E10-$D10)),FALSE()),2,IF(AND(AR$2&gt;=$D10,AR$2&lt;=$E10),1,"")))</f>
        <v/>
      </c>
      <c r="AS10" s="55" t="str">
        <f aca="false">IF(OR(AS$2="",$D10=""),"",IF(IF(ISNUMBER($F10),AND(AS$2&gt;=$F10,AS$2&lt;=IF(ISNUMBER($G10),$G10,$F10+$E10-$D10)),FALSE()),2,IF(AND(AS$2&gt;=$D10,AS$2&lt;=$E10),1,"")))</f>
        <v/>
      </c>
      <c r="AT10" s="55" t="str">
        <f aca="false">IF(OR(AT$2="",$D10=""),"",IF(IF(ISNUMBER($F10),AND(AT$2&gt;=$F10,AT$2&lt;=IF(ISNUMBER($G10),$G10,$F10+$E10-$D10)),FALSE()),2,IF(AND(AT$2&gt;=$D10,AT$2&lt;=$E10),1,"")))</f>
        <v/>
      </c>
      <c r="AU10" s="55" t="str">
        <f aca="false">IF(OR(AU$2="",$D10=""),"",IF(IF(ISNUMBER($F10),AND(AU$2&gt;=$F10,AU$2&lt;=IF(ISNUMBER($G10),$G10,$F10+$E10-$D10)),FALSE()),2,IF(AND(AU$2&gt;=$D10,AU$2&lt;=$E10),1,"")))</f>
        <v/>
      </c>
      <c r="AV10" s="55" t="str">
        <f aca="false">IF(OR(AV$2="",$D10=""),"",IF(IF(ISNUMBER($F10),AND(AV$2&gt;=$F10,AV$2&lt;=IF(ISNUMBER($G10),$G10,$F10+$E10-$D10)),FALSE()),2,IF(AND(AV$2&gt;=$D10,AV$2&lt;=$E10),1,"")))</f>
        <v/>
      </c>
      <c r="AW10" s="55" t="str">
        <f aca="false">IF(OR(AW$2="",$D10=""),"",IF(IF(ISNUMBER($F10),AND(AW$2&gt;=$F10,AW$2&lt;=IF(ISNUMBER($G10),$G10,$F10+$E10-$D10)),FALSE()),2,IF(AND(AW$2&gt;=$D10,AW$2&lt;=$E10),1,"")))</f>
        <v/>
      </c>
      <c r="AX10" s="55" t="str">
        <f aca="false">IF(OR(AX$2="",$D10=""),"",IF(IF(ISNUMBER($F10),AND(AX$2&gt;=$F10,AX$2&lt;=IF(ISNUMBER($G10),$G10,$F10+$E10-$D10)),FALSE()),2,IF(AND(AX$2&gt;=$D10,AX$2&lt;=$E10),1,"")))</f>
        <v/>
      </c>
      <c r="AY10" s="55" t="str">
        <f aca="false">IF(OR(AY$2="",$D10=""),"",IF(IF(ISNUMBER($F10),AND(AY$2&gt;=$F10,AY$2&lt;=IF(ISNUMBER($G10),$G10,$F10+$E10-$D10)),FALSE()),2,IF(AND(AY$2&gt;=$D10,AY$2&lt;=$E10),1,"")))</f>
        <v/>
      </c>
      <c r="AZ10" s="55" t="str">
        <f aca="false">IF(OR(AZ$2="",$D10=""),"",IF(IF(ISNUMBER($F10),AND(AZ$2&gt;=$F10,AZ$2&lt;=IF(ISNUMBER($G10),$G10,$F10+$E10-$D10)),FALSE()),2,IF(AND(AZ$2&gt;=$D10,AZ$2&lt;=$E10),1,"")))</f>
        <v/>
      </c>
      <c r="BA10" s="55" t="str">
        <f aca="false">IF(OR(BA$2="",$D10=""),"",IF(IF(ISNUMBER($F10),AND(BA$2&gt;=$F10,BA$2&lt;=IF(ISNUMBER($G10),$G10,$F10+$E10-$D10)),FALSE()),2,IF(AND(BA$2&gt;=$D10,BA$2&lt;=$E10),1,"")))</f>
        <v/>
      </c>
      <c r="BB10" s="55" t="str">
        <f aca="false">IF(OR(BB$2="",$D10=""),"",IF(IF(ISNUMBER($F10),AND(BB$2&gt;=$F10,BB$2&lt;=IF(ISNUMBER($G10),$G10,$F10+$E10-$D10)),FALSE()),2,IF(AND(BB$2&gt;=$D10,BB$2&lt;=$E10),1,"")))</f>
        <v/>
      </c>
      <c r="BC10" s="55" t="str">
        <f aca="false">IF(OR(BC$2="",$D10=""),"",IF(IF(ISNUMBER($F10),AND(BC$2&gt;=$F10,BC$2&lt;=IF(ISNUMBER($G10),$G10,$F10+$E10-$D10)),FALSE()),2,IF(AND(BC$2&gt;=$D10,BC$2&lt;=$E10),1,"")))</f>
        <v/>
      </c>
      <c r="BD10" s="55" t="str">
        <f aca="false">IF(OR(BD$2="",$D10=""),"",IF(IF(ISNUMBER($F10),AND(BD$2&gt;=$F10,BD$2&lt;=IF(ISNUMBER($G10),$G10,$F10+$E10-$D10)),FALSE()),2,IF(AND(BD$2&gt;=$D10,BD$2&lt;=$E10),1,"")))</f>
        <v/>
      </c>
      <c r="BE10" s="55" t="str">
        <f aca="false">IF(OR(BE$2="",$D10=""),"",IF(IF(ISNUMBER($F10),AND(BE$2&gt;=$F10,BE$2&lt;=IF(ISNUMBER($G10),$G10,$F10+$E10-$D10)),FALSE()),2,IF(AND(BE$2&gt;=$D10,BE$2&lt;=$E10),1,"")))</f>
        <v/>
      </c>
      <c r="BF10" s="55" t="str">
        <f aca="false">IF(OR(BF$2="",$D10=""),"",IF(IF(ISNUMBER($F10),AND(BF$2&gt;=$F10,BF$2&lt;=IF(ISNUMBER($G10),$G10,$F10+$E10-$D10)),FALSE()),2,IF(AND(BF$2&gt;=$D10,BF$2&lt;=$E10),1,"")))</f>
        <v/>
      </c>
      <c r="BG10" s="55" t="str">
        <f aca="false">IF(OR(BG$2="",$D10=""),"",IF(IF(ISNUMBER($F10),AND(BG$2&gt;=$F10,BG$2&lt;=IF(ISNUMBER($G10),$G10,$F10+$E10-$D10)),FALSE()),2,IF(AND(BG$2&gt;=$D10,BG$2&lt;=$E10),1,"")))</f>
        <v/>
      </c>
      <c r="BH10" s="55" t="str">
        <f aca="false">IF(OR(BH$2="",$D10=""),"",IF(IF(ISNUMBER($F10),AND(BH$2&gt;=$F10,BH$2&lt;=IF(ISNUMBER($G10),$G10,$F10+$E10-$D10)),FALSE()),2,IF(AND(BH$2&gt;=$D10,BH$2&lt;=$E10),1,"")))</f>
        <v/>
      </c>
      <c r="BI10" s="55" t="str">
        <f aca="false">IF(OR(BI$2="",$D10=""),"",IF(IF(ISNUMBER($F10),AND(BI$2&gt;=$F10,BI$2&lt;=IF(ISNUMBER($G10),$G10,$F10+$E10-$D10)),FALSE()),2,IF(AND(BI$2&gt;=$D10,BI$2&lt;=$E10),1,"")))</f>
        <v/>
      </c>
      <c r="BJ10" s="55" t="str">
        <f aca="false">IF(OR(BJ$2="",$D10=""),"",IF(IF(ISNUMBER($F10),AND(BJ$2&gt;=$F10,BJ$2&lt;=IF(ISNUMBER($G10),$G10,$F10+$E10-$D10)),FALSE()),2,IF(AND(BJ$2&gt;=$D10,BJ$2&lt;=$E10),1,"")))</f>
        <v/>
      </c>
      <c r="BK10" s="55" t="str">
        <f aca="false">IF(OR(BK$2="",$D10=""),"",IF(IF(ISNUMBER($F10),AND(BK$2&gt;=$F10,BK$2&lt;=IF(ISNUMBER($G10),$G10,$F10+$E10-$D10)),FALSE()),2,IF(AND(BK$2&gt;=$D10,BK$2&lt;=$E10),1,"")))</f>
        <v/>
      </c>
      <c r="BL10" s="55" t="str">
        <f aca="false">IF(OR(BL$2="",$D10=""),"",IF(IF(ISNUMBER($F10),AND(BL$2&gt;=$F10,BL$2&lt;=IF(ISNUMBER($G10),$G10,$F10+$E10-$D10)),FALSE()),2,IF(AND(BL$2&gt;=$D10,BL$2&lt;=$E10),1,"")))</f>
        <v/>
      </c>
      <c r="BM10" s="55" t="str">
        <f aca="false">IF(OR(BM$2="",$D10=""),"",IF(IF(ISNUMBER($F10),AND(BM$2&gt;=$F10,BM$2&lt;=IF(ISNUMBER($G10),$G10,$F10+$E10-$D10)),FALSE()),2,IF(AND(BM$2&gt;=$D10,BM$2&lt;=$E10),1,"")))</f>
        <v/>
      </c>
      <c r="BN10" s="55" t="str">
        <f aca="false">IF(OR(BN$2="",$D10=""),"",IF(IF(ISNUMBER($F10),AND(BN$2&gt;=$F10,BN$2&lt;=IF(ISNUMBER($G10),$G10,$F10+$E10-$D10)),FALSE()),2,IF(AND(BN$2&gt;=$D10,BN$2&lt;=$E10),1,"")))</f>
        <v/>
      </c>
      <c r="BO10" s="55" t="str">
        <f aca="false">IF(OR(BO$2="",$D10=""),"",IF(IF(ISNUMBER($F10),AND(BO$2&gt;=$F10,BO$2&lt;=IF(ISNUMBER($G10),$G10,$F10+$E10-$D10)),FALSE()),2,IF(AND(BO$2&gt;=$D10,BO$2&lt;=$E10),1,"")))</f>
        <v/>
      </c>
      <c r="BP10" s="55" t="str">
        <f aca="false">IF(OR(BP$2="",$D10=""),"",IF(IF(ISNUMBER($F10),AND(BP$2&gt;=$F10,BP$2&lt;=IF(ISNUMBER($G10),$G10,$F10+$E10-$D10)),FALSE()),2,IF(AND(BP$2&gt;=$D10,BP$2&lt;=$E10),1,"")))</f>
        <v/>
      </c>
      <c r="BQ10" s="55" t="str">
        <f aca="false">IF(OR(BQ$2="",$D10=""),"",IF(IF(ISNUMBER($F10),AND(BQ$2&gt;=$F10,BQ$2&lt;=IF(ISNUMBER($G10),$G10,$F10+$E10-$D10)),FALSE()),2,IF(AND(BQ$2&gt;=$D10,BQ$2&lt;=$E10),1,"")))</f>
        <v/>
      </c>
      <c r="BR10" s="55" t="str">
        <f aca="false">IF(OR(BR$2="",$D10=""),"",IF(IF(ISNUMBER($F10),AND(BR$2&gt;=$F10,BR$2&lt;=IF(ISNUMBER($G10),$G10,$F10+$E10-$D10)),FALSE()),2,IF(AND(BR$2&gt;=$D10,BR$2&lt;=$E10),1,"")))</f>
        <v/>
      </c>
      <c r="BS10" s="55" t="str">
        <f aca="false">IF(OR(BS$2="",$D10=""),"",IF(IF(ISNUMBER($F10),AND(BS$2&gt;=$F10,BS$2&lt;=IF(ISNUMBER($G10),$G10,$F10+$E10-$D10)),FALSE()),2,IF(AND(BS$2&gt;=$D10,BS$2&lt;=$E10),1,"")))</f>
        <v/>
      </c>
      <c r="BT10" s="55" t="str">
        <f aca="false">IF(OR(BT$2="",$D10=""),"",IF(IF(ISNUMBER($F10),AND(BT$2&gt;=$F10,BT$2&lt;=IF(ISNUMBER($G10),$G10,$F10+$E10-$D10)),FALSE()),2,IF(AND(BT$2&gt;=$D10,BT$2&lt;=$E10),1,"")))</f>
        <v/>
      </c>
      <c r="BU10" s="55" t="str">
        <f aca="false">IF(OR(BU$2="",$D10=""),"",IF(IF(ISNUMBER($F10),AND(BU$2&gt;=$F10,BU$2&lt;=IF(ISNUMBER($G10),$G10,$F10+$E10-$D10)),FALSE()),2,IF(AND(BU$2&gt;=$D10,BU$2&lt;=$E10),1,"")))</f>
        <v/>
      </c>
      <c r="BV10" s="55" t="str">
        <f aca="false">IF(OR(BV$2="",$D10=""),"",IF(IF(ISNUMBER($F10),AND(BV$2&gt;=$F10,BV$2&lt;=IF(ISNUMBER($G10),$G10,$F10+$E10-$D10)),FALSE()),2,IF(AND(BV$2&gt;=$D10,BV$2&lt;=$E10),1,"")))</f>
        <v/>
      </c>
      <c r="BW10" s="55" t="str">
        <f aca="false">IF(OR(BW$2="",$D10=""),"",IF(IF(ISNUMBER($F10),AND(BW$2&gt;=$F10,BW$2&lt;=IF(ISNUMBER($G10),$G10,$F10+$E10-$D10)),FALSE()),2,IF(AND(BW$2&gt;=$D10,BW$2&lt;=$E10),1,"")))</f>
        <v/>
      </c>
      <c r="BX10" s="55" t="str">
        <f aca="false">IF(OR(BX$2="",$D10=""),"",IF(IF(ISNUMBER($F10),AND(BX$2&gt;=$F10,BX$2&lt;=IF(ISNUMBER($G10),$G10,$F10+$E10-$D10)),FALSE()),2,IF(AND(BX$2&gt;=$D10,BX$2&lt;=$E10),1,"")))</f>
        <v/>
      </c>
      <c r="BY10" s="55" t="str">
        <f aca="false">IF(OR(BY$2="",$D10=""),"",IF(IF(ISNUMBER($F10),AND(BY$2&gt;=$F10,BY$2&lt;=IF(ISNUMBER($G10),$G10,$F10+$E10-$D10)),FALSE()),2,IF(AND(BY$2&gt;=$D10,BY$2&lt;=$E10),1,"")))</f>
        <v/>
      </c>
      <c r="BZ10" s="55" t="str">
        <f aca="false">IF(OR(BZ$2="",$D10=""),"",IF(IF(ISNUMBER($F10),AND(BZ$2&gt;=$F10,BZ$2&lt;=IF(ISNUMBER($G10),$G10,$F10+$E10-$D10)),FALSE()),2,IF(AND(BZ$2&gt;=$D10,BZ$2&lt;=$E10),1,"")))</f>
        <v/>
      </c>
      <c r="CA10" s="55" t="str">
        <f aca="false">IF(OR(CA$2="",$D10=""),"",IF(IF(ISNUMBER($F10),AND(CA$2&gt;=$F10,CA$2&lt;=IF(ISNUMBER($G10),$G10,$F10+$E10-$D10)),FALSE()),2,IF(AND(CA$2&gt;=$D10,CA$2&lt;=$E10),1,"")))</f>
        <v/>
      </c>
      <c r="CB10" s="55" t="str">
        <f aca="false">IF(OR(CB$2="",$D10=""),"",IF(IF(ISNUMBER($F10),AND(CB$2&gt;=$F10,CB$2&lt;=IF(ISNUMBER($G10),$G10,$F10+$E10-$D10)),FALSE()),2,IF(AND(CB$2&gt;=$D10,CB$2&lt;=$E10),1,"")))</f>
        <v/>
      </c>
      <c r="CC10" s="55" t="str">
        <f aca="false">IF(OR(CC$2="",$D10=""),"",IF(IF(ISNUMBER($F10),AND(CC$2&gt;=$F10,CC$2&lt;=IF(ISNUMBER($G10),$G10,$F10+$E10-$D10)),FALSE()),2,IF(AND(CC$2&gt;=$D10,CC$2&lt;=$E10),1,"")))</f>
        <v/>
      </c>
      <c r="CD10" s="55" t="str">
        <f aca="false">IF(OR(CD$2="",$D10=""),"",IF(IF(ISNUMBER($F10),AND(CD$2&gt;=$F10,CD$2&lt;=IF(ISNUMBER($G10),$G10,$F10+$E10-$D10)),FALSE()),2,IF(AND(CD$2&gt;=$D10,CD$2&lt;=$E10),1,"")))</f>
        <v/>
      </c>
      <c r="CE10" s="55" t="str">
        <f aca="false">IF(OR(CE$2="",$D10=""),"",IF(IF(ISNUMBER($F10),AND(CE$2&gt;=$F10,CE$2&lt;=IF(ISNUMBER($G10),$G10,$F10+$E10-$D10)),FALSE()),2,IF(AND(CE$2&gt;=$D10,CE$2&lt;=$E10),1,"")))</f>
        <v/>
      </c>
      <c r="CF10" s="55" t="str">
        <f aca="false">IF(OR(CF$2="",$D10=""),"",IF(IF(ISNUMBER($F10),AND(CF$2&gt;=$F10,CF$2&lt;=IF(ISNUMBER($G10),$G10,$F10+$E10-$D10)),FALSE()),2,IF(AND(CF$2&gt;=$D10,CF$2&lt;=$E10),1,"")))</f>
        <v/>
      </c>
      <c r="CG10" s="55" t="str">
        <f aca="false">IF(OR(CG$2="",$D10=""),"",IF(IF(ISNUMBER($F10),AND(CG$2&gt;=$F10,CG$2&lt;=IF(ISNUMBER($G10),$G10,$F10+$E10-$D10)),FALSE()),2,IF(AND(CG$2&gt;=$D10,CG$2&lt;=$E10),1,"")))</f>
        <v/>
      </c>
      <c r="CH10" s="55" t="str">
        <f aca="false">IF(OR(CH$2="",$D10=""),"",IF(IF(ISNUMBER($F10),AND(CH$2&gt;=$F10,CH$2&lt;=IF(ISNUMBER($G10),$G10,$F10+$E10-$D10)),FALSE()),2,IF(AND(CH$2&gt;=$D10,CH$2&lt;=$E10),1,"")))</f>
        <v/>
      </c>
      <c r="CI10" s="55" t="str">
        <f aca="false">IF(OR(CI$2="",$D10=""),"",IF(IF(ISNUMBER($F10),AND(CI$2&gt;=$F10,CI$2&lt;=IF(ISNUMBER($G10),$G10,$F10+$E10-$D10)),FALSE()),2,IF(AND(CI$2&gt;=$D10,CI$2&lt;=$E10),1,"")))</f>
        <v/>
      </c>
      <c r="CJ10" s="55" t="str">
        <f aca="false">IF(OR(CJ$2="",$D10=""),"",IF(IF(ISNUMBER($F10),AND(CJ$2&gt;=$F10,CJ$2&lt;=IF(ISNUMBER($G10),$G10,$F10+$E10-$D10)),FALSE()),2,IF(AND(CJ$2&gt;=$D10,CJ$2&lt;=$E10),1,"")))</f>
        <v/>
      </c>
      <c r="CK10" s="55" t="str">
        <f aca="false">IF(OR(CK$2="",$D10=""),"",IF(IF(ISNUMBER($F10),AND(CK$2&gt;=$F10,CK$2&lt;=IF(ISNUMBER($G10),$G10,$F10+$E10-$D10)),FALSE()),2,IF(AND(CK$2&gt;=$D10,CK$2&lt;=$E10),1,"")))</f>
        <v/>
      </c>
      <c r="CL10" s="55" t="str">
        <f aca="false">IF(OR(CL$2="",$D10=""),"",IF(IF(ISNUMBER($F10),AND(CL$2&gt;=$F10,CL$2&lt;=IF(ISNUMBER($G10),$G10,$F10+$E10-$D10)),FALSE()),2,IF(AND(CL$2&gt;=$D10,CL$2&lt;=$E10),1,"")))</f>
        <v/>
      </c>
      <c r="CM10" s="55" t="n">
        <f aca="false">IF(OR(CM$2="",$D10=""),"",IF(IF(ISNUMBER($F10),AND(CM$2&gt;=$F10,CM$2&lt;=IF(ISNUMBER($G10),$G10,$F10+$E10-$D10)),FALSE()),2,IF(AND(CM$2&gt;=$D10,CM$2&lt;=$E10),1,"")))</f>
        <v>1</v>
      </c>
      <c r="CN10" s="55" t="str">
        <f aca="false">IF(OR(CN$2="",$D10=""),"",IF(IF(ISNUMBER($F10),AND(CN$2&gt;=$F10,CN$2&lt;=IF(ISNUMBER($G10),$G10,$F10+$E10-$D10)),FALSE()),2,IF(AND(CN$2&gt;=$D10,CN$2&lt;=$E10),1,"")))</f>
        <v/>
      </c>
      <c r="CO10" s="55" t="str">
        <f aca="false">IF(OR(CO$2="",$D10=""),"",IF(IF(ISNUMBER($F10),AND(CO$2&gt;=$F10,CO$2&lt;=IF(ISNUMBER($G10),$G10,$F10+$E10-$D10)),FALSE()),2,IF(AND(CO$2&gt;=$D10,CO$2&lt;=$E10),1,"")))</f>
        <v/>
      </c>
      <c r="CP10" s="55" t="str">
        <f aca="false">IF(OR(CP$2="",$D10=""),"",IF(IF(ISNUMBER($F10),AND(CP$2&gt;=$F10,CP$2&lt;=IF(ISNUMBER($G10),$G10,$F10+$E10-$D10)),FALSE()),2,IF(AND(CP$2&gt;=$D10,CP$2&lt;=$E10),1,"")))</f>
        <v/>
      </c>
      <c r="CQ10" s="55" t="str">
        <f aca="false">IF(OR(CQ$2="",$D10=""),"",IF(IF(ISNUMBER($F10),AND(CQ$2&gt;=$F10,CQ$2&lt;=IF(ISNUMBER($G10),$G10,$F10+$E10-$D10)),FALSE()),2,IF(AND(CQ$2&gt;=$D10,CQ$2&lt;=$E10),1,"")))</f>
        <v/>
      </c>
      <c r="CR10" s="55" t="str">
        <f aca="false">IF(OR(CR$2="",$D10=""),"",IF(IF(ISNUMBER($F10),AND(CR$2&gt;=$F10,CR$2&lt;=IF(ISNUMBER($G10),$G10,$F10+$E10-$D10)),FALSE()),2,IF(AND(CR$2&gt;=$D10,CR$2&lt;=$E10),1,"")))</f>
        <v/>
      </c>
      <c r="CS10" s="55" t="str">
        <f aca="false">IF(OR(CS$2="",$D10=""),"",IF(IF(ISNUMBER($F10),AND(CS$2&gt;=$F10,CS$2&lt;=IF(ISNUMBER($G10),$G10,$F10+$E10-$D10)),FALSE()),2,IF(AND(CS$2&gt;=$D10,CS$2&lt;=$E10),1,"")))</f>
        <v/>
      </c>
      <c r="CT10" s="55" t="str">
        <f aca="false">IF(OR(CT$2="",$D10=""),"",IF(IF(ISNUMBER($F10),AND(CT$2&gt;=$F10,CT$2&lt;=IF(ISNUMBER($G10),$G10,$F10+$E10-$D10)),FALSE()),2,IF(AND(CT$2&gt;=$D10,CT$2&lt;=$E10),1,"")))</f>
        <v/>
      </c>
      <c r="CU10" s="55" t="str">
        <f aca="false">IF(OR(CU$2="",$D10=""),"",IF(IF(ISNUMBER($F10),AND(CU$2&gt;=$F10,CU$2&lt;=IF(ISNUMBER($G10),$G10,$F10+$E10-$D10)),FALSE()),2,IF(AND(CU$2&gt;=$D10,CU$2&lt;=$E10),1,"")))</f>
        <v/>
      </c>
      <c r="CV10" s="55" t="str">
        <f aca="false">IF(OR(CV$2="",$D10=""),"",IF(IF(ISNUMBER($F10),AND(CV$2&gt;=$F10,CV$2&lt;=IF(ISNUMBER($G10),$G10,$F10+$E10-$D10)),FALSE()),2,IF(AND(CV$2&gt;=$D10,CV$2&lt;=$E10),1,"")))</f>
        <v/>
      </c>
      <c r="CW10" s="55" t="str">
        <f aca="false">IF(OR(CW$2="",$D10=""),"",IF(IF(ISNUMBER($F10),AND(CW$2&gt;=$F10,CW$2&lt;=IF(ISNUMBER($G10),$G10,$F10+$E10-$D10)),FALSE()),2,IF(AND(CW$2&gt;=$D10,CW$2&lt;=$E10),1,"")))</f>
        <v/>
      </c>
      <c r="CX10" s="55" t="str">
        <f aca="false">IF(OR(CX$2="",$D10=""),"",IF(IF(ISNUMBER($F10),AND(CX$2&gt;=$F10,CX$2&lt;=IF(ISNUMBER($G10),$G10,$F10+$E10-$D10)),FALSE()),2,IF(AND(CX$2&gt;=$D10,CX$2&lt;=$E10),1,"")))</f>
        <v/>
      </c>
      <c r="CY10" s="55" t="str">
        <f aca="false">IF(OR(CY$2="",$D10=""),"",IF(IF(ISNUMBER($F10),AND(CY$2&gt;=$F10,CY$2&lt;=IF(ISNUMBER($G10),$G10,$F10+$E10-$D10)),FALSE()),2,IF(AND(CY$2&gt;=$D10,CY$2&lt;=$E10),1,"")))</f>
        <v/>
      </c>
      <c r="CZ10" s="55" t="str">
        <f aca="false">IF(OR(CZ$2="",$D10=""),"",IF(IF(ISNUMBER($F10),AND(CZ$2&gt;=$F10,CZ$2&lt;=IF(ISNUMBER($G10),$G10,$F10+$E10-$D10)),FALSE()),2,IF(AND(CZ$2&gt;=$D10,CZ$2&lt;=$E10),1,"")))</f>
        <v/>
      </c>
      <c r="DA10" s="55" t="str">
        <f aca="false">IF(OR(DA$2="",$D10=""),"",IF(IF(ISNUMBER($F10),AND(DA$2&gt;=$F10,DA$2&lt;=IF(ISNUMBER($G10),$G10,$F10+$E10-$D10)),FALSE()),2,IF(AND(DA$2&gt;=$D10,DA$2&lt;=$E10),1,"")))</f>
        <v/>
      </c>
      <c r="DB10" s="55" t="str">
        <f aca="false">IF(OR(DB$2="",$D10=""),"",IF(IF(ISNUMBER($F10),AND(DB$2&gt;=$F10,DB$2&lt;=IF(ISNUMBER($G10),$G10,$F10+$E10-$D10)),FALSE()),2,IF(AND(DB$2&gt;=$D10,DB$2&lt;=$E10),1,"")))</f>
        <v/>
      </c>
      <c r="DC10" s="55" t="str">
        <f aca="false">IF(OR(DC$2="",$D10=""),"",IF(IF(ISNUMBER($F10),AND(DC$2&gt;=$F10,DC$2&lt;=IF(ISNUMBER($G10),$G10,$F10+$E10-$D10)),FALSE()),2,IF(AND(DC$2&gt;=$D10,DC$2&lt;=$E10),1,"")))</f>
        <v/>
      </c>
      <c r="DD10" s="55" t="str">
        <f aca="false">IF(OR(DD$2="",$D10=""),"",IF(IF(ISNUMBER($F10),AND(DD$2&gt;=$F10,DD$2&lt;=IF(ISNUMBER($G10),$G10,$F10+$E10-$D10)),FALSE()),2,IF(AND(DD$2&gt;=$D10,DD$2&lt;=$E10),1,"")))</f>
        <v/>
      </c>
      <c r="DE10" s="55" t="str">
        <f aca="false">IF(OR(DE$2="",$D10=""),"",IF(IF(ISNUMBER($F10),AND(DE$2&gt;=$F10,DE$2&lt;=IF(ISNUMBER($G10),$G10,$F10+$E10-$D10)),FALSE()),2,IF(AND(DE$2&gt;=$D10,DE$2&lt;=$E10),1,"")))</f>
        <v/>
      </c>
      <c r="DF10" s="55" t="str">
        <f aca="false">IF(OR(DF$2="",$D10=""),"",IF(IF(ISNUMBER($F10),AND(DF$2&gt;=$F10,DF$2&lt;=IF(ISNUMBER($G10),$G10,$F10+$E10-$D10)),FALSE()),2,IF(AND(DF$2&gt;=$D10,DF$2&lt;=$E10),1,"")))</f>
        <v/>
      </c>
      <c r="DG10" s="55" t="str">
        <f aca="false">IF(OR(DG$2="",$D10=""),"",IF(IF(ISNUMBER($F10),AND(DG$2&gt;=$F10,DG$2&lt;=IF(ISNUMBER($G10),$G10,$F10+$E10-$D10)),FALSE()),2,IF(AND(DG$2&gt;=$D10,DG$2&lt;=$E10),1,"")))</f>
        <v/>
      </c>
      <c r="DH10" s="55" t="str">
        <f aca="false">IF(OR(DH$2="",$D10=""),"",IF(IF(ISNUMBER($F10),AND(DH$2&gt;=$F10,DH$2&lt;=IF(ISNUMBER($G10),$G10,$F10+$E10-$D10)),FALSE()),2,IF(AND(DH$2&gt;=$D10,DH$2&lt;=$E10),1,"")))</f>
        <v/>
      </c>
      <c r="DI10" s="55" t="str">
        <f aca="false">IF(OR(DI$2="",$D10=""),"",IF(IF(ISNUMBER($F10),AND(DI$2&gt;=$F10,DI$2&lt;=IF(ISNUMBER($G10),$G10,$F10+$E10-$D10)),FALSE()),2,IF(AND(DI$2&gt;=$D10,DI$2&lt;=$E10),1,"")))</f>
        <v/>
      </c>
      <c r="DJ10" s="55" t="str">
        <f aca="false">IF(OR(DJ$2="",$D10=""),"",IF(IF(ISNUMBER($F10),AND(DJ$2&gt;=$F10,DJ$2&lt;=IF(ISNUMBER($G10),$G10,$F10+$E10-$D10)),FALSE()),2,IF(AND(DJ$2&gt;=$D10,DJ$2&lt;=$E10),1,"")))</f>
        <v/>
      </c>
      <c r="DK10" s="55" t="str">
        <f aca="false">IF(OR(DK$2="",$D10=""),"",IF(IF(ISNUMBER($F10),AND(DK$2&gt;=$F10,DK$2&lt;=IF(ISNUMBER($G10),$G10,$F10+$E10-$D10)),FALSE()),2,IF(AND(DK$2&gt;=$D10,DK$2&lt;=$E10),1,"")))</f>
        <v/>
      </c>
      <c r="DL10" s="55" t="str">
        <f aca="false">IF(OR(DL$2="",$D10=""),"",IF(IF(ISNUMBER($F10),AND(DL$2&gt;=$F10,DL$2&lt;=IF(ISNUMBER($G10),$G10,$F10+$E10-$D10)),FALSE()),2,IF(AND(DL$2&gt;=$D10,DL$2&lt;=$E10),1,"")))</f>
        <v/>
      </c>
      <c r="DM10" s="55" t="str">
        <f aca="false">IF(OR(DM$2="",$D10=""),"",IF(IF(ISNUMBER($F10),AND(DM$2&gt;=$F10,DM$2&lt;=IF(ISNUMBER($G10),$G10,$F10+$E10-$D10)),FALSE()),2,IF(AND(DM$2&gt;=$D10,DM$2&lt;=$E10),1,"")))</f>
        <v/>
      </c>
      <c r="DN10" s="55" t="str">
        <f aca="false">IF(OR(DN$2="",$D10=""),"",IF(IF(ISNUMBER($F10),AND(DN$2&gt;=$F10,DN$2&lt;=IF(ISNUMBER($G10),$G10,$F10+$E10-$D10)),FALSE()),2,IF(AND(DN$2&gt;=$D10,DN$2&lt;=$E10),1,"")))</f>
        <v/>
      </c>
      <c r="DO10" s="55" t="str">
        <f aca="false">IF(OR(DO$2="",$D10=""),"",IF(IF(ISNUMBER($F10),AND(DO$2&gt;=$F10,DO$2&lt;=IF(ISNUMBER($G10),$G10,$F10+$E10-$D10)),FALSE()),2,IF(AND(DO$2&gt;=$D10,DO$2&lt;=$E10),1,"")))</f>
        <v/>
      </c>
      <c r="DP10" s="55" t="str">
        <f aca="false">IF(OR(DP$2="",$D10=""),"",IF(IF(ISNUMBER($F10),AND(DP$2&gt;=$F10,DP$2&lt;=IF(ISNUMBER($G10),$G10,$F10+$E10-$D10)),FALSE()),2,IF(AND(DP$2&gt;=$D10,DP$2&lt;=$E10),1,"")))</f>
        <v/>
      </c>
      <c r="DQ10" s="55" t="str">
        <f aca="false">IF(OR(DQ$2="",$D10=""),"",IF(IF(ISNUMBER($F10),AND(DQ$2&gt;=$F10,DQ$2&lt;=IF(ISNUMBER($G10),$G10,$F10+$E10-$D10)),FALSE()),2,IF(AND(DQ$2&gt;=$D10,DQ$2&lt;=$E10),1,"")))</f>
        <v/>
      </c>
      <c r="DR10" s="55" t="str">
        <f aca="false">IF(OR(DR$2="",$D10=""),"",IF(IF(ISNUMBER($F10),AND(DR$2&gt;=$F10,DR$2&lt;=IF(ISNUMBER($G10),$G10,$F10+$E10-$D10)),FALSE()),2,IF(AND(DR$2&gt;=$D10,DR$2&lt;=$E10),1,"")))</f>
        <v/>
      </c>
      <c r="DS10" s="55" t="str">
        <f aca="false">IF(OR(DS$2="",$D10=""),"",IF(IF(ISNUMBER($F10),AND(DS$2&gt;=$F10,DS$2&lt;=IF(ISNUMBER($G10),$G10,$F10+$E10-$D10)),FALSE()),2,IF(AND(DS$2&gt;=$D10,DS$2&lt;=$E10),1,"")))</f>
        <v/>
      </c>
      <c r="DT10" s="55" t="str">
        <f aca="false">IF(OR(DT$2="",$D10=""),"",IF(IF(ISNUMBER($F10),AND(DT$2&gt;=$F10,DT$2&lt;=IF(ISNUMBER($G10),$G10,$F10+$E10-$D10)),FALSE()),2,IF(AND(DT$2&gt;=$D10,DT$2&lt;=$E10),1,"")))</f>
        <v/>
      </c>
      <c r="DU10" s="55" t="str">
        <f aca="false">IF(OR(DU$2="",$D10=""),"",IF(IF(ISNUMBER($F10),AND(DU$2&gt;=$F10,DU$2&lt;=IF(ISNUMBER($G10),$G10,$F10+$E10-$D10)),FALSE()),2,IF(AND(DU$2&gt;=$D10,DU$2&lt;=$E10),1,"")))</f>
        <v/>
      </c>
      <c r="DV10" s="55" t="str">
        <f aca="false">IF(OR(DV$2="",$D10=""),"",IF(IF(ISNUMBER($F10),AND(DV$2&gt;=$F10,DV$2&lt;=IF(ISNUMBER($G10),$G10,$F10+$E10-$D10)),FALSE()),2,IF(AND(DV$2&gt;=$D10,DV$2&lt;=$E10),1,"")))</f>
        <v/>
      </c>
      <c r="DW10" s="55" t="str">
        <f aca="false">IF(OR(DW$2="",$D10=""),"",IF(IF(ISNUMBER($F10),AND(DW$2&gt;=$F10,DW$2&lt;=IF(ISNUMBER($G10),$G10,$F10+$E10-$D10)),FALSE()),2,IF(AND(DW$2&gt;=$D10,DW$2&lt;=$E10),1,"")))</f>
        <v/>
      </c>
      <c r="DX10" s="55" t="str">
        <f aca="false">IF(OR(DX$2="",$D10=""),"",IF(IF(ISNUMBER($F10),AND(DX$2&gt;=$F10,DX$2&lt;=IF(ISNUMBER($G10),$G10,$F10+$E10-$D10)),FALSE()),2,IF(AND(DX$2&gt;=$D10,DX$2&lt;=$E10),1,"")))</f>
        <v/>
      </c>
      <c r="DY10" s="55" t="str">
        <f aca="false">IF(OR(DY$2="",$D10=""),"",IF(IF(ISNUMBER($F10),AND(DY$2&gt;=$F10,DY$2&lt;=IF(ISNUMBER($G10),$G10,$F10+$E10-$D10)),FALSE()),2,IF(AND(DY$2&gt;=$D10,DY$2&lt;=$E10),1,"")))</f>
        <v/>
      </c>
      <c r="DZ10" s="55" t="str">
        <f aca="false">IF(OR(DZ$2="",$D10=""),"",IF(IF(ISNUMBER($F10),AND(DZ$2&gt;=$F10,DZ$2&lt;=IF(ISNUMBER($G10),$G10,$F10+$E10-$D10)),FALSE()),2,IF(AND(DZ$2&gt;=$D10,DZ$2&lt;=$E10),1,"")))</f>
        <v/>
      </c>
      <c r="EA10" s="55" t="str">
        <f aca="false">IF(OR(EA$2="",$D10=""),"",IF(IF(ISNUMBER($F10),AND(EA$2&gt;=$F10,EA$2&lt;=IF(ISNUMBER($G10),$G10,$F10+$E10-$D10)),FALSE()),2,IF(AND(EA$2&gt;=$D10,EA$2&lt;=$E10),1,"")))</f>
        <v/>
      </c>
      <c r="EB10" s="55" t="str">
        <f aca="false">IF(OR(EB$2="",$D10=""),"",IF(IF(ISNUMBER($F10),AND(EB$2&gt;=$F10,EB$2&lt;=IF(ISNUMBER($G10),$G10,$F10+$E10-$D10)),FALSE()),2,IF(AND(EB$2&gt;=$D10,EB$2&lt;=$E10),1,"")))</f>
        <v/>
      </c>
      <c r="EC10" s="55" t="str">
        <f aca="false">IF(OR(EC$2="",$D10=""),"",IF(IF(ISNUMBER($F10),AND(EC$2&gt;=$F10,EC$2&lt;=IF(ISNUMBER($G10),$G10,$F10+$E10-$D10)),FALSE()),2,IF(AND(EC$2&gt;=$D10,EC$2&lt;=$E10),1,"")))</f>
        <v/>
      </c>
      <c r="ED10" s="55" t="str">
        <f aca="false">IF(OR(ED$2="",$D10=""),"",IF(IF(ISNUMBER($F10),AND(ED$2&gt;=$F10,ED$2&lt;=IF(ISNUMBER($G10),$G10,$F10+$E10-$D10)),FALSE()),2,IF(AND(ED$2&gt;=$D10,ED$2&lt;=$E10),1,"")))</f>
        <v/>
      </c>
      <c r="EE10" s="55" t="str">
        <f aca="false">IF(OR(EE$2="",$D10=""),"",IF(IF(ISNUMBER($F10),AND(EE$2&gt;=$F10,EE$2&lt;=IF(ISNUMBER($G10),$G10,$F10+$E10-$D10)),FALSE()),2,IF(AND(EE$2&gt;=$D10,EE$2&lt;=$E10),1,"")))</f>
        <v/>
      </c>
      <c r="EF10" s="55" t="str">
        <f aca="false">IF(OR(EF$2="",$D10=""),"",IF(IF(ISNUMBER($F10),AND(EF$2&gt;=$F10,EF$2&lt;=IF(ISNUMBER($G10),$G10,$F10+$E10-$D10)),FALSE()),2,IF(AND(EF$2&gt;=$D10,EF$2&lt;=$E10),1,"")))</f>
        <v/>
      </c>
      <c r="EG10" s="55" t="str">
        <f aca="false">IF(OR(EG$2="",$D10=""),"",IF(IF(ISNUMBER($F10),AND(EG$2&gt;=$F10,EG$2&lt;=IF(ISNUMBER($G10),$G10,$F10+$E10-$D10)),FALSE()),2,IF(AND(EG$2&gt;=$D10,EG$2&lt;=$E10),1,"")))</f>
        <v/>
      </c>
      <c r="EH10" s="55" t="str">
        <f aca="false">IF(OR(EH$2="",$D10=""),"",IF(IF(ISNUMBER($F10),AND(EH$2&gt;=$F10,EH$2&lt;=IF(ISNUMBER($G10),$G10,$F10+$E10-$D10)),FALSE()),2,IF(AND(EH$2&gt;=$D10,EH$2&lt;=$E10),1,"")))</f>
        <v/>
      </c>
      <c r="EI10" s="55" t="str">
        <f aca="false">IF(OR(EI$2="",$D10=""),"",IF(IF(ISNUMBER($F10),AND(EI$2&gt;=$F10,EI$2&lt;=IF(ISNUMBER($G10),$G10,$F10+$E10-$D10)),FALSE()),2,IF(AND(EI$2&gt;=$D10,EI$2&lt;=$E10),1,"")))</f>
        <v/>
      </c>
      <c r="EJ10" s="55" t="str">
        <f aca="false">IF(OR(EJ$2="",$D10=""),"",IF(IF(ISNUMBER($F10),AND(EJ$2&gt;=$F10,EJ$2&lt;=IF(ISNUMBER($G10),$G10,$F10+$E10-$D10)),FALSE()),2,IF(AND(EJ$2&gt;=$D10,EJ$2&lt;=$E10),1,"")))</f>
        <v/>
      </c>
      <c r="EK10" s="55" t="str">
        <f aca="false">IF(OR(EK$2="",$D10=""),"",IF(IF(ISNUMBER($F10),AND(EK$2&gt;=$F10,EK$2&lt;=IF(ISNUMBER($G10),$G10,$F10+$E10-$D10)),FALSE()),2,IF(AND(EK$2&gt;=$D10,EK$2&lt;=$E10),1,"")))</f>
        <v/>
      </c>
      <c r="EL10" s="55" t="str">
        <f aca="false">IF(OR(EL$2="",$D10=""),"",IF(IF(ISNUMBER($F10),AND(EL$2&gt;=$F10,EL$2&lt;=IF(ISNUMBER($G10),$G10,$F10+$E10-$D10)),FALSE()),2,IF(AND(EL$2&gt;=$D10,EL$2&lt;=$E10),1,"")))</f>
        <v/>
      </c>
      <c r="EM10" s="55" t="str">
        <f aca="false">IF(OR(EM$2="",$D10=""),"",IF(IF(ISNUMBER($F10),AND(EM$2&gt;=$F10,EM$2&lt;=IF(ISNUMBER($G10),$G10,$F10+$E10-$D10)),FALSE()),2,IF(AND(EM$2&gt;=$D10,EM$2&lt;=$E10),1,"")))</f>
        <v/>
      </c>
      <c r="EN10" s="55" t="str">
        <f aca="false">IF(OR(EN$2="",$D10=""),"",IF(IF(ISNUMBER($F10),AND(EN$2&gt;=$F10,EN$2&lt;=IF(ISNUMBER($G10),$G10,$F10+$E10-$D10)),FALSE()),2,IF(AND(EN$2&gt;=$D10,EN$2&lt;=$E10),1,"")))</f>
        <v/>
      </c>
      <c r="EO10" s="55" t="str">
        <f aca="false">IF(OR(EO$2="",$D10=""),"",IF(IF(ISNUMBER($F10),AND(EO$2&gt;=$F10,EO$2&lt;=IF(ISNUMBER($G10),$G10,$F10+$E10-$D10)),FALSE()),2,IF(AND(EO$2&gt;=$D10,EO$2&lt;=$E10),1,"")))</f>
        <v/>
      </c>
      <c r="EP10" s="55" t="str">
        <f aca="false">IF(OR(EP$2="",$D10=""),"",IF(IF(ISNUMBER($F10),AND(EP$2&gt;=$F10,EP$2&lt;=IF(ISNUMBER($G10),$G10,$F10+$E10-$D10)),FALSE()),2,IF(AND(EP$2&gt;=$D10,EP$2&lt;=$E10),1,"")))</f>
        <v/>
      </c>
      <c r="EQ10" s="55" t="str">
        <f aca="false">IF(OR(EQ$2="",$D10=""),"",IF(IF(ISNUMBER($F10),AND(EQ$2&gt;=$F10,EQ$2&lt;=IF(ISNUMBER($G10),$G10,$F10+$E10-$D10)),FALSE()),2,IF(AND(EQ$2&gt;=$D10,EQ$2&lt;=$E10),1,"")))</f>
        <v/>
      </c>
      <c r="ER10" s="55" t="str">
        <f aca="false">IF(OR(ER$2="",$D10=""),"",IF(IF(ISNUMBER($F10),AND(ER$2&gt;=$F10,ER$2&lt;=IF(ISNUMBER($G10),$G10,$F10+$E10-$D10)),FALSE()),2,IF(AND(ER$2&gt;=$D10,ER$2&lt;=$E10),1,"")))</f>
        <v/>
      </c>
      <c r="ES10" s="55" t="str">
        <f aca="false">IF(OR(ES$2="",$D10=""),"",IF(IF(ISNUMBER($F10),AND(ES$2&gt;=$F10,ES$2&lt;=IF(ISNUMBER($G10),$G10,$F10+$E10-$D10)),FALSE()),2,IF(AND(ES$2&gt;=$D10,ES$2&lt;=$E10),1,"")))</f>
        <v/>
      </c>
      <c r="ET10" s="55" t="str">
        <f aca="false">IF(OR(ET$2="",$D10=""),"",IF(IF(ISNUMBER($F10),AND(ET$2&gt;=$F10,ET$2&lt;=IF(ISNUMBER($G10),$G10,$F10+$E10-$D10)),FALSE()),2,IF(AND(ET$2&gt;=$D10,ET$2&lt;=$E10),1,"")))</f>
        <v/>
      </c>
      <c r="EU10" s="55" t="str">
        <f aca="false">IF(OR(EU$2="",$D10=""),"",IF(IF(ISNUMBER($F10),AND(EU$2&gt;=$F10,EU$2&lt;=IF(ISNUMBER($G10),$G10,$F10+$E10-$D10)),FALSE()),2,IF(AND(EU$2&gt;=$D10,EU$2&lt;=$E10),1,"")))</f>
        <v/>
      </c>
      <c r="EV10" s="55" t="str">
        <f aca="false">IF(OR(EV$2="",$D10=""),"",IF(IF(ISNUMBER($F10),AND(EV$2&gt;=$F10,EV$2&lt;=IF(ISNUMBER($G10),$G10,$F10+$E10-$D10)),FALSE()),2,IF(AND(EV$2&gt;=$D10,EV$2&lt;=$E10),1,"")))</f>
        <v/>
      </c>
      <c r="EW10" s="55" t="str">
        <f aca="false">IF(OR(EW$2="",$D10=""),"",IF(IF(ISNUMBER($F10),AND(EW$2&gt;=$F10,EW$2&lt;=IF(ISNUMBER($G10),$G10,$F10+$E10-$D10)),FALSE()),2,IF(AND(EW$2&gt;=$D10,EW$2&lt;=$E10),1,"")))</f>
        <v/>
      </c>
      <c r="EX10" s="55" t="str">
        <f aca="false">IF(OR(EX$2="",$D10=""),"",IF(IF(ISNUMBER($F10),AND(EX$2&gt;=$F10,EX$2&lt;=IF(ISNUMBER($G10),$G10,$F10+$E10-$D10)),FALSE()),2,IF(AND(EX$2&gt;=$D10,EX$2&lt;=$E10),1,"")))</f>
        <v/>
      </c>
      <c r="EY10" s="55" t="str">
        <f aca="false">IF(OR(EY$2="",$D10=""),"",IF(IF(ISNUMBER($F10),AND(EY$2&gt;=$F10,EY$2&lt;=IF(ISNUMBER($G10),$G10,$F10+$E10-$D10)),FALSE()),2,IF(AND(EY$2&gt;=$D10,EY$2&lt;=$E10),1,"")))</f>
        <v/>
      </c>
      <c r="EZ10" s="55" t="str">
        <f aca="false">IF(OR(EZ$2="",$D10=""),"",IF(IF(ISNUMBER($F10),AND(EZ$2&gt;=$F10,EZ$2&lt;=IF(ISNUMBER($G10),$G10,$F10+$E10-$D10)),FALSE()),2,IF(AND(EZ$2&gt;=$D10,EZ$2&lt;=$E10),1,"")))</f>
        <v/>
      </c>
      <c r="FA10" s="55" t="str">
        <f aca="false">IF(OR(FA$2="",$D10=""),"",IF(IF(ISNUMBER($F10),AND(FA$2&gt;=$F10,FA$2&lt;=IF(ISNUMBER($G10),$G10,$F10+$E10-$D10)),FALSE()),2,IF(AND(FA$2&gt;=$D10,FA$2&lt;=$E10),1,"")))</f>
        <v/>
      </c>
      <c r="FB10" s="55" t="str">
        <f aca="false">IF(OR(FB$2="",$D10=""),"",IF(IF(ISNUMBER($F10),AND(FB$2&gt;=$F10,FB$2&lt;=IF(ISNUMBER($G10),$G10,$F10+$E10-$D10)),FALSE()),2,IF(AND(FB$2&gt;=$D10,FB$2&lt;=$E10),1,"")))</f>
        <v/>
      </c>
      <c r="FC10" s="55" t="str">
        <f aca="false">IF(OR(FC$2="",$D10=""),"",IF(IF(ISNUMBER($F10),AND(FC$2&gt;=$F10,FC$2&lt;=IF(ISNUMBER($G10),$G10,$F10+$E10-$D10)),FALSE()),2,IF(AND(FC$2&gt;=$D10,FC$2&lt;=$E10),1,"")))</f>
        <v/>
      </c>
      <c r="FD10" s="55" t="str">
        <f aca="false">IF(OR(FD$2="",$D10=""),"",IF(IF(ISNUMBER($F10),AND(FD$2&gt;=$F10,FD$2&lt;=IF(ISNUMBER($G10),$G10,$F10+$E10-$D10)),FALSE()),2,IF(AND(FD$2&gt;=$D10,FD$2&lt;=$E10),1,"")))</f>
        <v/>
      </c>
      <c r="FE10" s="55" t="str">
        <f aca="false">IF(OR(FE$2="",$D10=""),"",IF(IF(ISNUMBER($F10),AND(FE$2&gt;=$F10,FE$2&lt;=IF(ISNUMBER($G10),$G10,$F10+$E10-$D10)),FALSE()),2,IF(AND(FE$2&gt;=$D10,FE$2&lt;=$E10),1,"")))</f>
        <v/>
      </c>
      <c r="FF10" s="55" t="str">
        <f aca="false">IF(OR(FF$2="",$D10=""),"",IF(IF(ISNUMBER($F10),AND(FF$2&gt;=$F10,FF$2&lt;=IF(ISNUMBER($G10),$G10,$F10+$E10-$D10)),FALSE()),2,IF(AND(FF$2&gt;=$D10,FF$2&lt;=$E10),1,"")))</f>
        <v/>
      </c>
      <c r="FG10" s="55" t="str">
        <f aca="false">IF(OR(FG$2="",$D10=""),"",IF(IF(ISNUMBER($F10),AND(FG$2&gt;=$F10,FG$2&lt;=IF(ISNUMBER($G10),$G10,$F10+$E10-$D10)),FALSE()),2,IF(AND(FG$2&gt;=$D10,FG$2&lt;=$E10),1,"")))</f>
        <v/>
      </c>
      <c r="FH10" s="55" t="str">
        <f aca="false">IF(OR(FH$2="",$D10=""),"",IF(IF(ISNUMBER($F10),AND(FH$2&gt;=$F10,FH$2&lt;=IF(ISNUMBER($G10),$G10,$F10+$E10-$D10)),FALSE()),2,IF(AND(FH$2&gt;=$D10,FH$2&lt;=$E10),1,"")))</f>
        <v/>
      </c>
      <c r="FI10" s="55" t="str">
        <f aca="false">IF(OR(FI$2="",$D10=""),"",IF(IF(ISNUMBER($F10),AND(FI$2&gt;=$F10,FI$2&lt;=IF(ISNUMBER($G10),$G10,$F10+$E10-$D10)),FALSE()),2,IF(AND(FI$2&gt;=$D10,FI$2&lt;=$E10),1,"")))</f>
        <v/>
      </c>
      <c r="FJ10" s="55" t="str">
        <f aca="false">IF(OR(FJ$2="",$D10=""),"",IF(IF(ISNUMBER($F10),AND(FJ$2&gt;=$F10,FJ$2&lt;=IF(ISNUMBER($G10),$G10,$F10+$E10-$D10)),FALSE()),2,IF(AND(FJ$2&gt;=$D10,FJ$2&lt;=$E10),1,"")))</f>
        <v/>
      </c>
      <c r="FK10" s="55" t="str">
        <f aca="false">IF(OR(FK$2="",$D10=""),"",IF(IF(ISNUMBER($F10),AND(FK$2&gt;=$F10,FK$2&lt;=IF(ISNUMBER($G10),$G10,$F10+$E10-$D10)),FALSE()),2,IF(AND(FK$2&gt;=$D10,FK$2&lt;=$E10),1,"")))</f>
        <v/>
      </c>
      <c r="FL10" s="55" t="str">
        <f aca="false">IF(OR(FL$2="",$D10=""),"",IF(IF(ISNUMBER($F10),AND(FL$2&gt;=$F10,FL$2&lt;=IF(ISNUMBER($G10),$G10,$F10+$E10-$D10)),FALSE()),2,IF(AND(FL$2&gt;=$D10,FL$2&lt;=$E10),1,"")))</f>
        <v/>
      </c>
      <c r="FM10" s="55" t="str">
        <f aca="false">IF(OR(FM$2="",$D10=""),"",IF(IF(ISNUMBER($F10),AND(FM$2&gt;=$F10,FM$2&lt;=IF(ISNUMBER($G10),$G10,$F10+$E10-$D10)),FALSE()),2,IF(AND(FM$2&gt;=$D10,FM$2&lt;=$E10),1,"")))</f>
        <v/>
      </c>
      <c r="FN10" s="55" t="str">
        <f aca="false">IF(OR(FN$2="",$D10=""),"",IF(IF(ISNUMBER($F10),AND(FN$2&gt;=$F10,FN$2&lt;=IF(ISNUMBER($G10),$G10,$F10+$E10-$D10)),FALSE()),2,IF(AND(FN$2&gt;=$D10,FN$2&lt;=$E10),1,"")))</f>
        <v/>
      </c>
      <c r="FO10" s="55" t="str">
        <f aca="false">IF(OR(FO$2="",$D10=""),"",IF(IF(ISNUMBER($F10),AND(FO$2&gt;=$F10,FO$2&lt;=IF(ISNUMBER($G10),$G10,$F10+$E10-$D10)),FALSE()),2,IF(AND(FO$2&gt;=$D10,FO$2&lt;=$E10),1,"")))</f>
        <v/>
      </c>
      <c r="FP10" s="55" t="str">
        <f aca="false">IF(OR(FP$2="",$D10=""),"",IF(IF(ISNUMBER($F10),AND(FP$2&gt;=$F10,FP$2&lt;=IF(ISNUMBER($G10),$G10,$F10+$E10-$D10)),FALSE()),2,IF(AND(FP$2&gt;=$D10,FP$2&lt;=$E10),1,"")))</f>
        <v/>
      </c>
      <c r="FQ10" s="55" t="str">
        <f aca="false">IF(OR(FQ$2="",$D10=""),"",IF(IF(ISNUMBER($F10),AND(FQ$2&gt;=$F10,FQ$2&lt;=IF(ISNUMBER($G10),$G10,$F10+$E10-$D10)),FALSE()),2,IF(AND(FQ$2&gt;=$D10,FQ$2&lt;=$E10),1,"")))</f>
        <v/>
      </c>
      <c r="FR10" s="55" t="str">
        <f aca="false">IF(OR(FR$2="",$D10=""),"",IF(IF(ISNUMBER($F10),AND(FR$2&gt;=$F10,FR$2&lt;=IF(ISNUMBER($G10),$G10,$F10+$E10-$D10)),FALSE()),2,IF(AND(FR$2&gt;=$D10,FR$2&lt;=$E10),1,"")))</f>
        <v/>
      </c>
      <c r="FS10" s="55" t="str">
        <f aca="false">IF(OR(FS$2="",$D10=""),"",IF(IF(ISNUMBER($F10),AND(FS$2&gt;=$F10,FS$2&lt;=IF(ISNUMBER($G10),$G10,$F10+$E10-$D10)),FALSE()),2,IF(AND(FS$2&gt;=$D10,FS$2&lt;=$E10),1,"")))</f>
        <v/>
      </c>
      <c r="FT10" s="55" t="str">
        <f aca="false">IF(OR(FT$2="",$D10=""),"",IF(IF(ISNUMBER($F10),AND(FT$2&gt;=$F10,FT$2&lt;=IF(ISNUMBER($G10),$G10,$F10+$E10-$D10)),FALSE()),2,IF(AND(FT$2&gt;=$D10,FT$2&lt;=$E10),1,"")))</f>
        <v/>
      </c>
      <c r="FU10" s="55" t="str">
        <f aca="false">IF(OR(FU$2="",$D10=""),"",IF(IF(ISNUMBER($F10),AND(FU$2&gt;=$F10,FU$2&lt;=IF(ISNUMBER($G10),$G10,$F10+$E10-$D10)),FALSE()),2,IF(AND(FU$2&gt;=$D10,FU$2&lt;=$E10),1,"")))</f>
        <v/>
      </c>
      <c r="FV10" s="55" t="str">
        <f aca="false">IF(OR(FV$2="",$D10=""),"",IF(IF(ISNUMBER($F10),AND(FV$2&gt;=$F10,FV$2&lt;=IF(ISNUMBER($G10),$G10,$F10+$E10-$D10)),FALSE()),2,IF(AND(FV$2&gt;=$D10,FV$2&lt;=$E10),1,"")))</f>
        <v/>
      </c>
      <c r="FW10" s="55" t="str">
        <f aca="false">IF(OR(FW$2="",$D10=""),"",IF(IF(ISNUMBER($F10),AND(FW$2&gt;=$F10,FW$2&lt;=IF(ISNUMBER($G10),$G10,$F10+$E10-$D10)),FALSE()),2,IF(AND(FW$2&gt;=$D10,FW$2&lt;=$E10),1,"")))</f>
        <v/>
      </c>
      <c r="FX10" s="55" t="str">
        <f aca="false">IF(OR(FX$2="",$D10=""),"",IF(IF(ISNUMBER($F10),AND(FX$2&gt;=$F10,FX$2&lt;=IF(ISNUMBER($G10),$G10,$F10+$E10-$D10)),FALSE()),2,IF(AND(FX$2&gt;=$D10,FX$2&lt;=$E10),1,"")))</f>
        <v/>
      </c>
      <c r="FY10" s="55" t="str">
        <f aca="false">IF(OR(FY$2="",$D10=""),"",IF(IF(ISNUMBER($F10),AND(FY$2&gt;=$F10,FY$2&lt;=IF(ISNUMBER($G10),$G10,$F10+$E10-$D10)),FALSE()),2,IF(AND(FY$2&gt;=$D10,FY$2&lt;=$E10),1,"")))</f>
        <v/>
      </c>
      <c r="FZ10" s="55" t="str">
        <f aca="false">IF(OR(FZ$2="",$D10=""),"",IF(IF(ISNUMBER($F10),AND(FZ$2&gt;=$F10,FZ$2&lt;=IF(ISNUMBER($G10),$G10,$F10+$E10-$D10)),FALSE()),2,IF(AND(FZ$2&gt;=$D10,FZ$2&lt;=$E10),1,"")))</f>
        <v/>
      </c>
      <c r="GA10" s="55" t="str">
        <f aca="false">IF(OR(GA$2="",$D10=""),"",IF(IF(ISNUMBER($F10),AND(GA$2&gt;=$F10,GA$2&lt;=IF(ISNUMBER($G10),$G10,$F10+$E10-$D10)),FALSE()),2,IF(AND(GA$2&gt;=$D10,GA$2&lt;=$E10),1,"")))</f>
        <v/>
      </c>
      <c r="GB10" s="55" t="str">
        <f aca="false">IF(OR(GB$2="",$D10=""),"",IF(IF(ISNUMBER($F10),AND(GB$2&gt;=$F10,GB$2&lt;=IF(ISNUMBER($G10),$G10,$F10+$E10-$D10)),FALSE()),2,IF(AND(GB$2&gt;=$D10,GB$2&lt;=$E10),1,"")))</f>
        <v/>
      </c>
      <c r="GC10" s="55" t="str">
        <f aca="false">IF(OR(GC$2="",$D10=""),"",IF(IF(ISNUMBER($F10),AND(GC$2&gt;=$F10,GC$2&lt;=IF(ISNUMBER($G10),$G10,$F10+$E10-$D10)),FALSE()),2,IF(AND(GC$2&gt;=$D10,GC$2&lt;=$E10),1,"")))</f>
        <v/>
      </c>
      <c r="GD10" s="55" t="str">
        <f aca="false">IF(OR(GD$2="",$D10=""),"",IF(IF(ISNUMBER($F10),AND(GD$2&gt;=$F10,GD$2&lt;=IF(ISNUMBER($G10),$G10,$F10+$E10-$D10)),FALSE()),2,IF(AND(GD$2&gt;=$D10,GD$2&lt;=$E10),1,"")))</f>
        <v/>
      </c>
      <c r="GE10" s="55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false" outlineLevel="0" collapsed="false">
      <c r="A11" s="54" t="s">
        <v>369</v>
      </c>
      <c r="B11" s="21" t="s">
        <v>370</v>
      </c>
      <c r="C11" s="21" t="s">
        <v>83</v>
      </c>
      <c r="D11" s="51" t="n">
        <f aca="false">IF(Day_0="","",Day_0+cfg_0+cfg_1)</f>
        <v>46068</v>
      </c>
      <c r="E11" s="51" t="n">
        <f aca="false">IF(Day_0="","",Day_0+cfg_0+cfg_1+cfg_2)</f>
        <v>46071</v>
      </c>
      <c r="F11" s="51" t="str">
        <f aca="false">IF(_xlfn.MINIFS(2_Daily_input!$D$1:$FQ$1,2_Daily_input!$D$71:$FQ$71,"Pitan start")+_xlfn.MINIFS(2_Daily_input!$D$1:$FQ$1,2_Daily_input!$D$72:$FQ$72,"Pitan start")=0,"",IF(_xlfn.MINIFS(2_Daily_input!$D$1:$FQ$1,2_Daily_input!$D$71:$FQ$71,"Pitan start")=0,_xlfn.MINIFS(2_Daily_input!$D$1:$FQ$1,2_Daily_input!$D$72:$FQ$72,"Pitan start"),IF(_xlfn.MINIFS(2_Daily_input!$D$1:$FQ$1,2_Daily_input!$D$72:$FQ$72,"Pitan start")=0,_xlfn.MINIFS(2_Daily_input!$D$1:$FQ$1,2_Daily_input!$D$71:$FQ$71,"Pitan start"),MIN(_xlfn.MINIFS(2_Daily_input!$D$1:$FQ$1,2_Daily_input!$D$71:$FQ$71,"Pitan start"),_xlfn.MINIFS(2_Daily_input!$D$1:$FQ$1,2_Daily_input!$D$72:$FQ$72,"Pitan start")))))</f>
        <v/>
      </c>
      <c r="G11" s="51" t="str">
        <f aca="false">IF(_xlfn.MINIFS(2_Daily_input!$D$1:$FQ$1,2_Daily_input!$D$71:$FQ$71,"Pitan end")+_xlfn.MINIFS(2_Daily_input!$D$1:$FQ$1,2_Daily_input!$D$72:$FQ$72,"Pitan end")=0,"",IF(_xlfn.MINIFS(2_Daily_input!$D$1:$FQ$1,2_Daily_input!$D$71:$FQ$71,"Pitan end")=0,_xlfn.MINIFS(2_Daily_input!$D$1:$FQ$1,2_Daily_input!$D$72:$FQ$72,"Pitan end"),IF(_xlfn.MINIFS(2_Daily_input!$D$1:$FQ$1,2_Daily_input!$D$72:$FQ$72,"Pitan end")=0,_xlfn.MINIFS(2_Daily_input!$D$1:$FQ$1,2_Daily_input!$D$71:$FQ$71,"Pitan end"),MIN(_xlfn.MINIFS(2_Daily_input!$D$1:$FQ$1,2_Daily_input!$D$71:$FQ$71,"Pitan end"),_xlfn.MINIFS(2_Daily_input!$D$1:$FQ$1,2_Daily_input!$D$72:$FQ$72,"Pitan end")))))</f>
        <v/>
      </c>
      <c r="H11" s="50" t="str">
        <f aca="true">IF(D11="","no plan",IF(F11&lt;&gt;"",IF(F11-D11&gt;=2,"LATE","OK"),IF(TODAY()&gt;D11+2,"OVERDUE","upcoming")))</f>
        <v>OVERDUE</v>
      </c>
      <c r="I11" s="50" t="str">
        <f aca="false">IF(AND(D11&lt;&gt;"",F11&lt;&gt;""),F11-D11,"")</f>
        <v/>
      </c>
      <c r="J11" s="51" t="n">
        <f aca="false">IF(F11&lt;&gt;"",F11,D11)</f>
        <v>46068</v>
      </c>
      <c r="K11" s="51" t="n">
        <f aca="false">IF(G11&lt;&gt;"",G11,IF(AND(F11&lt;&gt;"",E11=D11),F11,E11))</f>
        <v>46071</v>
      </c>
      <c r="L11" s="50" t="str">
        <f aca="true">IF(AND(D11&lt;&gt;"",F11="",D11&gt;=TODAY()),D11+ROW()/1000,"")</f>
        <v/>
      </c>
      <c r="M11" s="55" t="str">
        <f aca="false">IF(OR(M$2="",$D11=""),"",IF(IF(ISNUMBER($F11),AND(M$2&gt;=$F11,M$2&lt;=IF(ISNUMBER($G11),$G11,$F11+$E11-$D11)),FALSE()),2,IF(AND(M$2&gt;=$D11,M$2&lt;=$E11),1,"")))</f>
        <v/>
      </c>
      <c r="N11" s="55" t="str">
        <f aca="false">IF(OR(N$2="",$D11=""),"",IF(IF(ISNUMBER($F11),AND(N$2&gt;=$F11,N$2&lt;=IF(ISNUMBER($G11),$G11,$F11+$E11-$D11)),FALSE()),2,IF(AND(N$2&gt;=$D11,N$2&lt;=$E11),1,"")))</f>
        <v/>
      </c>
      <c r="O11" s="55" t="str">
        <f aca="false">IF(OR(O$2="",$D11=""),"",IF(IF(ISNUMBER($F11),AND(O$2&gt;=$F11,O$2&lt;=IF(ISNUMBER($G11),$G11,$F11+$E11-$D11)),FALSE()),2,IF(AND(O$2&gt;=$D11,O$2&lt;=$E11),1,"")))</f>
        <v/>
      </c>
      <c r="P11" s="55" t="str">
        <f aca="false">IF(OR(P$2="",$D11=""),"",IF(IF(ISNUMBER($F11),AND(P$2&gt;=$F11,P$2&lt;=IF(ISNUMBER($G11),$G11,$F11+$E11-$D11)),FALSE()),2,IF(AND(P$2&gt;=$D11,P$2&lt;=$E11),1,"")))</f>
        <v/>
      </c>
      <c r="Q11" s="55" t="str">
        <f aca="false">IF(OR(Q$2="",$D11=""),"",IF(IF(ISNUMBER($F11),AND(Q$2&gt;=$F11,Q$2&lt;=IF(ISNUMBER($G11),$G11,$F11+$E11-$D11)),FALSE()),2,IF(AND(Q$2&gt;=$D11,Q$2&lt;=$E11),1,"")))</f>
        <v/>
      </c>
      <c r="R11" s="55" t="str">
        <f aca="false">IF(OR(R$2="",$D11=""),"",IF(IF(ISNUMBER($F11),AND(R$2&gt;=$F11,R$2&lt;=IF(ISNUMBER($G11),$G11,$F11+$E11-$D11)),FALSE()),2,IF(AND(R$2&gt;=$D11,R$2&lt;=$E11),1,"")))</f>
        <v/>
      </c>
      <c r="S11" s="55" t="str">
        <f aca="false">IF(OR(S$2="",$D11=""),"",IF(IF(ISNUMBER($F11),AND(S$2&gt;=$F11,S$2&lt;=IF(ISNUMBER($G11),$G11,$F11+$E11-$D11)),FALSE()),2,IF(AND(S$2&gt;=$D11,S$2&lt;=$E11),1,"")))</f>
        <v/>
      </c>
      <c r="T11" s="55" t="str">
        <f aca="false">IF(OR(T$2="",$D11=""),"",IF(IF(ISNUMBER($F11),AND(T$2&gt;=$F11,T$2&lt;=IF(ISNUMBER($G11),$G11,$F11+$E11-$D11)),FALSE()),2,IF(AND(T$2&gt;=$D11,T$2&lt;=$E11),1,"")))</f>
        <v/>
      </c>
      <c r="U11" s="55" t="str">
        <f aca="false">IF(OR(U$2="",$D11=""),"",IF(IF(ISNUMBER($F11),AND(U$2&gt;=$F11,U$2&lt;=IF(ISNUMBER($G11),$G11,$F11+$E11-$D11)),FALSE()),2,IF(AND(U$2&gt;=$D11,U$2&lt;=$E11),1,"")))</f>
        <v/>
      </c>
      <c r="V11" s="55" t="str">
        <f aca="false">IF(OR(V$2="",$D11=""),"",IF(IF(ISNUMBER($F11),AND(V$2&gt;=$F11,V$2&lt;=IF(ISNUMBER($G11),$G11,$F11+$E11-$D11)),FALSE()),2,IF(AND(V$2&gt;=$D11,V$2&lt;=$E11),1,"")))</f>
        <v/>
      </c>
      <c r="W11" s="55" t="str">
        <f aca="false">IF(OR(W$2="",$D11=""),"",IF(IF(ISNUMBER($F11),AND(W$2&gt;=$F11,W$2&lt;=IF(ISNUMBER($G11),$G11,$F11+$E11-$D11)),FALSE()),2,IF(AND(W$2&gt;=$D11,W$2&lt;=$E11),1,"")))</f>
        <v/>
      </c>
      <c r="X11" s="55" t="str">
        <f aca="false">IF(OR(X$2="",$D11=""),"",IF(IF(ISNUMBER($F11),AND(X$2&gt;=$F11,X$2&lt;=IF(ISNUMBER($G11),$G11,$F11+$E11-$D11)),FALSE()),2,IF(AND(X$2&gt;=$D11,X$2&lt;=$E11),1,"")))</f>
        <v/>
      </c>
      <c r="Y11" s="55" t="str">
        <f aca="false">IF(OR(Y$2="",$D11=""),"",IF(IF(ISNUMBER($F11),AND(Y$2&gt;=$F11,Y$2&lt;=IF(ISNUMBER($G11),$G11,$F11+$E11-$D11)),FALSE()),2,IF(AND(Y$2&gt;=$D11,Y$2&lt;=$E11),1,"")))</f>
        <v/>
      </c>
      <c r="Z11" s="55" t="str">
        <f aca="false">IF(OR(Z$2="",$D11=""),"",IF(IF(ISNUMBER($F11),AND(Z$2&gt;=$F11,Z$2&lt;=IF(ISNUMBER($G11),$G11,$F11+$E11-$D11)),FALSE()),2,IF(AND(Z$2&gt;=$D11,Z$2&lt;=$E11),1,"")))</f>
        <v/>
      </c>
      <c r="AA11" s="55" t="str">
        <f aca="false">IF(OR(AA$2="",$D11=""),"",IF(IF(ISNUMBER($F11),AND(AA$2&gt;=$F11,AA$2&lt;=IF(ISNUMBER($G11),$G11,$F11+$E11-$D11)),FALSE()),2,IF(AND(AA$2&gt;=$D11,AA$2&lt;=$E11),1,"")))</f>
        <v/>
      </c>
      <c r="AB11" s="55" t="str">
        <f aca="false">IF(OR(AB$2="",$D11=""),"",IF(IF(ISNUMBER($F11),AND(AB$2&gt;=$F11,AB$2&lt;=IF(ISNUMBER($G11),$G11,$F11+$E11-$D11)),FALSE()),2,IF(AND(AB$2&gt;=$D11,AB$2&lt;=$E11),1,"")))</f>
        <v/>
      </c>
      <c r="AC11" s="55" t="str">
        <f aca="false">IF(OR(AC$2="",$D11=""),"",IF(IF(ISNUMBER($F11),AND(AC$2&gt;=$F11,AC$2&lt;=IF(ISNUMBER($G11),$G11,$F11+$E11-$D11)),FALSE()),2,IF(AND(AC$2&gt;=$D11,AC$2&lt;=$E11),1,"")))</f>
        <v/>
      </c>
      <c r="AD11" s="55" t="str">
        <f aca="false">IF(OR(AD$2="",$D11=""),"",IF(IF(ISNUMBER($F11),AND(AD$2&gt;=$F11,AD$2&lt;=IF(ISNUMBER($G11),$G11,$F11+$E11-$D11)),FALSE()),2,IF(AND(AD$2&gt;=$D11,AD$2&lt;=$E11),1,"")))</f>
        <v/>
      </c>
      <c r="AE11" s="55" t="str">
        <f aca="false">IF(OR(AE$2="",$D11=""),"",IF(IF(ISNUMBER($F11),AND(AE$2&gt;=$F11,AE$2&lt;=IF(ISNUMBER($G11),$G11,$F11+$E11-$D11)),FALSE()),2,IF(AND(AE$2&gt;=$D11,AE$2&lt;=$E11),1,"")))</f>
        <v/>
      </c>
      <c r="AF11" s="55" t="str">
        <f aca="false">IF(OR(AF$2="",$D11=""),"",IF(IF(ISNUMBER($F11),AND(AF$2&gt;=$F11,AF$2&lt;=IF(ISNUMBER($G11),$G11,$F11+$E11-$D11)),FALSE()),2,IF(AND(AF$2&gt;=$D11,AF$2&lt;=$E11),1,"")))</f>
        <v/>
      </c>
      <c r="AG11" s="55" t="str">
        <f aca="false">IF(OR(AG$2="",$D11=""),"",IF(IF(ISNUMBER($F11),AND(AG$2&gt;=$F11,AG$2&lt;=IF(ISNUMBER($G11),$G11,$F11+$E11-$D11)),FALSE()),2,IF(AND(AG$2&gt;=$D11,AG$2&lt;=$E11),1,"")))</f>
        <v/>
      </c>
      <c r="AH11" s="55" t="str">
        <f aca="false">IF(OR(AH$2="",$D11=""),"",IF(IF(ISNUMBER($F11),AND(AH$2&gt;=$F11,AH$2&lt;=IF(ISNUMBER($G11),$G11,$F11+$E11-$D11)),FALSE()),2,IF(AND(AH$2&gt;=$D11,AH$2&lt;=$E11),1,"")))</f>
        <v/>
      </c>
      <c r="AI11" s="55" t="str">
        <f aca="false">IF(OR(AI$2="",$D11=""),"",IF(IF(ISNUMBER($F11),AND(AI$2&gt;=$F11,AI$2&lt;=IF(ISNUMBER($G11),$G11,$F11+$E11-$D11)),FALSE()),2,IF(AND(AI$2&gt;=$D11,AI$2&lt;=$E11),1,"")))</f>
        <v/>
      </c>
      <c r="AJ11" s="55" t="str">
        <f aca="false">IF(OR(AJ$2="",$D11=""),"",IF(IF(ISNUMBER($F11),AND(AJ$2&gt;=$F11,AJ$2&lt;=IF(ISNUMBER($G11),$G11,$F11+$E11-$D11)),FALSE()),2,IF(AND(AJ$2&gt;=$D11,AJ$2&lt;=$E11),1,"")))</f>
        <v/>
      </c>
      <c r="AK11" s="55" t="str">
        <f aca="false">IF(OR(AK$2="",$D11=""),"",IF(IF(ISNUMBER($F11),AND(AK$2&gt;=$F11,AK$2&lt;=IF(ISNUMBER($G11),$G11,$F11+$E11-$D11)),FALSE()),2,IF(AND(AK$2&gt;=$D11,AK$2&lt;=$E11),1,"")))</f>
        <v/>
      </c>
      <c r="AL11" s="55" t="str">
        <f aca="false">IF(OR(AL$2="",$D11=""),"",IF(IF(ISNUMBER($F11),AND(AL$2&gt;=$F11,AL$2&lt;=IF(ISNUMBER($G11),$G11,$F11+$E11-$D11)),FALSE()),2,IF(AND(AL$2&gt;=$D11,AL$2&lt;=$E11),1,"")))</f>
        <v/>
      </c>
      <c r="AM11" s="55" t="str">
        <f aca="false">IF(OR(AM$2="",$D11=""),"",IF(IF(ISNUMBER($F11),AND(AM$2&gt;=$F11,AM$2&lt;=IF(ISNUMBER($G11),$G11,$F11+$E11-$D11)),FALSE()),2,IF(AND(AM$2&gt;=$D11,AM$2&lt;=$E11),1,"")))</f>
        <v/>
      </c>
      <c r="AN11" s="55" t="str">
        <f aca="false">IF(OR(AN$2="",$D11=""),"",IF(IF(ISNUMBER($F11),AND(AN$2&gt;=$F11,AN$2&lt;=IF(ISNUMBER($G11),$G11,$F11+$E11-$D11)),FALSE()),2,IF(AND(AN$2&gt;=$D11,AN$2&lt;=$E11),1,"")))</f>
        <v/>
      </c>
      <c r="AO11" s="55" t="str">
        <f aca="false">IF(OR(AO$2="",$D11=""),"",IF(IF(ISNUMBER($F11),AND(AO$2&gt;=$F11,AO$2&lt;=IF(ISNUMBER($G11),$G11,$F11+$E11-$D11)),FALSE()),2,IF(AND(AO$2&gt;=$D11,AO$2&lt;=$E11),1,"")))</f>
        <v/>
      </c>
      <c r="AP11" s="55" t="str">
        <f aca="false">IF(OR(AP$2="",$D11=""),"",IF(IF(ISNUMBER($F11),AND(AP$2&gt;=$F11,AP$2&lt;=IF(ISNUMBER($G11),$G11,$F11+$E11-$D11)),FALSE()),2,IF(AND(AP$2&gt;=$D11,AP$2&lt;=$E11),1,"")))</f>
        <v/>
      </c>
      <c r="AQ11" s="55" t="str">
        <f aca="false">IF(OR(AQ$2="",$D11=""),"",IF(IF(ISNUMBER($F11),AND(AQ$2&gt;=$F11,AQ$2&lt;=IF(ISNUMBER($G11),$G11,$F11+$E11-$D11)),FALSE()),2,IF(AND(AQ$2&gt;=$D11,AQ$2&lt;=$E11),1,"")))</f>
        <v/>
      </c>
      <c r="AR11" s="55" t="str">
        <f aca="false">IF(OR(AR$2="",$D11=""),"",IF(IF(ISNUMBER($F11),AND(AR$2&gt;=$F11,AR$2&lt;=IF(ISNUMBER($G11),$G11,$F11+$E11-$D11)),FALSE()),2,IF(AND(AR$2&gt;=$D11,AR$2&lt;=$E11),1,"")))</f>
        <v/>
      </c>
      <c r="AS11" s="55" t="str">
        <f aca="false">IF(OR(AS$2="",$D11=""),"",IF(IF(ISNUMBER($F11),AND(AS$2&gt;=$F11,AS$2&lt;=IF(ISNUMBER($G11),$G11,$F11+$E11-$D11)),FALSE()),2,IF(AND(AS$2&gt;=$D11,AS$2&lt;=$E11),1,"")))</f>
        <v/>
      </c>
      <c r="AT11" s="55" t="str">
        <f aca="false">IF(OR(AT$2="",$D11=""),"",IF(IF(ISNUMBER($F11),AND(AT$2&gt;=$F11,AT$2&lt;=IF(ISNUMBER($G11),$G11,$F11+$E11-$D11)),FALSE()),2,IF(AND(AT$2&gt;=$D11,AT$2&lt;=$E11),1,"")))</f>
        <v/>
      </c>
      <c r="AU11" s="55" t="str">
        <f aca="false">IF(OR(AU$2="",$D11=""),"",IF(IF(ISNUMBER($F11),AND(AU$2&gt;=$F11,AU$2&lt;=IF(ISNUMBER($G11),$G11,$F11+$E11-$D11)),FALSE()),2,IF(AND(AU$2&gt;=$D11,AU$2&lt;=$E11),1,"")))</f>
        <v/>
      </c>
      <c r="AV11" s="55" t="str">
        <f aca="false">IF(OR(AV$2="",$D11=""),"",IF(IF(ISNUMBER($F11),AND(AV$2&gt;=$F11,AV$2&lt;=IF(ISNUMBER($G11),$G11,$F11+$E11-$D11)),FALSE()),2,IF(AND(AV$2&gt;=$D11,AV$2&lt;=$E11),1,"")))</f>
        <v/>
      </c>
      <c r="AW11" s="55" t="str">
        <f aca="false">IF(OR(AW$2="",$D11=""),"",IF(IF(ISNUMBER($F11),AND(AW$2&gt;=$F11,AW$2&lt;=IF(ISNUMBER($G11),$G11,$F11+$E11-$D11)),FALSE()),2,IF(AND(AW$2&gt;=$D11,AW$2&lt;=$E11),1,"")))</f>
        <v/>
      </c>
      <c r="AX11" s="55" t="str">
        <f aca="false">IF(OR(AX$2="",$D11=""),"",IF(IF(ISNUMBER($F11),AND(AX$2&gt;=$F11,AX$2&lt;=IF(ISNUMBER($G11),$G11,$F11+$E11-$D11)),FALSE()),2,IF(AND(AX$2&gt;=$D11,AX$2&lt;=$E11),1,"")))</f>
        <v/>
      </c>
      <c r="AY11" s="55" t="str">
        <f aca="false">IF(OR(AY$2="",$D11=""),"",IF(IF(ISNUMBER($F11),AND(AY$2&gt;=$F11,AY$2&lt;=IF(ISNUMBER($G11),$G11,$F11+$E11-$D11)),FALSE()),2,IF(AND(AY$2&gt;=$D11,AY$2&lt;=$E11),1,"")))</f>
        <v/>
      </c>
      <c r="AZ11" s="55" t="str">
        <f aca="false">IF(OR(AZ$2="",$D11=""),"",IF(IF(ISNUMBER($F11),AND(AZ$2&gt;=$F11,AZ$2&lt;=IF(ISNUMBER($G11),$G11,$F11+$E11-$D11)),FALSE()),2,IF(AND(AZ$2&gt;=$D11,AZ$2&lt;=$E11),1,"")))</f>
        <v/>
      </c>
      <c r="BA11" s="55" t="str">
        <f aca="false">IF(OR(BA$2="",$D11=""),"",IF(IF(ISNUMBER($F11),AND(BA$2&gt;=$F11,BA$2&lt;=IF(ISNUMBER($G11),$G11,$F11+$E11-$D11)),FALSE()),2,IF(AND(BA$2&gt;=$D11,BA$2&lt;=$E11),1,"")))</f>
        <v/>
      </c>
      <c r="BB11" s="55" t="str">
        <f aca="false">IF(OR(BB$2="",$D11=""),"",IF(IF(ISNUMBER($F11),AND(BB$2&gt;=$F11,BB$2&lt;=IF(ISNUMBER($G11),$G11,$F11+$E11-$D11)),FALSE()),2,IF(AND(BB$2&gt;=$D11,BB$2&lt;=$E11),1,"")))</f>
        <v/>
      </c>
      <c r="BC11" s="55" t="str">
        <f aca="false">IF(OR(BC$2="",$D11=""),"",IF(IF(ISNUMBER($F11),AND(BC$2&gt;=$F11,BC$2&lt;=IF(ISNUMBER($G11),$G11,$F11+$E11-$D11)),FALSE()),2,IF(AND(BC$2&gt;=$D11,BC$2&lt;=$E11),1,"")))</f>
        <v/>
      </c>
      <c r="BD11" s="55" t="str">
        <f aca="false">IF(OR(BD$2="",$D11=""),"",IF(IF(ISNUMBER($F11),AND(BD$2&gt;=$F11,BD$2&lt;=IF(ISNUMBER($G11),$G11,$F11+$E11-$D11)),FALSE()),2,IF(AND(BD$2&gt;=$D11,BD$2&lt;=$E11),1,"")))</f>
        <v/>
      </c>
      <c r="BE11" s="55" t="str">
        <f aca="false">IF(OR(BE$2="",$D11=""),"",IF(IF(ISNUMBER($F11),AND(BE$2&gt;=$F11,BE$2&lt;=IF(ISNUMBER($G11),$G11,$F11+$E11-$D11)),FALSE()),2,IF(AND(BE$2&gt;=$D11,BE$2&lt;=$E11),1,"")))</f>
        <v/>
      </c>
      <c r="BF11" s="55" t="str">
        <f aca="false">IF(OR(BF$2="",$D11=""),"",IF(IF(ISNUMBER($F11),AND(BF$2&gt;=$F11,BF$2&lt;=IF(ISNUMBER($G11),$G11,$F11+$E11-$D11)),FALSE()),2,IF(AND(BF$2&gt;=$D11,BF$2&lt;=$E11),1,"")))</f>
        <v/>
      </c>
      <c r="BG11" s="55" t="str">
        <f aca="false">IF(OR(BG$2="",$D11=""),"",IF(IF(ISNUMBER($F11),AND(BG$2&gt;=$F11,BG$2&lt;=IF(ISNUMBER($G11),$G11,$F11+$E11-$D11)),FALSE()),2,IF(AND(BG$2&gt;=$D11,BG$2&lt;=$E11),1,"")))</f>
        <v/>
      </c>
      <c r="BH11" s="55" t="str">
        <f aca="false">IF(OR(BH$2="",$D11=""),"",IF(IF(ISNUMBER($F11),AND(BH$2&gt;=$F11,BH$2&lt;=IF(ISNUMBER($G11),$G11,$F11+$E11-$D11)),FALSE()),2,IF(AND(BH$2&gt;=$D11,BH$2&lt;=$E11),1,"")))</f>
        <v/>
      </c>
      <c r="BI11" s="55" t="str">
        <f aca="false">IF(OR(BI$2="",$D11=""),"",IF(IF(ISNUMBER($F11),AND(BI$2&gt;=$F11,BI$2&lt;=IF(ISNUMBER($G11),$G11,$F11+$E11-$D11)),FALSE()),2,IF(AND(BI$2&gt;=$D11,BI$2&lt;=$E11),1,"")))</f>
        <v/>
      </c>
      <c r="BJ11" s="55" t="str">
        <f aca="false">IF(OR(BJ$2="",$D11=""),"",IF(IF(ISNUMBER($F11),AND(BJ$2&gt;=$F11,BJ$2&lt;=IF(ISNUMBER($G11),$G11,$F11+$E11-$D11)),FALSE()),2,IF(AND(BJ$2&gt;=$D11,BJ$2&lt;=$E11),1,"")))</f>
        <v/>
      </c>
      <c r="BK11" s="55" t="str">
        <f aca="false">IF(OR(BK$2="",$D11=""),"",IF(IF(ISNUMBER($F11),AND(BK$2&gt;=$F11,BK$2&lt;=IF(ISNUMBER($G11),$G11,$F11+$E11-$D11)),FALSE()),2,IF(AND(BK$2&gt;=$D11,BK$2&lt;=$E11),1,"")))</f>
        <v/>
      </c>
      <c r="BL11" s="55" t="str">
        <f aca="false">IF(OR(BL$2="",$D11=""),"",IF(IF(ISNUMBER($F11),AND(BL$2&gt;=$F11,BL$2&lt;=IF(ISNUMBER($G11),$G11,$F11+$E11-$D11)),FALSE()),2,IF(AND(BL$2&gt;=$D11,BL$2&lt;=$E11),1,"")))</f>
        <v/>
      </c>
      <c r="BM11" s="55" t="str">
        <f aca="false">IF(OR(BM$2="",$D11=""),"",IF(IF(ISNUMBER($F11),AND(BM$2&gt;=$F11,BM$2&lt;=IF(ISNUMBER($G11),$G11,$F11+$E11-$D11)),FALSE()),2,IF(AND(BM$2&gt;=$D11,BM$2&lt;=$E11),1,"")))</f>
        <v/>
      </c>
      <c r="BN11" s="55" t="str">
        <f aca="false">IF(OR(BN$2="",$D11=""),"",IF(IF(ISNUMBER($F11),AND(BN$2&gt;=$F11,BN$2&lt;=IF(ISNUMBER($G11),$G11,$F11+$E11-$D11)),FALSE()),2,IF(AND(BN$2&gt;=$D11,BN$2&lt;=$E11),1,"")))</f>
        <v/>
      </c>
      <c r="BO11" s="55" t="str">
        <f aca="false">IF(OR(BO$2="",$D11=""),"",IF(IF(ISNUMBER($F11),AND(BO$2&gt;=$F11,BO$2&lt;=IF(ISNUMBER($G11),$G11,$F11+$E11-$D11)),FALSE()),2,IF(AND(BO$2&gt;=$D11,BO$2&lt;=$E11),1,"")))</f>
        <v/>
      </c>
      <c r="BP11" s="55" t="str">
        <f aca="false">IF(OR(BP$2="",$D11=""),"",IF(IF(ISNUMBER($F11),AND(BP$2&gt;=$F11,BP$2&lt;=IF(ISNUMBER($G11),$G11,$F11+$E11-$D11)),FALSE()),2,IF(AND(BP$2&gt;=$D11,BP$2&lt;=$E11),1,"")))</f>
        <v/>
      </c>
      <c r="BQ11" s="55" t="str">
        <f aca="false">IF(OR(BQ$2="",$D11=""),"",IF(IF(ISNUMBER($F11),AND(BQ$2&gt;=$F11,BQ$2&lt;=IF(ISNUMBER($G11),$G11,$F11+$E11-$D11)),FALSE()),2,IF(AND(BQ$2&gt;=$D11,BQ$2&lt;=$E11),1,"")))</f>
        <v/>
      </c>
      <c r="BR11" s="55" t="str">
        <f aca="false">IF(OR(BR$2="",$D11=""),"",IF(IF(ISNUMBER($F11),AND(BR$2&gt;=$F11,BR$2&lt;=IF(ISNUMBER($G11),$G11,$F11+$E11-$D11)),FALSE()),2,IF(AND(BR$2&gt;=$D11,BR$2&lt;=$E11),1,"")))</f>
        <v/>
      </c>
      <c r="BS11" s="55" t="str">
        <f aca="false">IF(OR(BS$2="",$D11=""),"",IF(IF(ISNUMBER($F11),AND(BS$2&gt;=$F11,BS$2&lt;=IF(ISNUMBER($G11),$G11,$F11+$E11-$D11)),FALSE()),2,IF(AND(BS$2&gt;=$D11,BS$2&lt;=$E11),1,"")))</f>
        <v/>
      </c>
      <c r="BT11" s="55" t="str">
        <f aca="false">IF(OR(BT$2="",$D11=""),"",IF(IF(ISNUMBER($F11),AND(BT$2&gt;=$F11,BT$2&lt;=IF(ISNUMBER($G11),$G11,$F11+$E11-$D11)),FALSE()),2,IF(AND(BT$2&gt;=$D11,BT$2&lt;=$E11),1,"")))</f>
        <v/>
      </c>
      <c r="BU11" s="55" t="str">
        <f aca="false">IF(OR(BU$2="",$D11=""),"",IF(IF(ISNUMBER($F11),AND(BU$2&gt;=$F11,BU$2&lt;=IF(ISNUMBER($G11),$G11,$F11+$E11-$D11)),FALSE()),2,IF(AND(BU$2&gt;=$D11,BU$2&lt;=$E11),1,"")))</f>
        <v/>
      </c>
      <c r="BV11" s="55" t="str">
        <f aca="false">IF(OR(BV$2="",$D11=""),"",IF(IF(ISNUMBER($F11),AND(BV$2&gt;=$F11,BV$2&lt;=IF(ISNUMBER($G11),$G11,$F11+$E11-$D11)),FALSE()),2,IF(AND(BV$2&gt;=$D11,BV$2&lt;=$E11),1,"")))</f>
        <v/>
      </c>
      <c r="BW11" s="55" t="str">
        <f aca="false">IF(OR(BW$2="",$D11=""),"",IF(IF(ISNUMBER($F11),AND(BW$2&gt;=$F11,BW$2&lt;=IF(ISNUMBER($G11),$G11,$F11+$E11-$D11)),FALSE()),2,IF(AND(BW$2&gt;=$D11,BW$2&lt;=$E11),1,"")))</f>
        <v/>
      </c>
      <c r="BX11" s="55" t="str">
        <f aca="false">IF(OR(BX$2="",$D11=""),"",IF(IF(ISNUMBER($F11),AND(BX$2&gt;=$F11,BX$2&lt;=IF(ISNUMBER($G11),$G11,$F11+$E11-$D11)),FALSE()),2,IF(AND(BX$2&gt;=$D11,BX$2&lt;=$E11),1,"")))</f>
        <v/>
      </c>
      <c r="BY11" s="55" t="str">
        <f aca="false">IF(OR(BY$2="",$D11=""),"",IF(IF(ISNUMBER($F11),AND(BY$2&gt;=$F11,BY$2&lt;=IF(ISNUMBER($G11),$G11,$F11+$E11-$D11)),FALSE()),2,IF(AND(BY$2&gt;=$D11,BY$2&lt;=$E11),1,"")))</f>
        <v/>
      </c>
      <c r="BZ11" s="55" t="str">
        <f aca="false">IF(OR(BZ$2="",$D11=""),"",IF(IF(ISNUMBER($F11),AND(BZ$2&gt;=$F11,BZ$2&lt;=IF(ISNUMBER($G11),$G11,$F11+$E11-$D11)),FALSE()),2,IF(AND(BZ$2&gt;=$D11,BZ$2&lt;=$E11),1,"")))</f>
        <v/>
      </c>
      <c r="CA11" s="55" t="str">
        <f aca="false">IF(OR(CA$2="",$D11=""),"",IF(IF(ISNUMBER($F11),AND(CA$2&gt;=$F11,CA$2&lt;=IF(ISNUMBER($G11),$G11,$F11+$E11-$D11)),FALSE()),2,IF(AND(CA$2&gt;=$D11,CA$2&lt;=$E11),1,"")))</f>
        <v/>
      </c>
      <c r="CB11" s="55" t="str">
        <f aca="false">IF(OR(CB$2="",$D11=""),"",IF(IF(ISNUMBER($F11),AND(CB$2&gt;=$F11,CB$2&lt;=IF(ISNUMBER($G11),$G11,$F11+$E11-$D11)),FALSE()),2,IF(AND(CB$2&gt;=$D11,CB$2&lt;=$E11),1,"")))</f>
        <v/>
      </c>
      <c r="CC11" s="55" t="str">
        <f aca="false">IF(OR(CC$2="",$D11=""),"",IF(IF(ISNUMBER($F11),AND(CC$2&gt;=$F11,CC$2&lt;=IF(ISNUMBER($G11),$G11,$F11+$E11-$D11)),FALSE()),2,IF(AND(CC$2&gt;=$D11,CC$2&lt;=$E11),1,"")))</f>
        <v/>
      </c>
      <c r="CD11" s="55" t="str">
        <f aca="false">IF(OR(CD$2="",$D11=""),"",IF(IF(ISNUMBER($F11),AND(CD$2&gt;=$F11,CD$2&lt;=IF(ISNUMBER($G11),$G11,$F11+$E11-$D11)),FALSE()),2,IF(AND(CD$2&gt;=$D11,CD$2&lt;=$E11),1,"")))</f>
        <v/>
      </c>
      <c r="CE11" s="55" t="str">
        <f aca="false">IF(OR(CE$2="",$D11=""),"",IF(IF(ISNUMBER($F11),AND(CE$2&gt;=$F11,CE$2&lt;=IF(ISNUMBER($G11),$G11,$F11+$E11-$D11)),FALSE()),2,IF(AND(CE$2&gt;=$D11,CE$2&lt;=$E11),1,"")))</f>
        <v/>
      </c>
      <c r="CF11" s="55" t="str">
        <f aca="false">IF(OR(CF$2="",$D11=""),"",IF(IF(ISNUMBER($F11),AND(CF$2&gt;=$F11,CF$2&lt;=IF(ISNUMBER($G11),$G11,$F11+$E11-$D11)),FALSE()),2,IF(AND(CF$2&gt;=$D11,CF$2&lt;=$E11),1,"")))</f>
        <v/>
      </c>
      <c r="CG11" s="55" t="str">
        <f aca="false">IF(OR(CG$2="",$D11=""),"",IF(IF(ISNUMBER($F11),AND(CG$2&gt;=$F11,CG$2&lt;=IF(ISNUMBER($G11),$G11,$F11+$E11-$D11)),FALSE()),2,IF(AND(CG$2&gt;=$D11,CG$2&lt;=$E11),1,"")))</f>
        <v/>
      </c>
      <c r="CH11" s="55" t="str">
        <f aca="false">IF(OR(CH$2="",$D11=""),"",IF(IF(ISNUMBER($F11),AND(CH$2&gt;=$F11,CH$2&lt;=IF(ISNUMBER($G11),$G11,$F11+$E11-$D11)),FALSE()),2,IF(AND(CH$2&gt;=$D11,CH$2&lt;=$E11),1,"")))</f>
        <v/>
      </c>
      <c r="CI11" s="55" t="str">
        <f aca="false">IF(OR(CI$2="",$D11=""),"",IF(IF(ISNUMBER($F11),AND(CI$2&gt;=$F11,CI$2&lt;=IF(ISNUMBER($G11),$G11,$F11+$E11-$D11)),FALSE()),2,IF(AND(CI$2&gt;=$D11,CI$2&lt;=$E11),1,"")))</f>
        <v/>
      </c>
      <c r="CJ11" s="55" t="str">
        <f aca="false">IF(OR(CJ$2="",$D11=""),"",IF(IF(ISNUMBER($F11),AND(CJ$2&gt;=$F11,CJ$2&lt;=IF(ISNUMBER($G11),$G11,$F11+$E11-$D11)),FALSE()),2,IF(AND(CJ$2&gt;=$D11,CJ$2&lt;=$E11),1,"")))</f>
        <v/>
      </c>
      <c r="CK11" s="55" t="str">
        <f aca="false">IF(OR(CK$2="",$D11=""),"",IF(IF(ISNUMBER($F11),AND(CK$2&gt;=$F11,CK$2&lt;=IF(ISNUMBER($G11),$G11,$F11+$E11-$D11)),FALSE()),2,IF(AND(CK$2&gt;=$D11,CK$2&lt;=$E11),1,"")))</f>
        <v/>
      </c>
      <c r="CL11" s="55" t="str">
        <f aca="false">IF(OR(CL$2="",$D11=""),"",IF(IF(ISNUMBER($F11),AND(CL$2&gt;=$F11,CL$2&lt;=IF(ISNUMBER($G11),$G11,$F11+$E11-$D11)),FALSE()),2,IF(AND(CL$2&gt;=$D11,CL$2&lt;=$E11),1,"")))</f>
        <v/>
      </c>
      <c r="CM11" s="55" t="str">
        <f aca="false">IF(OR(CM$2="",$D11=""),"",IF(IF(ISNUMBER($F11),AND(CM$2&gt;=$F11,CM$2&lt;=IF(ISNUMBER($G11),$G11,$F11+$E11-$D11)),FALSE()),2,IF(AND(CM$2&gt;=$D11,CM$2&lt;=$E11),1,"")))</f>
        <v/>
      </c>
      <c r="CN11" s="55" t="str">
        <f aca="false">IF(OR(CN$2="",$D11=""),"",IF(IF(ISNUMBER($F11),AND(CN$2&gt;=$F11,CN$2&lt;=IF(ISNUMBER($G11),$G11,$F11+$E11-$D11)),FALSE()),2,IF(AND(CN$2&gt;=$D11,CN$2&lt;=$E11),1,"")))</f>
        <v/>
      </c>
      <c r="CO11" s="55" t="str">
        <f aca="false">IF(OR(CO$2="",$D11=""),"",IF(IF(ISNUMBER($F11),AND(CO$2&gt;=$F11,CO$2&lt;=IF(ISNUMBER($G11),$G11,$F11+$E11-$D11)),FALSE()),2,IF(AND(CO$2&gt;=$D11,CO$2&lt;=$E11),1,"")))</f>
        <v/>
      </c>
      <c r="CP11" s="55" t="str">
        <f aca="false">IF(OR(CP$2="",$D11=""),"",IF(IF(ISNUMBER($F11),AND(CP$2&gt;=$F11,CP$2&lt;=IF(ISNUMBER($G11),$G11,$F11+$E11-$D11)),FALSE()),2,IF(AND(CP$2&gt;=$D11,CP$2&lt;=$E11),1,"")))</f>
        <v/>
      </c>
      <c r="CQ11" s="55" t="n">
        <f aca="false">IF(OR(CQ$2="",$D11=""),"",IF(IF(ISNUMBER($F11),AND(CQ$2&gt;=$F11,CQ$2&lt;=IF(ISNUMBER($G11),$G11,$F11+$E11-$D11)),FALSE()),2,IF(AND(CQ$2&gt;=$D11,CQ$2&lt;=$E11),1,"")))</f>
        <v>1</v>
      </c>
      <c r="CR11" s="55" t="n">
        <f aca="false">IF(OR(CR$2="",$D11=""),"",IF(IF(ISNUMBER($F11),AND(CR$2&gt;=$F11,CR$2&lt;=IF(ISNUMBER($G11),$G11,$F11+$E11-$D11)),FALSE()),2,IF(AND(CR$2&gt;=$D11,CR$2&lt;=$E11),1,"")))</f>
        <v>1</v>
      </c>
      <c r="CS11" s="55" t="n">
        <f aca="false">IF(OR(CS$2="",$D11=""),"",IF(IF(ISNUMBER($F11),AND(CS$2&gt;=$F11,CS$2&lt;=IF(ISNUMBER($G11),$G11,$F11+$E11-$D11)),FALSE()),2,IF(AND(CS$2&gt;=$D11,CS$2&lt;=$E11),1,"")))</f>
        <v>1</v>
      </c>
      <c r="CT11" s="55" t="n">
        <f aca="false">IF(OR(CT$2="",$D11=""),"",IF(IF(ISNUMBER($F11),AND(CT$2&gt;=$F11,CT$2&lt;=IF(ISNUMBER($G11),$G11,$F11+$E11-$D11)),FALSE()),2,IF(AND(CT$2&gt;=$D11,CT$2&lt;=$E11),1,"")))</f>
        <v>1</v>
      </c>
      <c r="CU11" s="55" t="str">
        <f aca="false">IF(OR(CU$2="",$D11=""),"",IF(IF(ISNUMBER($F11),AND(CU$2&gt;=$F11,CU$2&lt;=IF(ISNUMBER($G11),$G11,$F11+$E11-$D11)),FALSE()),2,IF(AND(CU$2&gt;=$D11,CU$2&lt;=$E11),1,"")))</f>
        <v/>
      </c>
      <c r="CV11" s="55" t="str">
        <f aca="false">IF(OR(CV$2="",$D11=""),"",IF(IF(ISNUMBER($F11),AND(CV$2&gt;=$F11,CV$2&lt;=IF(ISNUMBER($G11),$G11,$F11+$E11-$D11)),FALSE()),2,IF(AND(CV$2&gt;=$D11,CV$2&lt;=$E11),1,"")))</f>
        <v/>
      </c>
      <c r="CW11" s="55" t="str">
        <f aca="false">IF(OR(CW$2="",$D11=""),"",IF(IF(ISNUMBER($F11),AND(CW$2&gt;=$F11,CW$2&lt;=IF(ISNUMBER($G11),$G11,$F11+$E11-$D11)),FALSE()),2,IF(AND(CW$2&gt;=$D11,CW$2&lt;=$E11),1,"")))</f>
        <v/>
      </c>
      <c r="CX11" s="55" t="str">
        <f aca="false">IF(OR(CX$2="",$D11=""),"",IF(IF(ISNUMBER($F11),AND(CX$2&gt;=$F11,CX$2&lt;=IF(ISNUMBER($G11),$G11,$F11+$E11-$D11)),FALSE()),2,IF(AND(CX$2&gt;=$D11,CX$2&lt;=$E11),1,"")))</f>
        <v/>
      </c>
      <c r="CY11" s="55" t="str">
        <f aca="false">IF(OR(CY$2="",$D11=""),"",IF(IF(ISNUMBER($F11),AND(CY$2&gt;=$F11,CY$2&lt;=IF(ISNUMBER($G11),$G11,$F11+$E11-$D11)),FALSE()),2,IF(AND(CY$2&gt;=$D11,CY$2&lt;=$E11),1,"")))</f>
        <v/>
      </c>
      <c r="CZ11" s="55" t="str">
        <f aca="false">IF(OR(CZ$2="",$D11=""),"",IF(IF(ISNUMBER($F11),AND(CZ$2&gt;=$F11,CZ$2&lt;=IF(ISNUMBER($G11),$G11,$F11+$E11-$D11)),FALSE()),2,IF(AND(CZ$2&gt;=$D11,CZ$2&lt;=$E11),1,"")))</f>
        <v/>
      </c>
      <c r="DA11" s="55" t="str">
        <f aca="false">IF(OR(DA$2="",$D11=""),"",IF(IF(ISNUMBER($F11),AND(DA$2&gt;=$F11,DA$2&lt;=IF(ISNUMBER($G11),$G11,$F11+$E11-$D11)),FALSE()),2,IF(AND(DA$2&gt;=$D11,DA$2&lt;=$E11),1,"")))</f>
        <v/>
      </c>
      <c r="DB11" s="55" t="str">
        <f aca="false">IF(OR(DB$2="",$D11=""),"",IF(IF(ISNUMBER($F11),AND(DB$2&gt;=$F11,DB$2&lt;=IF(ISNUMBER($G11),$G11,$F11+$E11-$D11)),FALSE()),2,IF(AND(DB$2&gt;=$D11,DB$2&lt;=$E11),1,"")))</f>
        <v/>
      </c>
      <c r="DC11" s="55" t="str">
        <f aca="false">IF(OR(DC$2="",$D11=""),"",IF(IF(ISNUMBER($F11),AND(DC$2&gt;=$F11,DC$2&lt;=IF(ISNUMBER($G11),$G11,$F11+$E11-$D11)),FALSE()),2,IF(AND(DC$2&gt;=$D11,DC$2&lt;=$E11),1,"")))</f>
        <v/>
      </c>
      <c r="DD11" s="55" t="str">
        <f aca="false">IF(OR(DD$2="",$D11=""),"",IF(IF(ISNUMBER($F11),AND(DD$2&gt;=$F11,DD$2&lt;=IF(ISNUMBER($G11),$G11,$F11+$E11-$D11)),FALSE()),2,IF(AND(DD$2&gt;=$D11,DD$2&lt;=$E11),1,"")))</f>
        <v/>
      </c>
      <c r="DE11" s="55" t="str">
        <f aca="false">IF(OR(DE$2="",$D11=""),"",IF(IF(ISNUMBER($F11),AND(DE$2&gt;=$F11,DE$2&lt;=IF(ISNUMBER($G11),$G11,$F11+$E11-$D11)),FALSE()),2,IF(AND(DE$2&gt;=$D11,DE$2&lt;=$E11),1,"")))</f>
        <v/>
      </c>
      <c r="DF11" s="55" t="str">
        <f aca="false">IF(OR(DF$2="",$D11=""),"",IF(IF(ISNUMBER($F11),AND(DF$2&gt;=$F11,DF$2&lt;=IF(ISNUMBER($G11),$G11,$F11+$E11-$D11)),FALSE()),2,IF(AND(DF$2&gt;=$D11,DF$2&lt;=$E11),1,"")))</f>
        <v/>
      </c>
      <c r="DG11" s="55" t="str">
        <f aca="false">IF(OR(DG$2="",$D11=""),"",IF(IF(ISNUMBER($F11),AND(DG$2&gt;=$F11,DG$2&lt;=IF(ISNUMBER($G11),$G11,$F11+$E11-$D11)),FALSE()),2,IF(AND(DG$2&gt;=$D11,DG$2&lt;=$E11),1,"")))</f>
        <v/>
      </c>
      <c r="DH11" s="55" t="str">
        <f aca="false">IF(OR(DH$2="",$D11=""),"",IF(IF(ISNUMBER($F11),AND(DH$2&gt;=$F11,DH$2&lt;=IF(ISNUMBER($G11),$G11,$F11+$E11-$D11)),FALSE()),2,IF(AND(DH$2&gt;=$D11,DH$2&lt;=$E11),1,"")))</f>
        <v/>
      </c>
      <c r="DI11" s="55" t="str">
        <f aca="false">IF(OR(DI$2="",$D11=""),"",IF(IF(ISNUMBER($F11),AND(DI$2&gt;=$F11,DI$2&lt;=IF(ISNUMBER($G11),$G11,$F11+$E11-$D11)),FALSE()),2,IF(AND(DI$2&gt;=$D11,DI$2&lt;=$E11),1,"")))</f>
        <v/>
      </c>
      <c r="DJ11" s="55" t="str">
        <f aca="false">IF(OR(DJ$2="",$D11=""),"",IF(IF(ISNUMBER($F11),AND(DJ$2&gt;=$F11,DJ$2&lt;=IF(ISNUMBER($G11),$G11,$F11+$E11-$D11)),FALSE()),2,IF(AND(DJ$2&gt;=$D11,DJ$2&lt;=$E11),1,"")))</f>
        <v/>
      </c>
      <c r="DK11" s="55" t="str">
        <f aca="false">IF(OR(DK$2="",$D11=""),"",IF(IF(ISNUMBER($F11),AND(DK$2&gt;=$F11,DK$2&lt;=IF(ISNUMBER($G11),$G11,$F11+$E11-$D11)),FALSE()),2,IF(AND(DK$2&gt;=$D11,DK$2&lt;=$E11),1,"")))</f>
        <v/>
      </c>
      <c r="DL11" s="55" t="str">
        <f aca="false">IF(OR(DL$2="",$D11=""),"",IF(IF(ISNUMBER($F11),AND(DL$2&gt;=$F11,DL$2&lt;=IF(ISNUMBER($G11),$G11,$F11+$E11-$D11)),FALSE()),2,IF(AND(DL$2&gt;=$D11,DL$2&lt;=$E11),1,"")))</f>
        <v/>
      </c>
      <c r="DM11" s="55" t="str">
        <f aca="false">IF(OR(DM$2="",$D11=""),"",IF(IF(ISNUMBER($F11),AND(DM$2&gt;=$F11,DM$2&lt;=IF(ISNUMBER($G11),$G11,$F11+$E11-$D11)),FALSE()),2,IF(AND(DM$2&gt;=$D11,DM$2&lt;=$E11),1,"")))</f>
        <v/>
      </c>
      <c r="DN11" s="55" t="str">
        <f aca="false">IF(OR(DN$2="",$D11=""),"",IF(IF(ISNUMBER($F11),AND(DN$2&gt;=$F11,DN$2&lt;=IF(ISNUMBER($G11),$G11,$F11+$E11-$D11)),FALSE()),2,IF(AND(DN$2&gt;=$D11,DN$2&lt;=$E11),1,"")))</f>
        <v/>
      </c>
      <c r="DO11" s="55" t="str">
        <f aca="false">IF(OR(DO$2="",$D11=""),"",IF(IF(ISNUMBER($F11),AND(DO$2&gt;=$F11,DO$2&lt;=IF(ISNUMBER($G11),$G11,$F11+$E11-$D11)),FALSE()),2,IF(AND(DO$2&gt;=$D11,DO$2&lt;=$E11),1,"")))</f>
        <v/>
      </c>
      <c r="DP11" s="55" t="str">
        <f aca="false">IF(OR(DP$2="",$D11=""),"",IF(IF(ISNUMBER($F11),AND(DP$2&gt;=$F11,DP$2&lt;=IF(ISNUMBER($G11),$G11,$F11+$E11-$D11)),FALSE()),2,IF(AND(DP$2&gt;=$D11,DP$2&lt;=$E11),1,"")))</f>
        <v/>
      </c>
      <c r="DQ11" s="55" t="str">
        <f aca="false">IF(OR(DQ$2="",$D11=""),"",IF(IF(ISNUMBER($F11),AND(DQ$2&gt;=$F11,DQ$2&lt;=IF(ISNUMBER($G11),$G11,$F11+$E11-$D11)),FALSE()),2,IF(AND(DQ$2&gt;=$D11,DQ$2&lt;=$E11),1,"")))</f>
        <v/>
      </c>
      <c r="DR11" s="55" t="str">
        <f aca="false">IF(OR(DR$2="",$D11=""),"",IF(IF(ISNUMBER($F11),AND(DR$2&gt;=$F11,DR$2&lt;=IF(ISNUMBER($G11),$G11,$F11+$E11-$D11)),FALSE()),2,IF(AND(DR$2&gt;=$D11,DR$2&lt;=$E11),1,"")))</f>
        <v/>
      </c>
      <c r="DS11" s="55" t="str">
        <f aca="false">IF(OR(DS$2="",$D11=""),"",IF(IF(ISNUMBER($F11),AND(DS$2&gt;=$F11,DS$2&lt;=IF(ISNUMBER($G11),$G11,$F11+$E11-$D11)),FALSE()),2,IF(AND(DS$2&gt;=$D11,DS$2&lt;=$E11),1,"")))</f>
        <v/>
      </c>
      <c r="DT11" s="55" t="str">
        <f aca="false">IF(OR(DT$2="",$D11=""),"",IF(IF(ISNUMBER($F11),AND(DT$2&gt;=$F11,DT$2&lt;=IF(ISNUMBER($G11),$G11,$F11+$E11-$D11)),FALSE()),2,IF(AND(DT$2&gt;=$D11,DT$2&lt;=$E11),1,"")))</f>
        <v/>
      </c>
      <c r="DU11" s="55" t="str">
        <f aca="false">IF(OR(DU$2="",$D11=""),"",IF(IF(ISNUMBER($F11),AND(DU$2&gt;=$F11,DU$2&lt;=IF(ISNUMBER($G11),$G11,$F11+$E11-$D11)),FALSE()),2,IF(AND(DU$2&gt;=$D11,DU$2&lt;=$E11),1,"")))</f>
        <v/>
      </c>
      <c r="DV11" s="55" t="str">
        <f aca="false">IF(OR(DV$2="",$D11=""),"",IF(IF(ISNUMBER($F11),AND(DV$2&gt;=$F11,DV$2&lt;=IF(ISNUMBER($G11),$G11,$F11+$E11-$D11)),FALSE()),2,IF(AND(DV$2&gt;=$D11,DV$2&lt;=$E11),1,"")))</f>
        <v/>
      </c>
      <c r="DW11" s="55" t="str">
        <f aca="false">IF(OR(DW$2="",$D11=""),"",IF(IF(ISNUMBER($F11),AND(DW$2&gt;=$F11,DW$2&lt;=IF(ISNUMBER($G11),$G11,$F11+$E11-$D11)),FALSE()),2,IF(AND(DW$2&gt;=$D11,DW$2&lt;=$E11),1,"")))</f>
        <v/>
      </c>
      <c r="DX11" s="55" t="str">
        <f aca="false">IF(OR(DX$2="",$D11=""),"",IF(IF(ISNUMBER($F11),AND(DX$2&gt;=$F11,DX$2&lt;=IF(ISNUMBER($G11),$G11,$F11+$E11-$D11)),FALSE()),2,IF(AND(DX$2&gt;=$D11,DX$2&lt;=$E11),1,"")))</f>
        <v/>
      </c>
      <c r="DY11" s="55" t="str">
        <f aca="false">IF(OR(DY$2="",$D11=""),"",IF(IF(ISNUMBER($F11),AND(DY$2&gt;=$F11,DY$2&lt;=IF(ISNUMBER($G11),$G11,$F11+$E11-$D11)),FALSE()),2,IF(AND(DY$2&gt;=$D11,DY$2&lt;=$E11),1,"")))</f>
        <v/>
      </c>
      <c r="DZ11" s="55" t="str">
        <f aca="false">IF(OR(DZ$2="",$D11=""),"",IF(IF(ISNUMBER($F11),AND(DZ$2&gt;=$F11,DZ$2&lt;=IF(ISNUMBER($G11),$G11,$F11+$E11-$D11)),FALSE()),2,IF(AND(DZ$2&gt;=$D11,DZ$2&lt;=$E11),1,"")))</f>
        <v/>
      </c>
      <c r="EA11" s="55" t="str">
        <f aca="false">IF(OR(EA$2="",$D11=""),"",IF(IF(ISNUMBER($F11),AND(EA$2&gt;=$F11,EA$2&lt;=IF(ISNUMBER($G11),$G11,$F11+$E11-$D11)),FALSE()),2,IF(AND(EA$2&gt;=$D11,EA$2&lt;=$E11),1,"")))</f>
        <v/>
      </c>
      <c r="EB11" s="55" t="str">
        <f aca="false">IF(OR(EB$2="",$D11=""),"",IF(IF(ISNUMBER($F11),AND(EB$2&gt;=$F11,EB$2&lt;=IF(ISNUMBER($G11),$G11,$F11+$E11-$D11)),FALSE()),2,IF(AND(EB$2&gt;=$D11,EB$2&lt;=$E11),1,"")))</f>
        <v/>
      </c>
      <c r="EC11" s="55" t="str">
        <f aca="false">IF(OR(EC$2="",$D11=""),"",IF(IF(ISNUMBER($F11),AND(EC$2&gt;=$F11,EC$2&lt;=IF(ISNUMBER($G11),$G11,$F11+$E11-$D11)),FALSE()),2,IF(AND(EC$2&gt;=$D11,EC$2&lt;=$E11),1,"")))</f>
        <v/>
      </c>
      <c r="ED11" s="55" t="str">
        <f aca="false">IF(OR(ED$2="",$D11=""),"",IF(IF(ISNUMBER($F11),AND(ED$2&gt;=$F11,ED$2&lt;=IF(ISNUMBER($G11),$G11,$F11+$E11-$D11)),FALSE()),2,IF(AND(ED$2&gt;=$D11,ED$2&lt;=$E11),1,"")))</f>
        <v/>
      </c>
      <c r="EE11" s="55" t="str">
        <f aca="false">IF(OR(EE$2="",$D11=""),"",IF(IF(ISNUMBER($F11),AND(EE$2&gt;=$F11,EE$2&lt;=IF(ISNUMBER($G11),$G11,$F11+$E11-$D11)),FALSE()),2,IF(AND(EE$2&gt;=$D11,EE$2&lt;=$E11),1,"")))</f>
        <v/>
      </c>
      <c r="EF11" s="55" t="str">
        <f aca="false">IF(OR(EF$2="",$D11=""),"",IF(IF(ISNUMBER($F11),AND(EF$2&gt;=$F11,EF$2&lt;=IF(ISNUMBER($G11),$G11,$F11+$E11-$D11)),FALSE()),2,IF(AND(EF$2&gt;=$D11,EF$2&lt;=$E11),1,"")))</f>
        <v/>
      </c>
      <c r="EG11" s="55" t="str">
        <f aca="false">IF(OR(EG$2="",$D11=""),"",IF(IF(ISNUMBER($F11),AND(EG$2&gt;=$F11,EG$2&lt;=IF(ISNUMBER($G11),$G11,$F11+$E11-$D11)),FALSE()),2,IF(AND(EG$2&gt;=$D11,EG$2&lt;=$E11),1,"")))</f>
        <v/>
      </c>
      <c r="EH11" s="55" t="str">
        <f aca="false">IF(OR(EH$2="",$D11=""),"",IF(IF(ISNUMBER($F11),AND(EH$2&gt;=$F11,EH$2&lt;=IF(ISNUMBER($G11),$G11,$F11+$E11-$D11)),FALSE()),2,IF(AND(EH$2&gt;=$D11,EH$2&lt;=$E11),1,"")))</f>
        <v/>
      </c>
      <c r="EI11" s="55" t="str">
        <f aca="false">IF(OR(EI$2="",$D11=""),"",IF(IF(ISNUMBER($F11),AND(EI$2&gt;=$F11,EI$2&lt;=IF(ISNUMBER($G11),$G11,$F11+$E11-$D11)),FALSE()),2,IF(AND(EI$2&gt;=$D11,EI$2&lt;=$E11),1,"")))</f>
        <v/>
      </c>
      <c r="EJ11" s="55" t="str">
        <f aca="false">IF(OR(EJ$2="",$D11=""),"",IF(IF(ISNUMBER($F11),AND(EJ$2&gt;=$F11,EJ$2&lt;=IF(ISNUMBER($G11),$G11,$F11+$E11-$D11)),FALSE()),2,IF(AND(EJ$2&gt;=$D11,EJ$2&lt;=$E11),1,"")))</f>
        <v/>
      </c>
      <c r="EK11" s="55" t="str">
        <f aca="false">IF(OR(EK$2="",$D11=""),"",IF(IF(ISNUMBER($F11),AND(EK$2&gt;=$F11,EK$2&lt;=IF(ISNUMBER($G11),$G11,$F11+$E11-$D11)),FALSE()),2,IF(AND(EK$2&gt;=$D11,EK$2&lt;=$E11),1,"")))</f>
        <v/>
      </c>
      <c r="EL11" s="55" t="str">
        <f aca="false">IF(OR(EL$2="",$D11=""),"",IF(IF(ISNUMBER($F11),AND(EL$2&gt;=$F11,EL$2&lt;=IF(ISNUMBER($G11),$G11,$F11+$E11-$D11)),FALSE()),2,IF(AND(EL$2&gt;=$D11,EL$2&lt;=$E11),1,"")))</f>
        <v/>
      </c>
      <c r="EM11" s="55" t="str">
        <f aca="false">IF(OR(EM$2="",$D11=""),"",IF(IF(ISNUMBER($F11),AND(EM$2&gt;=$F11,EM$2&lt;=IF(ISNUMBER($G11),$G11,$F11+$E11-$D11)),FALSE()),2,IF(AND(EM$2&gt;=$D11,EM$2&lt;=$E11),1,"")))</f>
        <v/>
      </c>
      <c r="EN11" s="55" t="str">
        <f aca="false">IF(OR(EN$2="",$D11=""),"",IF(IF(ISNUMBER($F11),AND(EN$2&gt;=$F11,EN$2&lt;=IF(ISNUMBER($G11),$G11,$F11+$E11-$D11)),FALSE()),2,IF(AND(EN$2&gt;=$D11,EN$2&lt;=$E11),1,"")))</f>
        <v/>
      </c>
      <c r="EO11" s="55" t="str">
        <f aca="false">IF(OR(EO$2="",$D11=""),"",IF(IF(ISNUMBER($F11),AND(EO$2&gt;=$F11,EO$2&lt;=IF(ISNUMBER($G11),$G11,$F11+$E11-$D11)),FALSE()),2,IF(AND(EO$2&gt;=$D11,EO$2&lt;=$E11),1,"")))</f>
        <v/>
      </c>
      <c r="EP11" s="55" t="str">
        <f aca="false">IF(OR(EP$2="",$D11=""),"",IF(IF(ISNUMBER($F11),AND(EP$2&gt;=$F11,EP$2&lt;=IF(ISNUMBER($G11),$G11,$F11+$E11-$D11)),FALSE()),2,IF(AND(EP$2&gt;=$D11,EP$2&lt;=$E11),1,"")))</f>
        <v/>
      </c>
      <c r="EQ11" s="55" t="str">
        <f aca="false">IF(OR(EQ$2="",$D11=""),"",IF(IF(ISNUMBER($F11),AND(EQ$2&gt;=$F11,EQ$2&lt;=IF(ISNUMBER($G11),$G11,$F11+$E11-$D11)),FALSE()),2,IF(AND(EQ$2&gt;=$D11,EQ$2&lt;=$E11),1,"")))</f>
        <v/>
      </c>
      <c r="ER11" s="55" t="str">
        <f aca="false">IF(OR(ER$2="",$D11=""),"",IF(IF(ISNUMBER($F11),AND(ER$2&gt;=$F11,ER$2&lt;=IF(ISNUMBER($G11),$G11,$F11+$E11-$D11)),FALSE()),2,IF(AND(ER$2&gt;=$D11,ER$2&lt;=$E11),1,"")))</f>
        <v/>
      </c>
      <c r="ES11" s="55" t="str">
        <f aca="false">IF(OR(ES$2="",$D11=""),"",IF(IF(ISNUMBER($F11),AND(ES$2&gt;=$F11,ES$2&lt;=IF(ISNUMBER($G11),$G11,$F11+$E11-$D11)),FALSE()),2,IF(AND(ES$2&gt;=$D11,ES$2&lt;=$E11),1,"")))</f>
        <v/>
      </c>
      <c r="ET11" s="55" t="str">
        <f aca="false">IF(OR(ET$2="",$D11=""),"",IF(IF(ISNUMBER($F11),AND(ET$2&gt;=$F11,ET$2&lt;=IF(ISNUMBER($G11),$G11,$F11+$E11-$D11)),FALSE()),2,IF(AND(ET$2&gt;=$D11,ET$2&lt;=$E11),1,"")))</f>
        <v/>
      </c>
      <c r="EU11" s="55" t="str">
        <f aca="false">IF(OR(EU$2="",$D11=""),"",IF(IF(ISNUMBER($F11),AND(EU$2&gt;=$F11,EU$2&lt;=IF(ISNUMBER($G11),$G11,$F11+$E11-$D11)),FALSE()),2,IF(AND(EU$2&gt;=$D11,EU$2&lt;=$E11),1,"")))</f>
        <v/>
      </c>
      <c r="EV11" s="55" t="str">
        <f aca="false">IF(OR(EV$2="",$D11=""),"",IF(IF(ISNUMBER($F11),AND(EV$2&gt;=$F11,EV$2&lt;=IF(ISNUMBER($G11),$G11,$F11+$E11-$D11)),FALSE()),2,IF(AND(EV$2&gt;=$D11,EV$2&lt;=$E11),1,"")))</f>
        <v/>
      </c>
      <c r="EW11" s="55" t="str">
        <f aca="false">IF(OR(EW$2="",$D11=""),"",IF(IF(ISNUMBER($F11),AND(EW$2&gt;=$F11,EW$2&lt;=IF(ISNUMBER($G11),$G11,$F11+$E11-$D11)),FALSE()),2,IF(AND(EW$2&gt;=$D11,EW$2&lt;=$E11),1,"")))</f>
        <v/>
      </c>
      <c r="EX11" s="55" t="str">
        <f aca="false">IF(OR(EX$2="",$D11=""),"",IF(IF(ISNUMBER($F11),AND(EX$2&gt;=$F11,EX$2&lt;=IF(ISNUMBER($G11),$G11,$F11+$E11-$D11)),FALSE()),2,IF(AND(EX$2&gt;=$D11,EX$2&lt;=$E11),1,"")))</f>
        <v/>
      </c>
      <c r="EY11" s="55" t="str">
        <f aca="false">IF(OR(EY$2="",$D11=""),"",IF(IF(ISNUMBER($F11),AND(EY$2&gt;=$F11,EY$2&lt;=IF(ISNUMBER($G11),$G11,$F11+$E11-$D11)),FALSE()),2,IF(AND(EY$2&gt;=$D11,EY$2&lt;=$E11),1,"")))</f>
        <v/>
      </c>
      <c r="EZ11" s="55" t="str">
        <f aca="false">IF(OR(EZ$2="",$D11=""),"",IF(IF(ISNUMBER($F11),AND(EZ$2&gt;=$F11,EZ$2&lt;=IF(ISNUMBER($G11),$G11,$F11+$E11-$D11)),FALSE()),2,IF(AND(EZ$2&gt;=$D11,EZ$2&lt;=$E11),1,"")))</f>
        <v/>
      </c>
      <c r="FA11" s="55" t="str">
        <f aca="false">IF(OR(FA$2="",$D11=""),"",IF(IF(ISNUMBER($F11),AND(FA$2&gt;=$F11,FA$2&lt;=IF(ISNUMBER($G11),$G11,$F11+$E11-$D11)),FALSE()),2,IF(AND(FA$2&gt;=$D11,FA$2&lt;=$E11),1,"")))</f>
        <v/>
      </c>
      <c r="FB11" s="55" t="str">
        <f aca="false">IF(OR(FB$2="",$D11=""),"",IF(IF(ISNUMBER($F11),AND(FB$2&gt;=$F11,FB$2&lt;=IF(ISNUMBER($G11),$G11,$F11+$E11-$D11)),FALSE()),2,IF(AND(FB$2&gt;=$D11,FB$2&lt;=$E11),1,"")))</f>
        <v/>
      </c>
      <c r="FC11" s="55" t="str">
        <f aca="false">IF(OR(FC$2="",$D11=""),"",IF(IF(ISNUMBER($F11),AND(FC$2&gt;=$F11,FC$2&lt;=IF(ISNUMBER($G11),$G11,$F11+$E11-$D11)),FALSE()),2,IF(AND(FC$2&gt;=$D11,FC$2&lt;=$E11),1,"")))</f>
        <v/>
      </c>
      <c r="FD11" s="55" t="str">
        <f aca="false">IF(OR(FD$2="",$D11=""),"",IF(IF(ISNUMBER($F11),AND(FD$2&gt;=$F11,FD$2&lt;=IF(ISNUMBER($G11),$G11,$F11+$E11-$D11)),FALSE()),2,IF(AND(FD$2&gt;=$D11,FD$2&lt;=$E11),1,"")))</f>
        <v/>
      </c>
      <c r="FE11" s="55" t="str">
        <f aca="false">IF(OR(FE$2="",$D11=""),"",IF(IF(ISNUMBER($F11),AND(FE$2&gt;=$F11,FE$2&lt;=IF(ISNUMBER($G11),$G11,$F11+$E11-$D11)),FALSE()),2,IF(AND(FE$2&gt;=$D11,FE$2&lt;=$E11),1,"")))</f>
        <v/>
      </c>
      <c r="FF11" s="55" t="str">
        <f aca="false">IF(OR(FF$2="",$D11=""),"",IF(IF(ISNUMBER($F11),AND(FF$2&gt;=$F11,FF$2&lt;=IF(ISNUMBER($G11),$G11,$F11+$E11-$D11)),FALSE()),2,IF(AND(FF$2&gt;=$D11,FF$2&lt;=$E11),1,"")))</f>
        <v/>
      </c>
      <c r="FG11" s="55" t="str">
        <f aca="false">IF(OR(FG$2="",$D11=""),"",IF(IF(ISNUMBER($F11),AND(FG$2&gt;=$F11,FG$2&lt;=IF(ISNUMBER($G11),$G11,$F11+$E11-$D11)),FALSE()),2,IF(AND(FG$2&gt;=$D11,FG$2&lt;=$E11),1,"")))</f>
        <v/>
      </c>
      <c r="FH11" s="55" t="str">
        <f aca="false">IF(OR(FH$2="",$D11=""),"",IF(IF(ISNUMBER($F11),AND(FH$2&gt;=$F11,FH$2&lt;=IF(ISNUMBER($G11),$G11,$F11+$E11-$D11)),FALSE()),2,IF(AND(FH$2&gt;=$D11,FH$2&lt;=$E11),1,"")))</f>
        <v/>
      </c>
      <c r="FI11" s="55" t="str">
        <f aca="false">IF(OR(FI$2="",$D11=""),"",IF(IF(ISNUMBER($F11),AND(FI$2&gt;=$F11,FI$2&lt;=IF(ISNUMBER($G11),$G11,$F11+$E11-$D11)),FALSE()),2,IF(AND(FI$2&gt;=$D11,FI$2&lt;=$E11),1,"")))</f>
        <v/>
      </c>
      <c r="FJ11" s="55" t="str">
        <f aca="false">IF(OR(FJ$2="",$D11=""),"",IF(IF(ISNUMBER($F11),AND(FJ$2&gt;=$F11,FJ$2&lt;=IF(ISNUMBER($G11),$G11,$F11+$E11-$D11)),FALSE()),2,IF(AND(FJ$2&gt;=$D11,FJ$2&lt;=$E11),1,"")))</f>
        <v/>
      </c>
      <c r="FK11" s="55" t="str">
        <f aca="false">IF(OR(FK$2="",$D11=""),"",IF(IF(ISNUMBER($F11),AND(FK$2&gt;=$F11,FK$2&lt;=IF(ISNUMBER($G11),$G11,$F11+$E11-$D11)),FALSE()),2,IF(AND(FK$2&gt;=$D11,FK$2&lt;=$E11),1,"")))</f>
        <v/>
      </c>
      <c r="FL11" s="55" t="str">
        <f aca="false">IF(OR(FL$2="",$D11=""),"",IF(IF(ISNUMBER($F11),AND(FL$2&gt;=$F11,FL$2&lt;=IF(ISNUMBER($G11),$G11,$F11+$E11-$D11)),FALSE()),2,IF(AND(FL$2&gt;=$D11,FL$2&lt;=$E11),1,"")))</f>
        <v/>
      </c>
      <c r="FM11" s="55" t="str">
        <f aca="false">IF(OR(FM$2="",$D11=""),"",IF(IF(ISNUMBER($F11),AND(FM$2&gt;=$F11,FM$2&lt;=IF(ISNUMBER($G11),$G11,$F11+$E11-$D11)),FALSE()),2,IF(AND(FM$2&gt;=$D11,FM$2&lt;=$E11),1,"")))</f>
        <v/>
      </c>
      <c r="FN11" s="55" t="str">
        <f aca="false">IF(OR(FN$2="",$D11=""),"",IF(IF(ISNUMBER($F11),AND(FN$2&gt;=$F11,FN$2&lt;=IF(ISNUMBER($G11),$G11,$F11+$E11-$D11)),FALSE()),2,IF(AND(FN$2&gt;=$D11,FN$2&lt;=$E11),1,"")))</f>
        <v/>
      </c>
      <c r="FO11" s="55" t="str">
        <f aca="false">IF(OR(FO$2="",$D11=""),"",IF(IF(ISNUMBER($F11),AND(FO$2&gt;=$F11,FO$2&lt;=IF(ISNUMBER($G11),$G11,$F11+$E11-$D11)),FALSE()),2,IF(AND(FO$2&gt;=$D11,FO$2&lt;=$E11),1,"")))</f>
        <v/>
      </c>
      <c r="FP11" s="55" t="str">
        <f aca="false">IF(OR(FP$2="",$D11=""),"",IF(IF(ISNUMBER($F11),AND(FP$2&gt;=$F11,FP$2&lt;=IF(ISNUMBER($G11),$G11,$F11+$E11-$D11)),FALSE()),2,IF(AND(FP$2&gt;=$D11,FP$2&lt;=$E11),1,"")))</f>
        <v/>
      </c>
      <c r="FQ11" s="55" t="str">
        <f aca="false">IF(OR(FQ$2="",$D11=""),"",IF(IF(ISNUMBER($F11),AND(FQ$2&gt;=$F11,FQ$2&lt;=IF(ISNUMBER($G11),$G11,$F11+$E11-$D11)),FALSE()),2,IF(AND(FQ$2&gt;=$D11,FQ$2&lt;=$E11),1,"")))</f>
        <v/>
      </c>
      <c r="FR11" s="55" t="str">
        <f aca="false">IF(OR(FR$2="",$D11=""),"",IF(IF(ISNUMBER($F11),AND(FR$2&gt;=$F11,FR$2&lt;=IF(ISNUMBER($G11),$G11,$F11+$E11-$D11)),FALSE()),2,IF(AND(FR$2&gt;=$D11,FR$2&lt;=$E11),1,"")))</f>
        <v/>
      </c>
      <c r="FS11" s="55" t="str">
        <f aca="false">IF(OR(FS$2="",$D11=""),"",IF(IF(ISNUMBER($F11),AND(FS$2&gt;=$F11,FS$2&lt;=IF(ISNUMBER($G11),$G11,$F11+$E11-$D11)),FALSE()),2,IF(AND(FS$2&gt;=$D11,FS$2&lt;=$E11),1,"")))</f>
        <v/>
      </c>
      <c r="FT11" s="55" t="str">
        <f aca="false">IF(OR(FT$2="",$D11=""),"",IF(IF(ISNUMBER($F11),AND(FT$2&gt;=$F11,FT$2&lt;=IF(ISNUMBER($G11),$G11,$F11+$E11-$D11)),FALSE()),2,IF(AND(FT$2&gt;=$D11,FT$2&lt;=$E11),1,"")))</f>
        <v/>
      </c>
      <c r="FU11" s="55" t="str">
        <f aca="false">IF(OR(FU$2="",$D11=""),"",IF(IF(ISNUMBER($F11),AND(FU$2&gt;=$F11,FU$2&lt;=IF(ISNUMBER($G11),$G11,$F11+$E11-$D11)),FALSE()),2,IF(AND(FU$2&gt;=$D11,FU$2&lt;=$E11),1,"")))</f>
        <v/>
      </c>
      <c r="FV11" s="55" t="str">
        <f aca="false">IF(OR(FV$2="",$D11=""),"",IF(IF(ISNUMBER($F11),AND(FV$2&gt;=$F11,FV$2&lt;=IF(ISNUMBER($G11),$G11,$F11+$E11-$D11)),FALSE()),2,IF(AND(FV$2&gt;=$D11,FV$2&lt;=$E11),1,"")))</f>
        <v/>
      </c>
      <c r="FW11" s="55" t="str">
        <f aca="false">IF(OR(FW$2="",$D11=""),"",IF(IF(ISNUMBER($F11),AND(FW$2&gt;=$F11,FW$2&lt;=IF(ISNUMBER($G11),$G11,$F11+$E11-$D11)),FALSE()),2,IF(AND(FW$2&gt;=$D11,FW$2&lt;=$E11),1,"")))</f>
        <v/>
      </c>
      <c r="FX11" s="55" t="str">
        <f aca="false">IF(OR(FX$2="",$D11=""),"",IF(IF(ISNUMBER($F11),AND(FX$2&gt;=$F11,FX$2&lt;=IF(ISNUMBER($G11),$G11,$F11+$E11-$D11)),FALSE()),2,IF(AND(FX$2&gt;=$D11,FX$2&lt;=$E11),1,"")))</f>
        <v/>
      </c>
      <c r="FY11" s="55" t="str">
        <f aca="false">IF(OR(FY$2="",$D11=""),"",IF(IF(ISNUMBER($F11),AND(FY$2&gt;=$F11,FY$2&lt;=IF(ISNUMBER($G11),$G11,$F11+$E11-$D11)),FALSE()),2,IF(AND(FY$2&gt;=$D11,FY$2&lt;=$E11),1,"")))</f>
        <v/>
      </c>
      <c r="FZ11" s="55" t="str">
        <f aca="false">IF(OR(FZ$2="",$D11=""),"",IF(IF(ISNUMBER($F11),AND(FZ$2&gt;=$F11,FZ$2&lt;=IF(ISNUMBER($G11),$G11,$F11+$E11-$D11)),FALSE()),2,IF(AND(FZ$2&gt;=$D11,FZ$2&lt;=$E11),1,"")))</f>
        <v/>
      </c>
      <c r="GA11" s="55" t="str">
        <f aca="false">IF(OR(GA$2="",$D11=""),"",IF(IF(ISNUMBER($F11),AND(GA$2&gt;=$F11,GA$2&lt;=IF(ISNUMBER($G11),$G11,$F11+$E11-$D11)),FALSE()),2,IF(AND(GA$2&gt;=$D11,GA$2&lt;=$E11),1,"")))</f>
        <v/>
      </c>
      <c r="GB11" s="55" t="str">
        <f aca="false">IF(OR(GB$2="",$D11=""),"",IF(IF(ISNUMBER($F11),AND(GB$2&gt;=$F11,GB$2&lt;=IF(ISNUMBER($G11),$G11,$F11+$E11-$D11)),FALSE()),2,IF(AND(GB$2&gt;=$D11,GB$2&lt;=$E11),1,"")))</f>
        <v/>
      </c>
      <c r="GC11" s="55" t="str">
        <f aca="false">IF(OR(GC$2="",$D11=""),"",IF(IF(ISNUMBER($F11),AND(GC$2&gt;=$F11,GC$2&lt;=IF(ISNUMBER($G11),$G11,$F11+$E11-$D11)),FALSE()),2,IF(AND(GC$2&gt;=$D11,GC$2&lt;=$E11),1,"")))</f>
        <v/>
      </c>
      <c r="GD11" s="55" t="str">
        <f aca="false">IF(OR(GD$2="",$D11=""),"",IF(IF(ISNUMBER($F11),AND(GD$2&gt;=$F11,GD$2&lt;=IF(ISNUMBER($G11),$G11,$F11+$E11-$D11)),FALSE()),2,IF(AND(GD$2&gt;=$D11,GD$2&lt;=$E11),1,"")))</f>
        <v/>
      </c>
      <c r="GE11" s="55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false" outlineLevel="0" collapsed="false">
      <c r="A12" s="54" t="s">
        <v>371</v>
      </c>
      <c r="B12" s="21" t="s">
        <v>372</v>
      </c>
      <c r="C12" s="21" t="s">
        <v>83</v>
      </c>
      <c r="D12" s="51" t="n">
        <f aca="false">IF(Day_0="","",Day_0+cfg_3-cfg_12)</f>
        <v>46065</v>
      </c>
      <c r="E12" s="51" t="n">
        <f aca="false">IF(D12="","",D12)</f>
        <v>46065</v>
      </c>
      <c r="F12" s="51" t="str">
        <f aca="false">IF(_xlfn.MINIFS(2_Daily_input!$D$1:$FQ$1,2_Daily_input!$D$71:$FQ$71,"Last irrigation for starting MD")+_xlfn.MINIFS(2_Daily_input!$D$1:$FQ$1,2_Daily_input!$D$72:$FQ$72,"Last irrigation for starting MD")=0,"",IF(_xlfn.MINIFS(2_Daily_input!$D$1:$FQ$1,2_Daily_input!$D$71:$FQ$71,"Last irrigation for starting MD")=0,_xlfn.MINIFS(2_Daily_input!$D$1:$FQ$1,2_Daily_input!$D$72:$FQ$72,"Last irrigation for starting MD"),IF(_xlfn.MINIFS(2_Daily_input!$D$1:$FQ$1,2_Daily_input!$D$72:$FQ$72,"Last irrigation for starting MD")=0,_xlfn.MINIFS(2_Daily_input!$D$1:$FQ$1,2_Daily_input!$D$71:$FQ$71,"Last irrigation for starting MD"),MIN(_xlfn.MINIFS(2_Daily_input!$D$1:$FQ$1,2_Daily_input!$D$71:$FQ$71,"Last irrigation for starting MD"),_xlfn.MINIFS(2_Daily_input!$D$1:$FQ$1,2_Daily_input!$D$72:$FQ$72,"Last irrigation for starting MD")))))</f>
        <v/>
      </c>
      <c r="G12" s="51" t="str">
        <f aca="false">""</f>
        <v/>
      </c>
      <c r="H12" s="50" t="str">
        <f aca="true">IF(D12="","no plan",IF(F12&lt;&gt;"",IF(F12-D12&gt;=2,"LATE","OK"),IF(TODAY()&gt;D12+2,"OVERDUE","upcoming")))</f>
        <v>OVERDUE</v>
      </c>
      <c r="I12" s="50" t="str">
        <f aca="false">IF(AND(D12&lt;&gt;"",F12&lt;&gt;""),F12-D12,"")</f>
        <v/>
      </c>
      <c r="J12" s="51" t="n">
        <f aca="false">IF(F12&lt;&gt;"",F12,D12)</f>
        <v>46065</v>
      </c>
      <c r="K12" s="51" t="n">
        <f aca="false">IF(G12&lt;&gt;"",G12,IF(AND(F12&lt;&gt;"",E12=D12),F12,E12))</f>
        <v>46065</v>
      </c>
      <c r="L12" s="50" t="str">
        <f aca="true">IF(AND(D12&lt;&gt;"",F12="",D12&gt;=TODAY()),D12+ROW()/1000,"")</f>
        <v/>
      </c>
      <c r="M12" s="55" t="str">
        <f aca="false">IF(OR(M$2="",$D12=""),"",IF(IF(ISNUMBER($F12),AND(M$2&gt;=$F12,M$2&lt;=IF(ISNUMBER($G12),$G12,$F12+$E12-$D12)),FALSE()),2,IF(AND(M$2&gt;=$D12,M$2&lt;=$E12),1,"")))</f>
        <v/>
      </c>
      <c r="N12" s="55" t="str">
        <f aca="false">IF(OR(N$2="",$D12=""),"",IF(IF(ISNUMBER($F12),AND(N$2&gt;=$F12,N$2&lt;=IF(ISNUMBER($G12),$G12,$F12+$E12-$D12)),FALSE()),2,IF(AND(N$2&gt;=$D12,N$2&lt;=$E12),1,"")))</f>
        <v/>
      </c>
      <c r="O12" s="55" t="str">
        <f aca="false">IF(OR(O$2="",$D12=""),"",IF(IF(ISNUMBER($F12),AND(O$2&gt;=$F12,O$2&lt;=IF(ISNUMBER($G12),$G12,$F12+$E12-$D12)),FALSE()),2,IF(AND(O$2&gt;=$D12,O$2&lt;=$E12),1,"")))</f>
        <v/>
      </c>
      <c r="P12" s="55" t="str">
        <f aca="false">IF(OR(P$2="",$D12=""),"",IF(IF(ISNUMBER($F12),AND(P$2&gt;=$F12,P$2&lt;=IF(ISNUMBER($G12),$G12,$F12+$E12-$D12)),FALSE()),2,IF(AND(P$2&gt;=$D12,P$2&lt;=$E12),1,"")))</f>
        <v/>
      </c>
      <c r="Q12" s="55" t="str">
        <f aca="false">IF(OR(Q$2="",$D12=""),"",IF(IF(ISNUMBER($F12),AND(Q$2&gt;=$F12,Q$2&lt;=IF(ISNUMBER($G12),$G12,$F12+$E12-$D12)),FALSE()),2,IF(AND(Q$2&gt;=$D12,Q$2&lt;=$E12),1,"")))</f>
        <v/>
      </c>
      <c r="R12" s="55" t="str">
        <f aca="false">IF(OR(R$2="",$D12=""),"",IF(IF(ISNUMBER($F12),AND(R$2&gt;=$F12,R$2&lt;=IF(ISNUMBER($G12),$G12,$F12+$E12-$D12)),FALSE()),2,IF(AND(R$2&gt;=$D12,R$2&lt;=$E12),1,"")))</f>
        <v/>
      </c>
      <c r="S12" s="55" t="str">
        <f aca="false">IF(OR(S$2="",$D12=""),"",IF(IF(ISNUMBER($F12),AND(S$2&gt;=$F12,S$2&lt;=IF(ISNUMBER($G12),$G12,$F12+$E12-$D12)),FALSE()),2,IF(AND(S$2&gt;=$D12,S$2&lt;=$E12),1,"")))</f>
        <v/>
      </c>
      <c r="T12" s="55" t="str">
        <f aca="false">IF(OR(T$2="",$D12=""),"",IF(IF(ISNUMBER($F12),AND(T$2&gt;=$F12,T$2&lt;=IF(ISNUMBER($G12),$G12,$F12+$E12-$D12)),FALSE()),2,IF(AND(T$2&gt;=$D12,T$2&lt;=$E12),1,"")))</f>
        <v/>
      </c>
      <c r="U12" s="55" t="str">
        <f aca="false">IF(OR(U$2="",$D12=""),"",IF(IF(ISNUMBER($F12),AND(U$2&gt;=$F12,U$2&lt;=IF(ISNUMBER($G12),$G12,$F12+$E12-$D12)),FALSE()),2,IF(AND(U$2&gt;=$D12,U$2&lt;=$E12),1,"")))</f>
        <v/>
      </c>
      <c r="V12" s="55" t="str">
        <f aca="false">IF(OR(V$2="",$D12=""),"",IF(IF(ISNUMBER($F12),AND(V$2&gt;=$F12,V$2&lt;=IF(ISNUMBER($G12),$G12,$F12+$E12-$D12)),FALSE()),2,IF(AND(V$2&gt;=$D12,V$2&lt;=$E12),1,"")))</f>
        <v/>
      </c>
      <c r="W12" s="55" t="str">
        <f aca="false">IF(OR(W$2="",$D12=""),"",IF(IF(ISNUMBER($F12),AND(W$2&gt;=$F12,W$2&lt;=IF(ISNUMBER($G12),$G12,$F12+$E12-$D12)),FALSE()),2,IF(AND(W$2&gt;=$D12,W$2&lt;=$E12),1,"")))</f>
        <v/>
      </c>
      <c r="X12" s="55" t="str">
        <f aca="false">IF(OR(X$2="",$D12=""),"",IF(IF(ISNUMBER($F12),AND(X$2&gt;=$F12,X$2&lt;=IF(ISNUMBER($G12),$G12,$F12+$E12-$D12)),FALSE()),2,IF(AND(X$2&gt;=$D12,X$2&lt;=$E12),1,"")))</f>
        <v/>
      </c>
      <c r="Y12" s="55" t="str">
        <f aca="false">IF(OR(Y$2="",$D12=""),"",IF(IF(ISNUMBER($F12),AND(Y$2&gt;=$F12,Y$2&lt;=IF(ISNUMBER($G12),$G12,$F12+$E12-$D12)),FALSE()),2,IF(AND(Y$2&gt;=$D12,Y$2&lt;=$E12),1,"")))</f>
        <v/>
      </c>
      <c r="Z12" s="55" t="str">
        <f aca="false">IF(OR(Z$2="",$D12=""),"",IF(IF(ISNUMBER($F12),AND(Z$2&gt;=$F12,Z$2&lt;=IF(ISNUMBER($G12),$G12,$F12+$E12-$D12)),FALSE()),2,IF(AND(Z$2&gt;=$D12,Z$2&lt;=$E12),1,"")))</f>
        <v/>
      </c>
      <c r="AA12" s="55" t="str">
        <f aca="false">IF(OR(AA$2="",$D12=""),"",IF(IF(ISNUMBER($F12),AND(AA$2&gt;=$F12,AA$2&lt;=IF(ISNUMBER($G12),$G12,$F12+$E12-$D12)),FALSE()),2,IF(AND(AA$2&gt;=$D12,AA$2&lt;=$E12),1,"")))</f>
        <v/>
      </c>
      <c r="AB12" s="55" t="str">
        <f aca="false">IF(OR(AB$2="",$D12=""),"",IF(IF(ISNUMBER($F12),AND(AB$2&gt;=$F12,AB$2&lt;=IF(ISNUMBER($G12),$G12,$F12+$E12-$D12)),FALSE()),2,IF(AND(AB$2&gt;=$D12,AB$2&lt;=$E12),1,"")))</f>
        <v/>
      </c>
      <c r="AC12" s="55" t="str">
        <f aca="false">IF(OR(AC$2="",$D12=""),"",IF(IF(ISNUMBER($F12),AND(AC$2&gt;=$F12,AC$2&lt;=IF(ISNUMBER($G12),$G12,$F12+$E12-$D12)),FALSE()),2,IF(AND(AC$2&gt;=$D12,AC$2&lt;=$E12),1,"")))</f>
        <v/>
      </c>
      <c r="AD12" s="55" t="str">
        <f aca="false">IF(OR(AD$2="",$D12=""),"",IF(IF(ISNUMBER($F12),AND(AD$2&gt;=$F12,AD$2&lt;=IF(ISNUMBER($G12),$G12,$F12+$E12-$D12)),FALSE()),2,IF(AND(AD$2&gt;=$D12,AD$2&lt;=$E12),1,"")))</f>
        <v/>
      </c>
      <c r="AE12" s="55" t="str">
        <f aca="false">IF(OR(AE$2="",$D12=""),"",IF(IF(ISNUMBER($F12),AND(AE$2&gt;=$F12,AE$2&lt;=IF(ISNUMBER($G12),$G12,$F12+$E12-$D12)),FALSE()),2,IF(AND(AE$2&gt;=$D12,AE$2&lt;=$E12),1,"")))</f>
        <v/>
      </c>
      <c r="AF12" s="55" t="str">
        <f aca="false">IF(OR(AF$2="",$D12=""),"",IF(IF(ISNUMBER($F12),AND(AF$2&gt;=$F12,AF$2&lt;=IF(ISNUMBER($G12),$G12,$F12+$E12-$D12)),FALSE()),2,IF(AND(AF$2&gt;=$D12,AF$2&lt;=$E12),1,"")))</f>
        <v/>
      </c>
      <c r="AG12" s="55" t="str">
        <f aca="false">IF(OR(AG$2="",$D12=""),"",IF(IF(ISNUMBER($F12),AND(AG$2&gt;=$F12,AG$2&lt;=IF(ISNUMBER($G12),$G12,$F12+$E12-$D12)),FALSE()),2,IF(AND(AG$2&gt;=$D12,AG$2&lt;=$E12),1,"")))</f>
        <v/>
      </c>
      <c r="AH12" s="55" t="str">
        <f aca="false">IF(OR(AH$2="",$D12=""),"",IF(IF(ISNUMBER($F12),AND(AH$2&gt;=$F12,AH$2&lt;=IF(ISNUMBER($G12),$G12,$F12+$E12-$D12)),FALSE()),2,IF(AND(AH$2&gt;=$D12,AH$2&lt;=$E12),1,"")))</f>
        <v/>
      </c>
      <c r="AI12" s="55" t="str">
        <f aca="false">IF(OR(AI$2="",$D12=""),"",IF(IF(ISNUMBER($F12),AND(AI$2&gt;=$F12,AI$2&lt;=IF(ISNUMBER($G12),$G12,$F12+$E12-$D12)),FALSE()),2,IF(AND(AI$2&gt;=$D12,AI$2&lt;=$E12),1,"")))</f>
        <v/>
      </c>
      <c r="AJ12" s="55" t="str">
        <f aca="false">IF(OR(AJ$2="",$D12=""),"",IF(IF(ISNUMBER($F12),AND(AJ$2&gt;=$F12,AJ$2&lt;=IF(ISNUMBER($G12),$G12,$F12+$E12-$D12)),FALSE()),2,IF(AND(AJ$2&gt;=$D12,AJ$2&lt;=$E12),1,"")))</f>
        <v/>
      </c>
      <c r="AK12" s="55" t="str">
        <f aca="false">IF(OR(AK$2="",$D12=""),"",IF(IF(ISNUMBER($F12),AND(AK$2&gt;=$F12,AK$2&lt;=IF(ISNUMBER($G12),$G12,$F12+$E12-$D12)),FALSE()),2,IF(AND(AK$2&gt;=$D12,AK$2&lt;=$E12),1,"")))</f>
        <v/>
      </c>
      <c r="AL12" s="55" t="str">
        <f aca="false">IF(OR(AL$2="",$D12=""),"",IF(IF(ISNUMBER($F12),AND(AL$2&gt;=$F12,AL$2&lt;=IF(ISNUMBER($G12),$G12,$F12+$E12-$D12)),FALSE()),2,IF(AND(AL$2&gt;=$D12,AL$2&lt;=$E12),1,"")))</f>
        <v/>
      </c>
      <c r="AM12" s="55" t="str">
        <f aca="false">IF(OR(AM$2="",$D12=""),"",IF(IF(ISNUMBER($F12),AND(AM$2&gt;=$F12,AM$2&lt;=IF(ISNUMBER($G12),$G12,$F12+$E12-$D12)),FALSE()),2,IF(AND(AM$2&gt;=$D12,AM$2&lt;=$E12),1,"")))</f>
        <v/>
      </c>
      <c r="AN12" s="55" t="str">
        <f aca="false">IF(OR(AN$2="",$D12=""),"",IF(IF(ISNUMBER($F12),AND(AN$2&gt;=$F12,AN$2&lt;=IF(ISNUMBER($G12),$G12,$F12+$E12-$D12)),FALSE()),2,IF(AND(AN$2&gt;=$D12,AN$2&lt;=$E12),1,"")))</f>
        <v/>
      </c>
      <c r="AO12" s="55" t="str">
        <f aca="false">IF(OR(AO$2="",$D12=""),"",IF(IF(ISNUMBER($F12),AND(AO$2&gt;=$F12,AO$2&lt;=IF(ISNUMBER($G12),$G12,$F12+$E12-$D12)),FALSE()),2,IF(AND(AO$2&gt;=$D12,AO$2&lt;=$E12),1,"")))</f>
        <v/>
      </c>
      <c r="AP12" s="55" t="str">
        <f aca="false">IF(OR(AP$2="",$D12=""),"",IF(IF(ISNUMBER($F12),AND(AP$2&gt;=$F12,AP$2&lt;=IF(ISNUMBER($G12),$G12,$F12+$E12-$D12)),FALSE()),2,IF(AND(AP$2&gt;=$D12,AP$2&lt;=$E12),1,"")))</f>
        <v/>
      </c>
      <c r="AQ12" s="55" t="str">
        <f aca="false">IF(OR(AQ$2="",$D12=""),"",IF(IF(ISNUMBER($F12),AND(AQ$2&gt;=$F12,AQ$2&lt;=IF(ISNUMBER($G12),$G12,$F12+$E12-$D12)),FALSE()),2,IF(AND(AQ$2&gt;=$D12,AQ$2&lt;=$E12),1,"")))</f>
        <v/>
      </c>
      <c r="AR12" s="55" t="str">
        <f aca="false">IF(OR(AR$2="",$D12=""),"",IF(IF(ISNUMBER($F12),AND(AR$2&gt;=$F12,AR$2&lt;=IF(ISNUMBER($G12),$G12,$F12+$E12-$D12)),FALSE()),2,IF(AND(AR$2&gt;=$D12,AR$2&lt;=$E12),1,"")))</f>
        <v/>
      </c>
      <c r="AS12" s="55" t="str">
        <f aca="false">IF(OR(AS$2="",$D12=""),"",IF(IF(ISNUMBER($F12),AND(AS$2&gt;=$F12,AS$2&lt;=IF(ISNUMBER($G12),$G12,$F12+$E12-$D12)),FALSE()),2,IF(AND(AS$2&gt;=$D12,AS$2&lt;=$E12),1,"")))</f>
        <v/>
      </c>
      <c r="AT12" s="55" t="str">
        <f aca="false">IF(OR(AT$2="",$D12=""),"",IF(IF(ISNUMBER($F12),AND(AT$2&gt;=$F12,AT$2&lt;=IF(ISNUMBER($G12),$G12,$F12+$E12-$D12)),FALSE()),2,IF(AND(AT$2&gt;=$D12,AT$2&lt;=$E12),1,"")))</f>
        <v/>
      </c>
      <c r="AU12" s="55" t="str">
        <f aca="false">IF(OR(AU$2="",$D12=""),"",IF(IF(ISNUMBER($F12),AND(AU$2&gt;=$F12,AU$2&lt;=IF(ISNUMBER($G12),$G12,$F12+$E12-$D12)),FALSE()),2,IF(AND(AU$2&gt;=$D12,AU$2&lt;=$E12),1,"")))</f>
        <v/>
      </c>
      <c r="AV12" s="55" t="str">
        <f aca="false">IF(OR(AV$2="",$D12=""),"",IF(IF(ISNUMBER($F12),AND(AV$2&gt;=$F12,AV$2&lt;=IF(ISNUMBER($G12),$G12,$F12+$E12-$D12)),FALSE()),2,IF(AND(AV$2&gt;=$D12,AV$2&lt;=$E12),1,"")))</f>
        <v/>
      </c>
      <c r="AW12" s="55" t="str">
        <f aca="false">IF(OR(AW$2="",$D12=""),"",IF(IF(ISNUMBER($F12),AND(AW$2&gt;=$F12,AW$2&lt;=IF(ISNUMBER($G12),$G12,$F12+$E12-$D12)),FALSE()),2,IF(AND(AW$2&gt;=$D12,AW$2&lt;=$E12),1,"")))</f>
        <v/>
      </c>
      <c r="AX12" s="55" t="str">
        <f aca="false">IF(OR(AX$2="",$D12=""),"",IF(IF(ISNUMBER($F12),AND(AX$2&gt;=$F12,AX$2&lt;=IF(ISNUMBER($G12),$G12,$F12+$E12-$D12)),FALSE()),2,IF(AND(AX$2&gt;=$D12,AX$2&lt;=$E12),1,"")))</f>
        <v/>
      </c>
      <c r="AY12" s="55" t="str">
        <f aca="false">IF(OR(AY$2="",$D12=""),"",IF(IF(ISNUMBER($F12),AND(AY$2&gt;=$F12,AY$2&lt;=IF(ISNUMBER($G12),$G12,$F12+$E12-$D12)),FALSE()),2,IF(AND(AY$2&gt;=$D12,AY$2&lt;=$E12),1,"")))</f>
        <v/>
      </c>
      <c r="AZ12" s="55" t="str">
        <f aca="false">IF(OR(AZ$2="",$D12=""),"",IF(IF(ISNUMBER($F12),AND(AZ$2&gt;=$F12,AZ$2&lt;=IF(ISNUMBER($G12),$G12,$F12+$E12-$D12)),FALSE()),2,IF(AND(AZ$2&gt;=$D12,AZ$2&lt;=$E12),1,"")))</f>
        <v/>
      </c>
      <c r="BA12" s="55" t="str">
        <f aca="false">IF(OR(BA$2="",$D12=""),"",IF(IF(ISNUMBER($F12),AND(BA$2&gt;=$F12,BA$2&lt;=IF(ISNUMBER($G12),$G12,$F12+$E12-$D12)),FALSE()),2,IF(AND(BA$2&gt;=$D12,BA$2&lt;=$E12),1,"")))</f>
        <v/>
      </c>
      <c r="BB12" s="55" t="str">
        <f aca="false">IF(OR(BB$2="",$D12=""),"",IF(IF(ISNUMBER($F12),AND(BB$2&gt;=$F12,BB$2&lt;=IF(ISNUMBER($G12),$G12,$F12+$E12-$D12)),FALSE()),2,IF(AND(BB$2&gt;=$D12,BB$2&lt;=$E12),1,"")))</f>
        <v/>
      </c>
      <c r="BC12" s="55" t="str">
        <f aca="false">IF(OR(BC$2="",$D12=""),"",IF(IF(ISNUMBER($F12),AND(BC$2&gt;=$F12,BC$2&lt;=IF(ISNUMBER($G12),$G12,$F12+$E12-$D12)),FALSE()),2,IF(AND(BC$2&gt;=$D12,BC$2&lt;=$E12),1,"")))</f>
        <v/>
      </c>
      <c r="BD12" s="55" t="str">
        <f aca="false">IF(OR(BD$2="",$D12=""),"",IF(IF(ISNUMBER($F12),AND(BD$2&gt;=$F12,BD$2&lt;=IF(ISNUMBER($G12),$G12,$F12+$E12-$D12)),FALSE()),2,IF(AND(BD$2&gt;=$D12,BD$2&lt;=$E12),1,"")))</f>
        <v/>
      </c>
      <c r="BE12" s="55" t="str">
        <f aca="false">IF(OR(BE$2="",$D12=""),"",IF(IF(ISNUMBER($F12),AND(BE$2&gt;=$F12,BE$2&lt;=IF(ISNUMBER($G12),$G12,$F12+$E12-$D12)),FALSE()),2,IF(AND(BE$2&gt;=$D12,BE$2&lt;=$E12),1,"")))</f>
        <v/>
      </c>
      <c r="BF12" s="55" t="str">
        <f aca="false">IF(OR(BF$2="",$D12=""),"",IF(IF(ISNUMBER($F12),AND(BF$2&gt;=$F12,BF$2&lt;=IF(ISNUMBER($G12),$G12,$F12+$E12-$D12)),FALSE()),2,IF(AND(BF$2&gt;=$D12,BF$2&lt;=$E12),1,"")))</f>
        <v/>
      </c>
      <c r="BG12" s="55" t="str">
        <f aca="false">IF(OR(BG$2="",$D12=""),"",IF(IF(ISNUMBER($F12),AND(BG$2&gt;=$F12,BG$2&lt;=IF(ISNUMBER($G12),$G12,$F12+$E12-$D12)),FALSE()),2,IF(AND(BG$2&gt;=$D12,BG$2&lt;=$E12),1,"")))</f>
        <v/>
      </c>
      <c r="BH12" s="55" t="str">
        <f aca="false">IF(OR(BH$2="",$D12=""),"",IF(IF(ISNUMBER($F12),AND(BH$2&gt;=$F12,BH$2&lt;=IF(ISNUMBER($G12),$G12,$F12+$E12-$D12)),FALSE()),2,IF(AND(BH$2&gt;=$D12,BH$2&lt;=$E12),1,"")))</f>
        <v/>
      </c>
      <c r="BI12" s="55" t="str">
        <f aca="false">IF(OR(BI$2="",$D12=""),"",IF(IF(ISNUMBER($F12),AND(BI$2&gt;=$F12,BI$2&lt;=IF(ISNUMBER($G12),$G12,$F12+$E12-$D12)),FALSE()),2,IF(AND(BI$2&gt;=$D12,BI$2&lt;=$E12),1,"")))</f>
        <v/>
      </c>
      <c r="BJ12" s="55" t="str">
        <f aca="false">IF(OR(BJ$2="",$D12=""),"",IF(IF(ISNUMBER($F12),AND(BJ$2&gt;=$F12,BJ$2&lt;=IF(ISNUMBER($G12),$G12,$F12+$E12-$D12)),FALSE()),2,IF(AND(BJ$2&gt;=$D12,BJ$2&lt;=$E12),1,"")))</f>
        <v/>
      </c>
      <c r="BK12" s="55" t="str">
        <f aca="false">IF(OR(BK$2="",$D12=""),"",IF(IF(ISNUMBER($F12),AND(BK$2&gt;=$F12,BK$2&lt;=IF(ISNUMBER($G12),$G12,$F12+$E12-$D12)),FALSE()),2,IF(AND(BK$2&gt;=$D12,BK$2&lt;=$E12),1,"")))</f>
        <v/>
      </c>
      <c r="BL12" s="55" t="str">
        <f aca="false">IF(OR(BL$2="",$D12=""),"",IF(IF(ISNUMBER($F12),AND(BL$2&gt;=$F12,BL$2&lt;=IF(ISNUMBER($G12),$G12,$F12+$E12-$D12)),FALSE()),2,IF(AND(BL$2&gt;=$D12,BL$2&lt;=$E12),1,"")))</f>
        <v/>
      </c>
      <c r="BM12" s="55" t="str">
        <f aca="false">IF(OR(BM$2="",$D12=""),"",IF(IF(ISNUMBER($F12),AND(BM$2&gt;=$F12,BM$2&lt;=IF(ISNUMBER($G12),$G12,$F12+$E12-$D12)),FALSE()),2,IF(AND(BM$2&gt;=$D12,BM$2&lt;=$E12),1,"")))</f>
        <v/>
      </c>
      <c r="BN12" s="55" t="str">
        <f aca="false">IF(OR(BN$2="",$D12=""),"",IF(IF(ISNUMBER($F12),AND(BN$2&gt;=$F12,BN$2&lt;=IF(ISNUMBER($G12),$G12,$F12+$E12-$D12)),FALSE()),2,IF(AND(BN$2&gt;=$D12,BN$2&lt;=$E12),1,"")))</f>
        <v/>
      </c>
      <c r="BO12" s="55" t="str">
        <f aca="false">IF(OR(BO$2="",$D12=""),"",IF(IF(ISNUMBER($F12),AND(BO$2&gt;=$F12,BO$2&lt;=IF(ISNUMBER($G12),$G12,$F12+$E12-$D12)),FALSE()),2,IF(AND(BO$2&gt;=$D12,BO$2&lt;=$E12),1,"")))</f>
        <v/>
      </c>
      <c r="BP12" s="55" t="str">
        <f aca="false">IF(OR(BP$2="",$D12=""),"",IF(IF(ISNUMBER($F12),AND(BP$2&gt;=$F12,BP$2&lt;=IF(ISNUMBER($G12),$G12,$F12+$E12-$D12)),FALSE()),2,IF(AND(BP$2&gt;=$D12,BP$2&lt;=$E12),1,"")))</f>
        <v/>
      </c>
      <c r="BQ12" s="55" t="str">
        <f aca="false">IF(OR(BQ$2="",$D12=""),"",IF(IF(ISNUMBER($F12),AND(BQ$2&gt;=$F12,BQ$2&lt;=IF(ISNUMBER($G12),$G12,$F12+$E12-$D12)),FALSE()),2,IF(AND(BQ$2&gt;=$D12,BQ$2&lt;=$E12),1,"")))</f>
        <v/>
      </c>
      <c r="BR12" s="55" t="str">
        <f aca="false">IF(OR(BR$2="",$D12=""),"",IF(IF(ISNUMBER($F12),AND(BR$2&gt;=$F12,BR$2&lt;=IF(ISNUMBER($G12),$G12,$F12+$E12-$D12)),FALSE()),2,IF(AND(BR$2&gt;=$D12,BR$2&lt;=$E12),1,"")))</f>
        <v/>
      </c>
      <c r="BS12" s="55" t="str">
        <f aca="false">IF(OR(BS$2="",$D12=""),"",IF(IF(ISNUMBER($F12),AND(BS$2&gt;=$F12,BS$2&lt;=IF(ISNUMBER($G12),$G12,$F12+$E12-$D12)),FALSE()),2,IF(AND(BS$2&gt;=$D12,BS$2&lt;=$E12),1,"")))</f>
        <v/>
      </c>
      <c r="BT12" s="55" t="str">
        <f aca="false">IF(OR(BT$2="",$D12=""),"",IF(IF(ISNUMBER($F12),AND(BT$2&gt;=$F12,BT$2&lt;=IF(ISNUMBER($G12),$G12,$F12+$E12-$D12)),FALSE()),2,IF(AND(BT$2&gt;=$D12,BT$2&lt;=$E12),1,"")))</f>
        <v/>
      </c>
      <c r="BU12" s="55" t="str">
        <f aca="false">IF(OR(BU$2="",$D12=""),"",IF(IF(ISNUMBER($F12),AND(BU$2&gt;=$F12,BU$2&lt;=IF(ISNUMBER($G12),$G12,$F12+$E12-$D12)),FALSE()),2,IF(AND(BU$2&gt;=$D12,BU$2&lt;=$E12),1,"")))</f>
        <v/>
      </c>
      <c r="BV12" s="55" t="str">
        <f aca="false">IF(OR(BV$2="",$D12=""),"",IF(IF(ISNUMBER($F12),AND(BV$2&gt;=$F12,BV$2&lt;=IF(ISNUMBER($G12),$G12,$F12+$E12-$D12)),FALSE()),2,IF(AND(BV$2&gt;=$D12,BV$2&lt;=$E12),1,"")))</f>
        <v/>
      </c>
      <c r="BW12" s="55" t="str">
        <f aca="false">IF(OR(BW$2="",$D12=""),"",IF(IF(ISNUMBER($F12),AND(BW$2&gt;=$F12,BW$2&lt;=IF(ISNUMBER($G12),$G12,$F12+$E12-$D12)),FALSE()),2,IF(AND(BW$2&gt;=$D12,BW$2&lt;=$E12),1,"")))</f>
        <v/>
      </c>
      <c r="BX12" s="55" t="str">
        <f aca="false">IF(OR(BX$2="",$D12=""),"",IF(IF(ISNUMBER($F12),AND(BX$2&gt;=$F12,BX$2&lt;=IF(ISNUMBER($G12),$G12,$F12+$E12-$D12)),FALSE()),2,IF(AND(BX$2&gt;=$D12,BX$2&lt;=$E12),1,"")))</f>
        <v/>
      </c>
      <c r="BY12" s="55" t="str">
        <f aca="false">IF(OR(BY$2="",$D12=""),"",IF(IF(ISNUMBER($F12),AND(BY$2&gt;=$F12,BY$2&lt;=IF(ISNUMBER($G12),$G12,$F12+$E12-$D12)),FALSE()),2,IF(AND(BY$2&gt;=$D12,BY$2&lt;=$E12),1,"")))</f>
        <v/>
      </c>
      <c r="BZ12" s="55" t="str">
        <f aca="false">IF(OR(BZ$2="",$D12=""),"",IF(IF(ISNUMBER($F12),AND(BZ$2&gt;=$F12,BZ$2&lt;=IF(ISNUMBER($G12),$G12,$F12+$E12-$D12)),FALSE()),2,IF(AND(BZ$2&gt;=$D12,BZ$2&lt;=$E12),1,"")))</f>
        <v/>
      </c>
      <c r="CA12" s="55" t="str">
        <f aca="false">IF(OR(CA$2="",$D12=""),"",IF(IF(ISNUMBER($F12),AND(CA$2&gt;=$F12,CA$2&lt;=IF(ISNUMBER($G12),$G12,$F12+$E12-$D12)),FALSE()),2,IF(AND(CA$2&gt;=$D12,CA$2&lt;=$E12),1,"")))</f>
        <v/>
      </c>
      <c r="CB12" s="55" t="str">
        <f aca="false">IF(OR(CB$2="",$D12=""),"",IF(IF(ISNUMBER($F12),AND(CB$2&gt;=$F12,CB$2&lt;=IF(ISNUMBER($G12),$G12,$F12+$E12-$D12)),FALSE()),2,IF(AND(CB$2&gt;=$D12,CB$2&lt;=$E12),1,"")))</f>
        <v/>
      </c>
      <c r="CC12" s="55" t="str">
        <f aca="false">IF(OR(CC$2="",$D12=""),"",IF(IF(ISNUMBER($F12),AND(CC$2&gt;=$F12,CC$2&lt;=IF(ISNUMBER($G12),$G12,$F12+$E12-$D12)),FALSE()),2,IF(AND(CC$2&gt;=$D12,CC$2&lt;=$E12),1,"")))</f>
        <v/>
      </c>
      <c r="CD12" s="55" t="str">
        <f aca="false">IF(OR(CD$2="",$D12=""),"",IF(IF(ISNUMBER($F12),AND(CD$2&gt;=$F12,CD$2&lt;=IF(ISNUMBER($G12),$G12,$F12+$E12-$D12)),FALSE()),2,IF(AND(CD$2&gt;=$D12,CD$2&lt;=$E12),1,"")))</f>
        <v/>
      </c>
      <c r="CE12" s="55" t="str">
        <f aca="false">IF(OR(CE$2="",$D12=""),"",IF(IF(ISNUMBER($F12),AND(CE$2&gt;=$F12,CE$2&lt;=IF(ISNUMBER($G12),$G12,$F12+$E12-$D12)),FALSE()),2,IF(AND(CE$2&gt;=$D12,CE$2&lt;=$E12),1,"")))</f>
        <v/>
      </c>
      <c r="CF12" s="55" t="str">
        <f aca="false">IF(OR(CF$2="",$D12=""),"",IF(IF(ISNUMBER($F12),AND(CF$2&gt;=$F12,CF$2&lt;=IF(ISNUMBER($G12),$G12,$F12+$E12-$D12)),FALSE()),2,IF(AND(CF$2&gt;=$D12,CF$2&lt;=$E12),1,"")))</f>
        <v/>
      </c>
      <c r="CG12" s="55" t="str">
        <f aca="false">IF(OR(CG$2="",$D12=""),"",IF(IF(ISNUMBER($F12),AND(CG$2&gt;=$F12,CG$2&lt;=IF(ISNUMBER($G12),$G12,$F12+$E12-$D12)),FALSE()),2,IF(AND(CG$2&gt;=$D12,CG$2&lt;=$E12),1,"")))</f>
        <v/>
      </c>
      <c r="CH12" s="55" t="str">
        <f aca="false">IF(OR(CH$2="",$D12=""),"",IF(IF(ISNUMBER($F12),AND(CH$2&gt;=$F12,CH$2&lt;=IF(ISNUMBER($G12),$G12,$F12+$E12-$D12)),FALSE()),2,IF(AND(CH$2&gt;=$D12,CH$2&lt;=$E12),1,"")))</f>
        <v/>
      </c>
      <c r="CI12" s="55" t="str">
        <f aca="false">IF(OR(CI$2="",$D12=""),"",IF(IF(ISNUMBER($F12),AND(CI$2&gt;=$F12,CI$2&lt;=IF(ISNUMBER($G12),$G12,$F12+$E12-$D12)),FALSE()),2,IF(AND(CI$2&gt;=$D12,CI$2&lt;=$E12),1,"")))</f>
        <v/>
      </c>
      <c r="CJ12" s="55" t="str">
        <f aca="false">IF(OR(CJ$2="",$D12=""),"",IF(IF(ISNUMBER($F12),AND(CJ$2&gt;=$F12,CJ$2&lt;=IF(ISNUMBER($G12),$G12,$F12+$E12-$D12)),FALSE()),2,IF(AND(CJ$2&gt;=$D12,CJ$2&lt;=$E12),1,"")))</f>
        <v/>
      </c>
      <c r="CK12" s="55" t="str">
        <f aca="false">IF(OR(CK$2="",$D12=""),"",IF(IF(ISNUMBER($F12),AND(CK$2&gt;=$F12,CK$2&lt;=IF(ISNUMBER($G12),$G12,$F12+$E12-$D12)),FALSE()),2,IF(AND(CK$2&gt;=$D12,CK$2&lt;=$E12),1,"")))</f>
        <v/>
      </c>
      <c r="CL12" s="55" t="str">
        <f aca="false">IF(OR(CL$2="",$D12=""),"",IF(IF(ISNUMBER($F12),AND(CL$2&gt;=$F12,CL$2&lt;=IF(ISNUMBER($G12),$G12,$F12+$E12-$D12)),FALSE()),2,IF(AND(CL$2&gt;=$D12,CL$2&lt;=$E12),1,"")))</f>
        <v/>
      </c>
      <c r="CM12" s="55" t="str">
        <f aca="false">IF(OR(CM$2="",$D12=""),"",IF(IF(ISNUMBER($F12),AND(CM$2&gt;=$F12,CM$2&lt;=IF(ISNUMBER($G12),$G12,$F12+$E12-$D12)),FALSE()),2,IF(AND(CM$2&gt;=$D12,CM$2&lt;=$E12),1,"")))</f>
        <v/>
      </c>
      <c r="CN12" s="55" t="n">
        <f aca="false">IF(OR(CN$2="",$D12=""),"",IF(IF(ISNUMBER($F12),AND(CN$2&gt;=$F12,CN$2&lt;=IF(ISNUMBER($G12),$G12,$F12+$E12-$D12)),FALSE()),2,IF(AND(CN$2&gt;=$D12,CN$2&lt;=$E12),1,"")))</f>
        <v>1</v>
      </c>
      <c r="CO12" s="55" t="str">
        <f aca="false">IF(OR(CO$2="",$D12=""),"",IF(IF(ISNUMBER($F12),AND(CO$2&gt;=$F12,CO$2&lt;=IF(ISNUMBER($G12),$G12,$F12+$E12-$D12)),FALSE()),2,IF(AND(CO$2&gt;=$D12,CO$2&lt;=$E12),1,"")))</f>
        <v/>
      </c>
      <c r="CP12" s="55" t="str">
        <f aca="false">IF(OR(CP$2="",$D12=""),"",IF(IF(ISNUMBER($F12),AND(CP$2&gt;=$F12,CP$2&lt;=IF(ISNUMBER($G12),$G12,$F12+$E12-$D12)),FALSE()),2,IF(AND(CP$2&gt;=$D12,CP$2&lt;=$E12),1,"")))</f>
        <v/>
      </c>
      <c r="CQ12" s="55" t="str">
        <f aca="false">IF(OR(CQ$2="",$D12=""),"",IF(IF(ISNUMBER($F12),AND(CQ$2&gt;=$F12,CQ$2&lt;=IF(ISNUMBER($G12),$G12,$F12+$E12-$D12)),FALSE()),2,IF(AND(CQ$2&gt;=$D12,CQ$2&lt;=$E12),1,"")))</f>
        <v/>
      </c>
      <c r="CR12" s="55" t="str">
        <f aca="false">IF(OR(CR$2="",$D12=""),"",IF(IF(ISNUMBER($F12),AND(CR$2&gt;=$F12,CR$2&lt;=IF(ISNUMBER($G12),$G12,$F12+$E12-$D12)),FALSE()),2,IF(AND(CR$2&gt;=$D12,CR$2&lt;=$E12),1,"")))</f>
        <v/>
      </c>
      <c r="CS12" s="55" t="str">
        <f aca="false">IF(OR(CS$2="",$D12=""),"",IF(IF(ISNUMBER($F12),AND(CS$2&gt;=$F12,CS$2&lt;=IF(ISNUMBER($G12),$G12,$F12+$E12-$D12)),FALSE()),2,IF(AND(CS$2&gt;=$D12,CS$2&lt;=$E12),1,"")))</f>
        <v/>
      </c>
      <c r="CT12" s="55" t="str">
        <f aca="false">IF(OR(CT$2="",$D12=""),"",IF(IF(ISNUMBER($F12),AND(CT$2&gt;=$F12,CT$2&lt;=IF(ISNUMBER($G12),$G12,$F12+$E12-$D12)),FALSE()),2,IF(AND(CT$2&gt;=$D12,CT$2&lt;=$E12),1,"")))</f>
        <v/>
      </c>
      <c r="CU12" s="55" t="str">
        <f aca="false">IF(OR(CU$2="",$D12=""),"",IF(IF(ISNUMBER($F12),AND(CU$2&gt;=$F12,CU$2&lt;=IF(ISNUMBER($G12),$G12,$F12+$E12-$D12)),FALSE()),2,IF(AND(CU$2&gt;=$D12,CU$2&lt;=$E12),1,"")))</f>
        <v/>
      </c>
      <c r="CV12" s="55" t="str">
        <f aca="false">IF(OR(CV$2="",$D12=""),"",IF(IF(ISNUMBER($F12),AND(CV$2&gt;=$F12,CV$2&lt;=IF(ISNUMBER($G12),$G12,$F12+$E12-$D12)),FALSE()),2,IF(AND(CV$2&gt;=$D12,CV$2&lt;=$E12),1,"")))</f>
        <v/>
      </c>
      <c r="CW12" s="55" t="str">
        <f aca="false">IF(OR(CW$2="",$D12=""),"",IF(IF(ISNUMBER($F12),AND(CW$2&gt;=$F12,CW$2&lt;=IF(ISNUMBER($G12),$G12,$F12+$E12-$D12)),FALSE()),2,IF(AND(CW$2&gt;=$D12,CW$2&lt;=$E12),1,"")))</f>
        <v/>
      </c>
      <c r="CX12" s="55" t="str">
        <f aca="false">IF(OR(CX$2="",$D12=""),"",IF(IF(ISNUMBER($F12),AND(CX$2&gt;=$F12,CX$2&lt;=IF(ISNUMBER($G12),$G12,$F12+$E12-$D12)),FALSE()),2,IF(AND(CX$2&gt;=$D12,CX$2&lt;=$E12),1,"")))</f>
        <v/>
      </c>
      <c r="CY12" s="55" t="str">
        <f aca="false">IF(OR(CY$2="",$D12=""),"",IF(IF(ISNUMBER($F12),AND(CY$2&gt;=$F12,CY$2&lt;=IF(ISNUMBER($G12),$G12,$F12+$E12-$D12)),FALSE()),2,IF(AND(CY$2&gt;=$D12,CY$2&lt;=$E12),1,"")))</f>
        <v/>
      </c>
      <c r="CZ12" s="55" t="str">
        <f aca="false">IF(OR(CZ$2="",$D12=""),"",IF(IF(ISNUMBER($F12),AND(CZ$2&gt;=$F12,CZ$2&lt;=IF(ISNUMBER($G12),$G12,$F12+$E12-$D12)),FALSE()),2,IF(AND(CZ$2&gt;=$D12,CZ$2&lt;=$E12),1,"")))</f>
        <v/>
      </c>
      <c r="DA12" s="55" t="str">
        <f aca="false">IF(OR(DA$2="",$D12=""),"",IF(IF(ISNUMBER($F12),AND(DA$2&gt;=$F12,DA$2&lt;=IF(ISNUMBER($G12),$G12,$F12+$E12-$D12)),FALSE()),2,IF(AND(DA$2&gt;=$D12,DA$2&lt;=$E12),1,"")))</f>
        <v/>
      </c>
      <c r="DB12" s="55" t="str">
        <f aca="false">IF(OR(DB$2="",$D12=""),"",IF(IF(ISNUMBER($F12),AND(DB$2&gt;=$F12,DB$2&lt;=IF(ISNUMBER($G12),$G12,$F12+$E12-$D12)),FALSE()),2,IF(AND(DB$2&gt;=$D12,DB$2&lt;=$E12),1,"")))</f>
        <v/>
      </c>
      <c r="DC12" s="55" t="str">
        <f aca="false">IF(OR(DC$2="",$D12=""),"",IF(IF(ISNUMBER($F12),AND(DC$2&gt;=$F12,DC$2&lt;=IF(ISNUMBER($G12),$G12,$F12+$E12-$D12)),FALSE()),2,IF(AND(DC$2&gt;=$D12,DC$2&lt;=$E12),1,"")))</f>
        <v/>
      </c>
      <c r="DD12" s="55" t="str">
        <f aca="false">IF(OR(DD$2="",$D12=""),"",IF(IF(ISNUMBER($F12),AND(DD$2&gt;=$F12,DD$2&lt;=IF(ISNUMBER($G12),$G12,$F12+$E12-$D12)),FALSE()),2,IF(AND(DD$2&gt;=$D12,DD$2&lt;=$E12),1,"")))</f>
        <v/>
      </c>
      <c r="DE12" s="55" t="str">
        <f aca="false">IF(OR(DE$2="",$D12=""),"",IF(IF(ISNUMBER($F12),AND(DE$2&gt;=$F12,DE$2&lt;=IF(ISNUMBER($G12),$G12,$F12+$E12-$D12)),FALSE()),2,IF(AND(DE$2&gt;=$D12,DE$2&lt;=$E12),1,"")))</f>
        <v/>
      </c>
      <c r="DF12" s="55" t="str">
        <f aca="false">IF(OR(DF$2="",$D12=""),"",IF(IF(ISNUMBER($F12),AND(DF$2&gt;=$F12,DF$2&lt;=IF(ISNUMBER($G12),$G12,$F12+$E12-$D12)),FALSE()),2,IF(AND(DF$2&gt;=$D12,DF$2&lt;=$E12),1,"")))</f>
        <v/>
      </c>
      <c r="DG12" s="55" t="str">
        <f aca="false">IF(OR(DG$2="",$D12=""),"",IF(IF(ISNUMBER($F12),AND(DG$2&gt;=$F12,DG$2&lt;=IF(ISNUMBER($G12),$G12,$F12+$E12-$D12)),FALSE()),2,IF(AND(DG$2&gt;=$D12,DG$2&lt;=$E12),1,"")))</f>
        <v/>
      </c>
      <c r="DH12" s="55" t="str">
        <f aca="false">IF(OR(DH$2="",$D12=""),"",IF(IF(ISNUMBER($F12),AND(DH$2&gt;=$F12,DH$2&lt;=IF(ISNUMBER($G12),$G12,$F12+$E12-$D12)),FALSE()),2,IF(AND(DH$2&gt;=$D12,DH$2&lt;=$E12),1,"")))</f>
        <v/>
      </c>
      <c r="DI12" s="55" t="str">
        <f aca="false">IF(OR(DI$2="",$D12=""),"",IF(IF(ISNUMBER($F12),AND(DI$2&gt;=$F12,DI$2&lt;=IF(ISNUMBER($G12),$G12,$F12+$E12-$D12)),FALSE()),2,IF(AND(DI$2&gt;=$D12,DI$2&lt;=$E12),1,"")))</f>
        <v/>
      </c>
      <c r="DJ12" s="55" t="str">
        <f aca="false">IF(OR(DJ$2="",$D12=""),"",IF(IF(ISNUMBER($F12),AND(DJ$2&gt;=$F12,DJ$2&lt;=IF(ISNUMBER($G12),$G12,$F12+$E12-$D12)),FALSE()),2,IF(AND(DJ$2&gt;=$D12,DJ$2&lt;=$E12),1,"")))</f>
        <v/>
      </c>
      <c r="DK12" s="55" t="str">
        <f aca="false">IF(OR(DK$2="",$D12=""),"",IF(IF(ISNUMBER($F12),AND(DK$2&gt;=$F12,DK$2&lt;=IF(ISNUMBER($G12),$G12,$F12+$E12-$D12)),FALSE()),2,IF(AND(DK$2&gt;=$D12,DK$2&lt;=$E12),1,"")))</f>
        <v/>
      </c>
      <c r="DL12" s="55" t="str">
        <f aca="false">IF(OR(DL$2="",$D12=""),"",IF(IF(ISNUMBER($F12),AND(DL$2&gt;=$F12,DL$2&lt;=IF(ISNUMBER($G12),$G12,$F12+$E12-$D12)),FALSE()),2,IF(AND(DL$2&gt;=$D12,DL$2&lt;=$E12),1,"")))</f>
        <v/>
      </c>
      <c r="DM12" s="55" t="str">
        <f aca="false">IF(OR(DM$2="",$D12=""),"",IF(IF(ISNUMBER($F12),AND(DM$2&gt;=$F12,DM$2&lt;=IF(ISNUMBER($G12),$G12,$F12+$E12-$D12)),FALSE()),2,IF(AND(DM$2&gt;=$D12,DM$2&lt;=$E12),1,"")))</f>
        <v/>
      </c>
      <c r="DN12" s="55" t="str">
        <f aca="false">IF(OR(DN$2="",$D12=""),"",IF(IF(ISNUMBER($F12),AND(DN$2&gt;=$F12,DN$2&lt;=IF(ISNUMBER($G12),$G12,$F12+$E12-$D12)),FALSE()),2,IF(AND(DN$2&gt;=$D12,DN$2&lt;=$E12),1,"")))</f>
        <v/>
      </c>
      <c r="DO12" s="55" t="str">
        <f aca="false">IF(OR(DO$2="",$D12=""),"",IF(IF(ISNUMBER($F12),AND(DO$2&gt;=$F12,DO$2&lt;=IF(ISNUMBER($G12),$G12,$F12+$E12-$D12)),FALSE()),2,IF(AND(DO$2&gt;=$D12,DO$2&lt;=$E12),1,"")))</f>
        <v/>
      </c>
      <c r="DP12" s="55" t="str">
        <f aca="false">IF(OR(DP$2="",$D12=""),"",IF(IF(ISNUMBER($F12),AND(DP$2&gt;=$F12,DP$2&lt;=IF(ISNUMBER($G12),$G12,$F12+$E12-$D12)),FALSE()),2,IF(AND(DP$2&gt;=$D12,DP$2&lt;=$E12),1,"")))</f>
        <v/>
      </c>
      <c r="DQ12" s="55" t="str">
        <f aca="false">IF(OR(DQ$2="",$D12=""),"",IF(IF(ISNUMBER($F12),AND(DQ$2&gt;=$F12,DQ$2&lt;=IF(ISNUMBER($G12),$G12,$F12+$E12-$D12)),FALSE()),2,IF(AND(DQ$2&gt;=$D12,DQ$2&lt;=$E12),1,"")))</f>
        <v/>
      </c>
      <c r="DR12" s="55" t="str">
        <f aca="false">IF(OR(DR$2="",$D12=""),"",IF(IF(ISNUMBER($F12),AND(DR$2&gt;=$F12,DR$2&lt;=IF(ISNUMBER($G12),$G12,$F12+$E12-$D12)),FALSE()),2,IF(AND(DR$2&gt;=$D12,DR$2&lt;=$E12),1,"")))</f>
        <v/>
      </c>
      <c r="DS12" s="55" t="str">
        <f aca="false">IF(OR(DS$2="",$D12=""),"",IF(IF(ISNUMBER($F12),AND(DS$2&gt;=$F12,DS$2&lt;=IF(ISNUMBER($G12),$G12,$F12+$E12-$D12)),FALSE()),2,IF(AND(DS$2&gt;=$D12,DS$2&lt;=$E12),1,"")))</f>
        <v/>
      </c>
      <c r="DT12" s="55" t="str">
        <f aca="false">IF(OR(DT$2="",$D12=""),"",IF(IF(ISNUMBER($F12),AND(DT$2&gt;=$F12,DT$2&lt;=IF(ISNUMBER($G12),$G12,$F12+$E12-$D12)),FALSE()),2,IF(AND(DT$2&gt;=$D12,DT$2&lt;=$E12),1,"")))</f>
        <v/>
      </c>
      <c r="DU12" s="55" t="str">
        <f aca="false">IF(OR(DU$2="",$D12=""),"",IF(IF(ISNUMBER($F12),AND(DU$2&gt;=$F12,DU$2&lt;=IF(ISNUMBER($G12),$G12,$F12+$E12-$D12)),FALSE()),2,IF(AND(DU$2&gt;=$D12,DU$2&lt;=$E12),1,"")))</f>
        <v/>
      </c>
      <c r="DV12" s="55" t="str">
        <f aca="false">IF(OR(DV$2="",$D12=""),"",IF(IF(ISNUMBER($F12),AND(DV$2&gt;=$F12,DV$2&lt;=IF(ISNUMBER($G12),$G12,$F12+$E12-$D12)),FALSE()),2,IF(AND(DV$2&gt;=$D12,DV$2&lt;=$E12),1,"")))</f>
        <v/>
      </c>
      <c r="DW12" s="55" t="str">
        <f aca="false">IF(OR(DW$2="",$D12=""),"",IF(IF(ISNUMBER($F12),AND(DW$2&gt;=$F12,DW$2&lt;=IF(ISNUMBER($G12),$G12,$F12+$E12-$D12)),FALSE()),2,IF(AND(DW$2&gt;=$D12,DW$2&lt;=$E12),1,"")))</f>
        <v/>
      </c>
      <c r="DX12" s="55" t="str">
        <f aca="false">IF(OR(DX$2="",$D12=""),"",IF(IF(ISNUMBER($F12),AND(DX$2&gt;=$F12,DX$2&lt;=IF(ISNUMBER($G12),$G12,$F12+$E12-$D12)),FALSE()),2,IF(AND(DX$2&gt;=$D12,DX$2&lt;=$E12),1,"")))</f>
        <v/>
      </c>
      <c r="DY12" s="55" t="str">
        <f aca="false">IF(OR(DY$2="",$D12=""),"",IF(IF(ISNUMBER($F12),AND(DY$2&gt;=$F12,DY$2&lt;=IF(ISNUMBER($G12),$G12,$F12+$E12-$D12)),FALSE()),2,IF(AND(DY$2&gt;=$D12,DY$2&lt;=$E12),1,"")))</f>
        <v/>
      </c>
      <c r="DZ12" s="55" t="str">
        <f aca="false">IF(OR(DZ$2="",$D12=""),"",IF(IF(ISNUMBER($F12),AND(DZ$2&gt;=$F12,DZ$2&lt;=IF(ISNUMBER($G12),$G12,$F12+$E12-$D12)),FALSE()),2,IF(AND(DZ$2&gt;=$D12,DZ$2&lt;=$E12),1,"")))</f>
        <v/>
      </c>
      <c r="EA12" s="55" t="str">
        <f aca="false">IF(OR(EA$2="",$D12=""),"",IF(IF(ISNUMBER($F12),AND(EA$2&gt;=$F12,EA$2&lt;=IF(ISNUMBER($G12),$G12,$F12+$E12-$D12)),FALSE()),2,IF(AND(EA$2&gt;=$D12,EA$2&lt;=$E12),1,"")))</f>
        <v/>
      </c>
      <c r="EB12" s="55" t="str">
        <f aca="false">IF(OR(EB$2="",$D12=""),"",IF(IF(ISNUMBER($F12),AND(EB$2&gt;=$F12,EB$2&lt;=IF(ISNUMBER($G12),$G12,$F12+$E12-$D12)),FALSE()),2,IF(AND(EB$2&gt;=$D12,EB$2&lt;=$E12),1,"")))</f>
        <v/>
      </c>
      <c r="EC12" s="55" t="str">
        <f aca="false">IF(OR(EC$2="",$D12=""),"",IF(IF(ISNUMBER($F12),AND(EC$2&gt;=$F12,EC$2&lt;=IF(ISNUMBER($G12),$G12,$F12+$E12-$D12)),FALSE()),2,IF(AND(EC$2&gt;=$D12,EC$2&lt;=$E12),1,"")))</f>
        <v/>
      </c>
      <c r="ED12" s="55" t="str">
        <f aca="false">IF(OR(ED$2="",$D12=""),"",IF(IF(ISNUMBER($F12),AND(ED$2&gt;=$F12,ED$2&lt;=IF(ISNUMBER($G12),$G12,$F12+$E12-$D12)),FALSE()),2,IF(AND(ED$2&gt;=$D12,ED$2&lt;=$E12),1,"")))</f>
        <v/>
      </c>
      <c r="EE12" s="55" t="str">
        <f aca="false">IF(OR(EE$2="",$D12=""),"",IF(IF(ISNUMBER($F12),AND(EE$2&gt;=$F12,EE$2&lt;=IF(ISNUMBER($G12),$G12,$F12+$E12-$D12)),FALSE()),2,IF(AND(EE$2&gt;=$D12,EE$2&lt;=$E12),1,"")))</f>
        <v/>
      </c>
      <c r="EF12" s="55" t="str">
        <f aca="false">IF(OR(EF$2="",$D12=""),"",IF(IF(ISNUMBER($F12),AND(EF$2&gt;=$F12,EF$2&lt;=IF(ISNUMBER($G12),$G12,$F12+$E12-$D12)),FALSE()),2,IF(AND(EF$2&gt;=$D12,EF$2&lt;=$E12),1,"")))</f>
        <v/>
      </c>
      <c r="EG12" s="55" t="str">
        <f aca="false">IF(OR(EG$2="",$D12=""),"",IF(IF(ISNUMBER($F12),AND(EG$2&gt;=$F12,EG$2&lt;=IF(ISNUMBER($G12),$G12,$F12+$E12-$D12)),FALSE()),2,IF(AND(EG$2&gt;=$D12,EG$2&lt;=$E12),1,"")))</f>
        <v/>
      </c>
      <c r="EH12" s="55" t="str">
        <f aca="false">IF(OR(EH$2="",$D12=""),"",IF(IF(ISNUMBER($F12),AND(EH$2&gt;=$F12,EH$2&lt;=IF(ISNUMBER($G12),$G12,$F12+$E12-$D12)),FALSE()),2,IF(AND(EH$2&gt;=$D12,EH$2&lt;=$E12),1,"")))</f>
        <v/>
      </c>
      <c r="EI12" s="55" t="str">
        <f aca="false">IF(OR(EI$2="",$D12=""),"",IF(IF(ISNUMBER($F12),AND(EI$2&gt;=$F12,EI$2&lt;=IF(ISNUMBER($G12),$G12,$F12+$E12-$D12)),FALSE()),2,IF(AND(EI$2&gt;=$D12,EI$2&lt;=$E12),1,"")))</f>
        <v/>
      </c>
      <c r="EJ12" s="55" t="str">
        <f aca="false">IF(OR(EJ$2="",$D12=""),"",IF(IF(ISNUMBER($F12),AND(EJ$2&gt;=$F12,EJ$2&lt;=IF(ISNUMBER($G12),$G12,$F12+$E12-$D12)),FALSE()),2,IF(AND(EJ$2&gt;=$D12,EJ$2&lt;=$E12),1,"")))</f>
        <v/>
      </c>
      <c r="EK12" s="55" t="str">
        <f aca="false">IF(OR(EK$2="",$D12=""),"",IF(IF(ISNUMBER($F12),AND(EK$2&gt;=$F12,EK$2&lt;=IF(ISNUMBER($G12),$G12,$F12+$E12-$D12)),FALSE()),2,IF(AND(EK$2&gt;=$D12,EK$2&lt;=$E12),1,"")))</f>
        <v/>
      </c>
      <c r="EL12" s="55" t="str">
        <f aca="false">IF(OR(EL$2="",$D12=""),"",IF(IF(ISNUMBER($F12),AND(EL$2&gt;=$F12,EL$2&lt;=IF(ISNUMBER($G12),$G12,$F12+$E12-$D12)),FALSE()),2,IF(AND(EL$2&gt;=$D12,EL$2&lt;=$E12),1,"")))</f>
        <v/>
      </c>
      <c r="EM12" s="55" t="str">
        <f aca="false">IF(OR(EM$2="",$D12=""),"",IF(IF(ISNUMBER($F12),AND(EM$2&gt;=$F12,EM$2&lt;=IF(ISNUMBER($G12),$G12,$F12+$E12-$D12)),FALSE()),2,IF(AND(EM$2&gt;=$D12,EM$2&lt;=$E12),1,"")))</f>
        <v/>
      </c>
      <c r="EN12" s="55" t="str">
        <f aca="false">IF(OR(EN$2="",$D12=""),"",IF(IF(ISNUMBER($F12),AND(EN$2&gt;=$F12,EN$2&lt;=IF(ISNUMBER($G12),$G12,$F12+$E12-$D12)),FALSE()),2,IF(AND(EN$2&gt;=$D12,EN$2&lt;=$E12),1,"")))</f>
        <v/>
      </c>
      <c r="EO12" s="55" t="str">
        <f aca="false">IF(OR(EO$2="",$D12=""),"",IF(IF(ISNUMBER($F12),AND(EO$2&gt;=$F12,EO$2&lt;=IF(ISNUMBER($G12),$G12,$F12+$E12-$D12)),FALSE()),2,IF(AND(EO$2&gt;=$D12,EO$2&lt;=$E12),1,"")))</f>
        <v/>
      </c>
      <c r="EP12" s="55" t="str">
        <f aca="false">IF(OR(EP$2="",$D12=""),"",IF(IF(ISNUMBER($F12),AND(EP$2&gt;=$F12,EP$2&lt;=IF(ISNUMBER($G12),$G12,$F12+$E12-$D12)),FALSE()),2,IF(AND(EP$2&gt;=$D12,EP$2&lt;=$E12),1,"")))</f>
        <v/>
      </c>
      <c r="EQ12" s="55" t="str">
        <f aca="false">IF(OR(EQ$2="",$D12=""),"",IF(IF(ISNUMBER($F12),AND(EQ$2&gt;=$F12,EQ$2&lt;=IF(ISNUMBER($G12),$G12,$F12+$E12-$D12)),FALSE()),2,IF(AND(EQ$2&gt;=$D12,EQ$2&lt;=$E12),1,"")))</f>
        <v/>
      </c>
      <c r="ER12" s="55" t="str">
        <f aca="false">IF(OR(ER$2="",$D12=""),"",IF(IF(ISNUMBER($F12),AND(ER$2&gt;=$F12,ER$2&lt;=IF(ISNUMBER($G12),$G12,$F12+$E12-$D12)),FALSE()),2,IF(AND(ER$2&gt;=$D12,ER$2&lt;=$E12),1,"")))</f>
        <v/>
      </c>
      <c r="ES12" s="55" t="str">
        <f aca="false">IF(OR(ES$2="",$D12=""),"",IF(IF(ISNUMBER($F12),AND(ES$2&gt;=$F12,ES$2&lt;=IF(ISNUMBER($G12),$G12,$F12+$E12-$D12)),FALSE()),2,IF(AND(ES$2&gt;=$D12,ES$2&lt;=$E12),1,"")))</f>
        <v/>
      </c>
      <c r="ET12" s="55" t="str">
        <f aca="false">IF(OR(ET$2="",$D12=""),"",IF(IF(ISNUMBER($F12),AND(ET$2&gt;=$F12,ET$2&lt;=IF(ISNUMBER($G12),$G12,$F12+$E12-$D12)),FALSE()),2,IF(AND(ET$2&gt;=$D12,ET$2&lt;=$E12),1,"")))</f>
        <v/>
      </c>
      <c r="EU12" s="55" t="str">
        <f aca="false">IF(OR(EU$2="",$D12=""),"",IF(IF(ISNUMBER($F12),AND(EU$2&gt;=$F12,EU$2&lt;=IF(ISNUMBER($G12),$G12,$F12+$E12-$D12)),FALSE()),2,IF(AND(EU$2&gt;=$D12,EU$2&lt;=$E12),1,"")))</f>
        <v/>
      </c>
      <c r="EV12" s="55" t="str">
        <f aca="false">IF(OR(EV$2="",$D12=""),"",IF(IF(ISNUMBER($F12),AND(EV$2&gt;=$F12,EV$2&lt;=IF(ISNUMBER($G12),$G12,$F12+$E12-$D12)),FALSE()),2,IF(AND(EV$2&gt;=$D12,EV$2&lt;=$E12),1,"")))</f>
        <v/>
      </c>
      <c r="EW12" s="55" t="str">
        <f aca="false">IF(OR(EW$2="",$D12=""),"",IF(IF(ISNUMBER($F12),AND(EW$2&gt;=$F12,EW$2&lt;=IF(ISNUMBER($G12),$G12,$F12+$E12-$D12)),FALSE()),2,IF(AND(EW$2&gt;=$D12,EW$2&lt;=$E12),1,"")))</f>
        <v/>
      </c>
      <c r="EX12" s="55" t="str">
        <f aca="false">IF(OR(EX$2="",$D12=""),"",IF(IF(ISNUMBER($F12),AND(EX$2&gt;=$F12,EX$2&lt;=IF(ISNUMBER($G12),$G12,$F12+$E12-$D12)),FALSE()),2,IF(AND(EX$2&gt;=$D12,EX$2&lt;=$E12),1,"")))</f>
        <v/>
      </c>
      <c r="EY12" s="55" t="str">
        <f aca="false">IF(OR(EY$2="",$D12=""),"",IF(IF(ISNUMBER($F12),AND(EY$2&gt;=$F12,EY$2&lt;=IF(ISNUMBER($G12),$G12,$F12+$E12-$D12)),FALSE()),2,IF(AND(EY$2&gt;=$D12,EY$2&lt;=$E12),1,"")))</f>
        <v/>
      </c>
      <c r="EZ12" s="55" t="str">
        <f aca="false">IF(OR(EZ$2="",$D12=""),"",IF(IF(ISNUMBER($F12),AND(EZ$2&gt;=$F12,EZ$2&lt;=IF(ISNUMBER($G12),$G12,$F12+$E12-$D12)),FALSE()),2,IF(AND(EZ$2&gt;=$D12,EZ$2&lt;=$E12),1,"")))</f>
        <v/>
      </c>
      <c r="FA12" s="55" t="str">
        <f aca="false">IF(OR(FA$2="",$D12=""),"",IF(IF(ISNUMBER($F12),AND(FA$2&gt;=$F12,FA$2&lt;=IF(ISNUMBER($G12),$G12,$F12+$E12-$D12)),FALSE()),2,IF(AND(FA$2&gt;=$D12,FA$2&lt;=$E12),1,"")))</f>
        <v/>
      </c>
      <c r="FB12" s="55" t="str">
        <f aca="false">IF(OR(FB$2="",$D12=""),"",IF(IF(ISNUMBER($F12),AND(FB$2&gt;=$F12,FB$2&lt;=IF(ISNUMBER($G12),$G12,$F12+$E12-$D12)),FALSE()),2,IF(AND(FB$2&gt;=$D12,FB$2&lt;=$E12),1,"")))</f>
        <v/>
      </c>
      <c r="FC12" s="55" t="str">
        <f aca="false">IF(OR(FC$2="",$D12=""),"",IF(IF(ISNUMBER($F12),AND(FC$2&gt;=$F12,FC$2&lt;=IF(ISNUMBER($G12),$G12,$F12+$E12-$D12)),FALSE()),2,IF(AND(FC$2&gt;=$D12,FC$2&lt;=$E12),1,"")))</f>
        <v/>
      </c>
      <c r="FD12" s="55" t="str">
        <f aca="false">IF(OR(FD$2="",$D12=""),"",IF(IF(ISNUMBER($F12),AND(FD$2&gt;=$F12,FD$2&lt;=IF(ISNUMBER($G12),$G12,$F12+$E12-$D12)),FALSE()),2,IF(AND(FD$2&gt;=$D12,FD$2&lt;=$E12),1,"")))</f>
        <v/>
      </c>
      <c r="FE12" s="55" t="str">
        <f aca="false">IF(OR(FE$2="",$D12=""),"",IF(IF(ISNUMBER($F12),AND(FE$2&gt;=$F12,FE$2&lt;=IF(ISNUMBER($G12),$G12,$F12+$E12-$D12)),FALSE()),2,IF(AND(FE$2&gt;=$D12,FE$2&lt;=$E12),1,"")))</f>
        <v/>
      </c>
      <c r="FF12" s="55" t="str">
        <f aca="false">IF(OR(FF$2="",$D12=""),"",IF(IF(ISNUMBER($F12),AND(FF$2&gt;=$F12,FF$2&lt;=IF(ISNUMBER($G12),$G12,$F12+$E12-$D12)),FALSE()),2,IF(AND(FF$2&gt;=$D12,FF$2&lt;=$E12),1,"")))</f>
        <v/>
      </c>
      <c r="FG12" s="55" t="str">
        <f aca="false">IF(OR(FG$2="",$D12=""),"",IF(IF(ISNUMBER($F12),AND(FG$2&gt;=$F12,FG$2&lt;=IF(ISNUMBER($G12),$G12,$F12+$E12-$D12)),FALSE()),2,IF(AND(FG$2&gt;=$D12,FG$2&lt;=$E12),1,"")))</f>
        <v/>
      </c>
      <c r="FH12" s="55" t="str">
        <f aca="false">IF(OR(FH$2="",$D12=""),"",IF(IF(ISNUMBER($F12),AND(FH$2&gt;=$F12,FH$2&lt;=IF(ISNUMBER($G12),$G12,$F12+$E12-$D12)),FALSE()),2,IF(AND(FH$2&gt;=$D12,FH$2&lt;=$E12),1,"")))</f>
        <v/>
      </c>
      <c r="FI12" s="55" t="str">
        <f aca="false">IF(OR(FI$2="",$D12=""),"",IF(IF(ISNUMBER($F12),AND(FI$2&gt;=$F12,FI$2&lt;=IF(ISNUMBER($G12),$G12,$F12+$E12-$D12)),FALSE()),2,IF(AND(FI$2&gt;=$D12,FI$2&lt;=$E12),1,"")))</f>
        <v/>
      </c>
      <c r="FJ12" s="55" t="str">
        <f aca="false">IF(OR(FJ$2="",$D12=""),"",IF(IF(ISNUMBER($F12),AND(FJ$2&gt;=$F12,FJ$2&lt;=IF(ISNUMBER($G12),$G12,$F12+$E12-$D12)),FALSE()),2,IF(AND(FJ$2&gt;=$D12,FJ$2&lt;=$E12),1,"")))</f>
        <v/>
      </c>
      <c r="FK12" s="55" t="str">
        <f aca="false">IF(OR(FK$2="",$D12=""),"",IF(IF(ISNUMBER($F12),AND(FK$2&gt;=$F12,FK$2&lt;=IF(ISNUMBER($G12),$G12,$F12+$E12-$D12)),FALSE()),2,IF(AND(FK$2&gt;=$D12,FK$2&lt;=$E12),1,"")))</f>
        <v/>
      </c>
      <c r="FL12" s="55" t="str">
        <f aca="false">IF(OR(FL$2="",$D12=""),"",IF(IF(ISNUMBER($F12),AND(FL$2&gt;=$F12,FL$2&lt;=IF(ISNUMBER($G12),$G12,$F12+$E12-$D12)),FALSE()),2,IF(AND(FL$2&gt;=$D12,FL$2&lt;=$E12),1,"")))</f>
        <v/>
      </c>
      <c r="FM12" s="55" t="str">
        <f aca="false">IF(OR(FM$2="",$D12=""),"",IF(IF(ISNUMBER($F12),AND(FM$2&gt;=$F12,FM$2&lt;=IF(ISNUMBER($G12),$G12,$F12+$E12-$D12)),FALSE()),2,IF(AND(FM$2&gt;=$D12,FM$2&lt;=$E12),1,"")))</f>
        <v/>
      </c>
      <c r="FN12" s="55" t="str">
        <f aca="false">IF(OR(FN$2="",$D12=""),"",IF(IF(ISNUMBER($F12),AND(FN$2&gt;=$F12,FN$2&lt;=IF(ISNUMBER($G12),$G12,$F12+$E12-$D12)),FALSE()),2,IF(AND(FN$2&gt;=$D12,FN$2&lt;=$E12),1,"")))</f>
        <v/>
      </c>
      <c r="FO12" s="55" t="str">
        <f aca="false">IF(OR(FO$2="",$D12=""),"",IF(IF(ISNUMBER($F12),AND(FO$2&gt;=$F12,FO$2&lt;=IF(ISNUMBER($G12),$G12,$F12+$E12-$D12)),FALSE()),2,IF(AND(FO$2&gt;=$D12,FO$2&lt;=$E12),1,"")))</f>
        <v/>
      </c>
      <c r="FP12" s="55" t="str">
        <f aca="false">IF(OR(FP$2="",$D12=""),"",IF(IF(ISNUMBER($F12),AND(FP$2&gt;=$F12,FP$2&lt;=IF(ISNUMBER($G12),$G12,$F12+$E12-$D12)),FALSE()),2,IF(AND(FP$2&gt;=$D12,FP$2&lt;=$E12),1,"")))</f>
        <v/>
      </c>
      <c r="FQ12" s="55" t="str">
        <f aca="false">IF(OR(FQ$2="",$D12=""),"",IF(IF(ISNUMBER($F12),AND(FQ$2&gt;=$F12,FQ$2&lt;=IF(ISNUMBER($G12),$G12,$F12+$E12-$D12)),FALSE()),2,IF(AND(FQ$2&gt;=$D12,FQ$2&lt;=$E12),1,"")))</f>
        <v/>
      </c>
      <c r="FR12" s="55" t="str">
        <f aca="false">IF(OR(FR$2="",$D12=""),"",IF(IF(ISNUMBER($F12),AND(FR$2&gt;=$F12,FR$2&lt;=IF(ISNUMBER($G12),$G12,$F12+$E12-$D12)),FALSE()),2,IF(AND(FR$2&gt;=$D12,FR$2&lt;=$E12),1,"")))</f>
        <v/>
      </c>
      <c r="FS12" s="55" t="str">
        <f aca="false">IF(OR(FS$2="",$D12=""),"",IF(IF(ISNUMBER($F12),AND(FS$2&gt;=$F12,FS$2&lt;=IF(ISNUMBER($G12),$G12,$F12+$E12-$D12)),FALSE()),2,IF(AND(FS$2&gt;=$D12,FS$2&lt;=$E12),1,"")))</f>
        <v/>
      </c>
      <c r="FT12" s="55" t="str">
        <f aca="false">IF(OR(FT$2="",$D12=""),"",IF(IF(ISNUMBER($F12),AND(FT$2&gt;=$F12,FT$2&lt;=IF(ISNUMBER($G12),$G12,$F12+$E12-$D12)),FALSE()),2,IF(AND(FT$2&gt;=$D12,FT$2&lt;=$E12),1,"")))</f>
        <v/>
      </c>
      <c r="FU12" s="55" t="str">
        <f aca="false">IF(OR(FU$2="",$D12=""),"",IF(IF(ISNUMBER($F12),AND(FU$2&gt;=$F12,FU$2&lt;=IF(ISNUMBER($G12),$G12,$F12+$E12-$D12)),FALSE()),2,IF(AND(FU$2&gt;=$D12,FU$2&lt;=$E12),1,"")))</f>
        <v/>
      </c>
      <c r="FV12" s="55" t="str">
        <f aca="false">IF(OR(FV$2="",$D12=""),"",IF(IF(ISNUMBER($F12),AND(FV$2&gt;=$F12,FV$2&lt;=IF(ISNUMBER($G12),$G12,$F12+$E12-$D12)),FALSE()),2,IF(AND(FV$2&gt;=$D12,FV$2&lt;=$E12),1,"")))</f>
        <v/>
      </c>
      <c r="FW12" s="55" t="str">
        <f aca="false">IF(OR(FW$2="",$D12=""),"",IF(IF(ISNUMBER($F12),AND(FW$2&gt;=$F12,FW$2&lt;=IF(ISNUMBER($G12),$G12,$F12+$E12-$D12)),FALSE()),2,IF(AND(FW$2&gt;=$D12,FW$2&lt;=$E12),1,"")))</f>
        <v/>
      </c>
      <c r="FX12" s="55" t="str">
        <f aca="false">IF(OR(FX$2="",$D12=""),"",IF(IF(ISNUMBER($F12),AND(FX$2&gt;=$F12,FX$2&lt;=IF(ISNUMBER($G12),$G12,$F12+$E12-$D12)),FALSE()),2,IF(AND(FX$2&gt;=$D12,FX$2&lt;=$E12),1,"")))</f>
        <v/>
      </c>
      <c r="FY12" s="55" t="str">
        <f aca="false">IF(OR(FY$2="",$D12=""),"",IF(IF(ISNUMBER($F12),AND(FY$2&gt;=$F12,FY$2&lt;=IF(ISNUMBER($G12),$G12,$F12+$E12-$D12)),FALSE()),2,IF(AND(FY$2&gt;=$D12,FY$2&lt;=$E12),1,"")))</f>
        <v/>
      </c>
      <c r="FZ12" s="55" t="str">
        <f aca="false">IF(OR(FZ$2="",$D12=""),"",IF(IF(ISNUMBER($F12),AND(FZ$2&gt;=$F12,FZ$2&lt;=IF(ISNUMBER($G12),$G12,$F12+$E12-$D12)),FALSE()),2,IF(AND(FZ$2&gt;=$D12,FZ$2&lt;=$E12),1,"")))</f>
        <v/>
      </c>
      <c r="GA12" s="55" t="str">
        <f aca="false">IF(OR(GA$2="",$D12=""),"",IF(IF(ISNUMBER($F12),AND(GA$2&gt;=$F12,GA$2&lt;=IF(ISNUMBER($G12),$G12,$F12+$E12-$D12)),FALSE()),2,IF(AND(GA$2&gt;=$D12,GA$2&lt;=$E12),1,"")))</f>
        <v/>
      </c>
      <c r="GB12" s="55" t="str">
        <f aca="false">IF(OR(GB$2="",$D12=""),"",IF(IF(ISNUMBER($F12),AND(GB$2&gt;=$F12,GB$2&lt;=IF(ISNUMBER($G12),$G12,$F12+$E12-$D12)),FALSE()),2,IF(AND(GB$2&gt;=$D12,GB$2&lt;=$E12),1,"")))</f>
        <v/>
      </c>
      <c r="GC12" s="55" t="str">
        <f aca="false">IF(OR(GC$2="",$D12=""),"",IF(IF(ISNUMBER($F12),AND(GC$2&gt;=$F12,GC$2&lt;=IF(ISNUMBER($G12),$G12,$F12+$E12-$D12)),FALSE()),2,IF(AND(GC$2&gt;=$D12,GC$2&lt;=$E12),1,"")))</f>
        <v/>
      </c>
      <c r="GD12" s="55" t="str">
        <f aca="false">IF(OR(GD$2="",$D12=""),"",IF(IF(ISNUMBER($F12),AND(GD$2&gt;=$F12,GD$2&lt;=IF(ISNUMBER($G12),$G12,$F12+$E12-$D12)),FALSE()),2,IF(AND(GD$2&gt;=$D12,GD$2&lt;=$E12),1,"")))</f>
        <v/>
      </c>
      <c r="GE12" s="55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false" outlineLevel="0" collapsed="false">
      <c r="A13" s="54" t="s">
        <v>373</v>
      </c>
      <c r="B13" s="21" t="s">
        <v>374</v>
      </c>
      <c r="C13" s="21" t="s">
        <v>83</v>
      </c>
      <c r="D13" s="51" t="n">
        <f aca="false">IF(Day_0="","",Day_0+cfg_3)</f>
        <v>46069</v>
      </c>
      <c r="E13" s="51" t="n">
        <f aca="false">IF(Day_0="","",Day_0+cfg_3+cfg_4)</f>
        <v>46077</v>
      </c>
      <c r="F13" s="51" t="str">
        <f aca="false">IF(_xlfn.MINIFS(2_Daily_input!$D$1:$FQ$1,2_Daily_input!$D$71:$FQ$71,"MD start")+_xlfn.MINIFS(2_Daily_input!$D$1:$FQ$1,2_Daily_input!$D$72:$FQ$72,"MD start")=0,"",IF(_xlfn.MINIFS(2_Daily_input!$D$1:$FQ$1,2_Daily_input!$D$71:$FQ$71,"MD start")=0,_xlfn.MINIFS(2_Daily_input!$D$1:$FQ$1,2_Daily_input!$D$72:$FQ$72,"MD start"),IF(_xlfn.MINIFS(2_Daily_input!$D$1:$FQ$1,2_Daily_input!$D$72:$FQ$72,"MD start")=0,_xlfn.MINIFS(2_Daily_input!$D$1:$FQ$1,2_Daily_input!$D$71:$FQ$71,"MD start"),MIN(_xlfn.MINIFS(2_Daily_input!$D$1:$FQ$1,2_Daily_input!$D$71:$FQ$71,"MD start"),_xlfn.MINIFS(2_Daily_input!$D$1:$FQ$1,2_Daily_input!$D$72:$FQ$72,"MD start")))))</f>
        <v/>
      </c>
      <c r="G13" s="51" t="str">
        <f aca="false">IF(_xlfn.MINIFS(2_Daily_input!$D$1:$FQ$1,2_Daily_input!$D$71:$FQ$71,"MD end")+_xlfn.MINIFS(2_Daily_input!$D$1:$FQ$1,2_Daily_input!$D$72:$FQ$72,"MD end")=0,"",IF(_xlfn.MINIFS(2_Daily_input!$D$1:$FQ$1,2_Daily_input!$D$71:$FQ$71,"MD end")=0,_xlfn.MINIFS(2_Daily_input!$D$1:$FQ$1,2_Daily_input!$D$72:$FQ$72,"MD end"),IF(_xlfn.MINIFS(2_Daily_input!$D$1:$FQ$1,2_Daily_input!$D$72:$FQ$72,"MD end")=0,_xlfn.MINIFS(2_Daily_input!$D$1:$FQ$1,2_Daily_input!$D$71:$FQ$71,"MD end"),MIN(_xlfn.MINIFS(2_Daily_input!$D$1:$FQ$1,2_Daily_input!$D$71:$FQ$71,"MD end"),_xlfn.MINIFS(2_Daily_input!$D$1:$FQ$1,2_Daily_input!$D$72:$FQ$72,"MD end")))))</f>
        <v/>
      </c>
      <c r="H13" s="50" t="str">
        <f aca="true">IF(D13="","no plan",IF(F13&lt;&gt;"",IF(F13-D13&gt;=2,"LATE","OK"),IF(TODAY()&gt;D13+2,"OVERDUE","upcoming")))</f>
        <v>OVERDUE</v>
      </c>
      <c r="I13" s="50" t="str">
        <f aca="false">IF(AND(D13&lt;&gt;"",F13&lt;&gt;""),F13-D13,"")</f>
        <v/>
      </c>
      <c r="J13" s="51" t="n">
        <f aca="false">IF(F13&lt;&gt;"",F13,D13)</f>
        <v>46069</v>
      </c>
      <c r="K13" s="51" t="n">
        <f aca="false">IF(G13&lt;&gt;"",G13,IF(AND(F13&lt;&gt;"",E13=D13),F13,E13))</f>
        <v>46077</v>
      </c>
      <c r="L13" s="50" t="str">
        <f aca="true">IF(AND(D13&lt;&gt;"",F13="",D13&gt;=TODAY()),D13+ROW()/1000,"")</f>
        <v/>
      </c>
      <c r="M13" s="55" t="str">
        <f aca="false">IF(OR(M$2="",$D13=""),"",IF(IF(ISNUMBER($F13),AND(M$2&gt;=$F13,M$2&lt;=IF(ISNUMBER($G13),$G13,$F13+$E13-$D13)),FALSE()),2,IF(AND(M$2&gt;=$D13,M$2&lt;=$E13),1,"")))</f>
        <v/>
      </c>
      <c r="N13" s="55" t="str">
        <f aca="false">IF(OR(N$2="",$D13=""),"",IF(IF(ISNUMBER($F13),AND(N$2&gt;=$F13,N$2&lt;=IF(ISNUMBER($G13),$G13,$F13+$E13-$D13)),FALSE()),2,IF(AND(N$2&gt;=$D13,N$2&lt;=$E13),1,"")))</f>
        <v/>
      </c>
      <c r="O13" s="55" t="str">
        <f aca="false">IF(OR(O$2="",$D13=""),"",IF(IF(ISNUMBER($F13),AND(O$2&gt;=$F13,O$2&lt;=IF(ISNUMBER($G13),$G13,$F13+$E13-$D13)),FALSE()),2,IF(AND(O$2&gt;=$D13,O$2&lt;=$E13),1,"")))</f>
        <v/>
      </c>
      <c r="P13" s="55" t="str">
        <f aca="false">IF(OR(P$2="",$D13=""),"",IF(IF(ISNUMBER($F13),AND(P$2&gt;=$F13,P$2&lt;=IF(ISNUMBER($G13),$G13,$F13+$E13-$D13)),FALSE()),2,IF(AND(P$2&gt;=$D13,P$2&lt;=$E13),1,"")))</f>
        <v/>
      </c>
      <c r="Q13" s="55" t="str">
        <f aca="false">IF(OR(Q$2="",$D13=""),"",IF(IF(ISNUMBER($F13),AND(Q$2&gt;=$F13,Q$2&lt;=IF(ISNUMBER($G13),$G13,$F13+$E13-$D13)),FALSE()),2,IF(AND(Q$2&gt;=$D13,Q$2&lt;=$E13),1,"")))</f>
        <v/>
      </c>
      <c r="R13" s="55" t="str">
        <f aca="false">IF(OR(R$2="",$D13=""),"",IF(IF(ISNUMBER($F13),AND(R$2&gt;=$F13,R$2&lt;=IF(ISNUMBER($G13),$G13,$F13+$E13-$D13)),FALSE()),2,IF(AND(R$2&gt;=$D13,R$2&lt;=$E13),1,"")))</f>
        <v/>
      </c>
      <c r="S13" s="55" t="str">
        <f aca="false">IF(OR(S$2="",$D13=""),"",IF(IF(ISNUMBER($F13),AND(S$2&gt;=$F13,S$2&lt;=IF(ISNUMBER($G13),$G13,$F13+$E13-$D13)),FALSE()),2,IF(AND(S$2&gt;=$D13,S$2&lt;=$E13),1,"")))</f>
        <v/>
      </c>
      <c r="T13" s="55" t="str">
        <f aca="false">IF(OR(T$2="",$D13=""),"",IF(IF(ISNUMBER($F13),AND(T$2&gt;=$F13,T$2&lt;=IF(ISNUMBER($G13),$G13,$F13+$E13-$D13)),FALSE()),2,IF(AND(T$2&gt;=$D13,T$2&lt;=$E13),1,"")))</f>
        <v/>
      </c>
      <c r="U13" s="55" t="str">
        <f aca="false">IF(OR(U$2="",$D13=""),"",IF(IF(ISNUMBER($F13),AND(U$2&gt;=$F13,U$2&lt;=IF(ISNUMBER($G13),$G13,$F13+$E13-$D13)),FALSE()),2,IF(AND(U$2&gt;=$D13,U$2&lt;=$E13),1,"")))</f>
        <v/>
      </c>
      <c r="V13" s="55" t="str">
        <f aca="false">IF(OR(V$2="",$D13=""),"",IF(IF(ISNUMBER($F13),AND(V$2&gt;=$F13,V$2&lt;=IF(ISNUMBER($G13),$G13,$F13+$E13-$D13)),FALSE()),2,IF(AND(V$2&gt;=$D13,V$2&lt;=$E13),1,"")))</f>
        <v/>
      </c>
      <c r="W13" s="55" t="str">
        <f aca="false">IF(OR(W$2="",$D13=""),"",IF(IF(ISNUMBER($F13),AND(W$2&gt;=$F13,W$2&lt;=IF(ISNUMBER($G13),$G13,$F13+$E13-$D13)),FALSE()),2,IF(AND(W$2&gt;=$D13,W$2&lt;=$E13),1,"")))</f>
        <v/>
      </c>
      <c r="X13" s="55" t="str">
        <f aca="false">IF(OR(X$2="",$D13=""),"",IF(IF(ISNUMBER($F13),AND(X$2&gt;=$F13,X$2&lt;=IF(ISNUMBER($G13),$G13,$F13+$E13-$D13)),FALSE()),2,IF(AND(X$2&gt;=$D13,X$2&lt;=$E13),1,"")))</f>
        <v/>
      </c>
      <c r="Y13" s="55" t="str">
        <f aca="false">IF(OR(Y$2="",$D13=""),"",IF(IF(ISNUMBER($F13),AND(Y$2&gt;=$F13,Y$2&lt;=IF(ISNUMBER($G13),$G13,$F13+$E13-$D13)),FALSE()),2,IF(AND(Y$2&gt;=$D13,Y$2&lt;=$E13),1,"")))</f>
        <v/>
      </c>
      <c r="Z13" s="55" t="str">
        <f aca="false">IF(OR(Z$2="",$D13=""),"",IF(IF(ISNUMBER($F13),AND(Z$2&gt;=$F13,Z$2&lt;=IF(ISNUMBER($G13),$G13,$F13+$E13-$D13)),FALSE()),2,IF(AND(Z$2&gt;=$D13,Z$2&lt;=$E13),1,"")))</f>
        <v/>
      </c>
      <c r="AA13" s="55" t="str">
        <f aca="false">IF(OR(AA$2="",$D13=""),"",IF(IF(ISNUMBER($F13),AND(AA$2&gt;=$F13,AA$2&lt;=IF(ISNUMBER($G13),$G13,$F13+$E13-$D13)),FALSE()),2,IF(AND(AA$2&gt;=$D13,AA$2&lt;=$E13),1,"")))</f>
        <v/>
      </c>
      <c r="AB13" s="55" t="str">
        <f aca="false">IF(OR(AB$2="",$D13=""),"",IF(IF(ISNUMBER($F13),AND(AB$2&gt;=$F13,AB$2&lt;=IF(ISNUMBER($G13),$G13,$F13+$E13-$D13)),FALSE()),2,IF(AND(AB$2&gt;=$D13,AB$2&lt;=$E13),1,"")))</f>
        <v/>
      </c>
      <c r="AC13" s="55" t="str">
        <f aca="false">IF(OR(AC$2="",$D13=""),"",IF(IF(ISNUMBER($F13),AND(AC$2&gt;=$F13,AC$2&lt;=IF(ISNUMBER($G13),$G13,$F13+$E13-$D13)),FALSE()),2,IF(AND(AC$2&gt;=$D13,AC$2&lt;=$E13),1,"")))</f>
        <v/>
      </c>
      <c r="AD13" s="55" t="str">
        <f aca="false">IF(OR(AD$2="",$D13=""),"",IF(IF(ISNUMBER($F13),AND(AD$2&gt;=$F13,AD$2&lt;=IF(ISNUMBER($G13),$G13,$F13+$E13-$D13)),FALSE()),2,IF(AND(AD$2&gt;=$D13,AD$2&lt;=$E13),1,"")))</f>
        <v/>
      </c>
      <c r="AE13" s="55" t="str">
        <f aca="false">IF(OR(AE$2="",$D13=""),"",IF(IF(ISNUMBER($F13),AND(AE$2&gt;=$F13,AE$2&lt;=IF(ISNUMBER($G13),$G13,$F13+$E13-$D13)),FALSE()),2,IF(AND(AE$2&gt;=$D13,AE$2&lt;=$E13),1,"")))</f>
        <v/>
      </c>
      <c r="AF13" s="55" t="str">
        <f aca="false">IF(OR(AF$2="",$D13=""),"",IF(IF(ISNUMBER($F13),AND(AF$2&gt;=$F13,AF$2&lt;=IF(ISNUMBER($G13),$G13,$F13+$E13-$D13)),FALSE()),2,IF(AND(AF$2&gt;=$D13,AF$2&lt;=$E13),1,"")))</f>
        <v/>
      </c>
      <c r="AG13" s="55" t="str">
        <f aca="false">IF(OR(AG$2="",$D13=""),"",IF(IF(ISNUMBER($F13),AND(AG$2&gt;=$F13,AG$2&lt;=IF(ISNUMBER($G13),$G13,$F13+$E13-$D13)),FALSE()),2,IF(AND(AG$2&gt;=$D13,AG$2&lt;=$E13),1,"")))</f>
        <v/>
      </c>
      <c r="AH13" s="55" t="str">
        <f aca="false">IF(OR(AH$2="",$D13=""),"",IF(IF(ISNUMBER($F13),AND(AH$2&gt;=$F13,AH$2&lt;=IF(ISNUMBER($G13),$G13,$F13+$E13-$D13)),FALSE()),2,IF(AND(AH$2&gt;=$D13,AH$2&lt;=$E13),1,"")))</f>
        <v/>
      </c>
      <c r="AI13" s="55" t="str">
        <f aca="false">IF(OR(AI$2="",$D13=""),"",IF(IF(ISNUMBER($F13),AND(AI$2&gt;=$F13,AI$2&lt;=IF(ISNUMBER($G13),$G13,$F13+$E13-$D13)),FALSE()),2,IF(AND(AI$2&gt;=$D13,AI$2&lt;=$E13),1,"")))</f>
        <v/>
      </c>
      <c r="AJ13" s="55" t="str">
        <f aca="false">IF(OR(AJ$2="",$D13=""),"",IF(IF(ISNUMBER($F13),AND(AJ$2&gt;=$F13,AJ$2&lt;=IF(ISNUMBER($G13),$G13,$F13+$E13-$D13)),FALSE()),2,IF(AND(AJ$2&gt;=$D13,AJ$2&lt;=$E13),1,"")))</f>
        <v/>
      </c>
      <c r="AK13" s="55" t="str">
        <f aca="false">IF(OR(AK$2="",$D13=""),"",IF(IF(ISNUMBER($F13),AND(AK$2&gt;=$F13,AK$2&lt;=IF(ISNUMBER($G13),$G13,$F13+$E13-$D13)),FALSE()),2,IF(AND(AK$2&gt;=$D13,AK$2&lt;=$E13),1,"")))</f>
        <v/>
      </c>
      <c r="AL13" s="55" t="str">
        <f aca="false">IF(OR(AL$2="",$D13=""),"",IF(IF(ISNUMBER($F13),AND(AL$2&gt;=$F13,AL$2&lt;=IF(ISNUMBER($G13),$G13,$F13+$E13-$D13)),FALSE()),2,IF(AND(AL$2&gt;=$D13,AL$2&lt;=$E13),1,"")))</f>
        <v/>
      </c>
      <c r="AM13" s="55" t="str">
        <f aca="false">IF(OR(AM$2="",$D13=""),"",IF(IF(ISNUMBER($F13),AND(AM$2&gt;=$F13,AM$2&lt;=IF(ISNUMBER($G13),$G13,$F13+$E13-$D13)),FALSE()),2,IF(AND(AM$2&gt;=$D13,AM$2&lt;=$E13),1,"")))</f>
        <v/>
      </c>
      <c r="AN13" s="55" t="str">
        <f aca="false">IF(OR(AN$2="",$D13=""),"",IF(IF(ISNUMBER($F13),AND(AN$2&gt;=$F13,AN$2&lt;=IF(ISNUMBER($G13),$G13,$F13+$E13-$D13)),FALSE()),2,IF(AND(AN$2&gt;=$D13,AN$2&lt;=$E13),1,"")))</f>
        <v/>
      </c>
      <c r="AO13" s="55" t="str">
        <f aca="false">IF(OR(AO$2="",$D13=""),"",IF(IF(ISNUMBER($F13),AND(AO$2&gt;=$F13,AO$2&lt;=IF(ISNUMBER($G13),$G13,$F13+$E13-$D13)),FALSE()),2,IF(AND(AO$2&gt;=$D13,AO$2&lt;=$E13),1,"")))</f>
        <v/>
      </c>
      <c r="AP13" s="55" t="str">
        <f aca="false">IF(OR(AP$2="",$D13=""),"",IF(IF(ISNUMBER($F13),AND(AP$2&gt;=$F13,AP$2&lt;=IF(ISNUMBER($G13),$G13,$F13+$E13-$D13)),FALSE()),2,IF(AND(AP$2&gt;=$D13,AP$2&lt;=$E13),1,"")))</f>
        <v/>
      </c>
      <c r="AQ13" s="55" t="str">
        <f aca="false">IF(OR(AQ$2="",$D13=""),"",IF(IF(ISNUMBER($F13),AND(AQ$2&gt;=$F13,AQ$2&lt;=IF(ISNUMBER($G13),$G13,$F13+$E13-$D13)),FALSE()),2,IF(AND(AQ$2&gt;=$D13,AQ$2&lt;=$E13),1,"")))</f>
        <v/>
      </c>
      <c r="AR13" s="55" t="str">
        <f aca="false">IF(OR(AR$2="",$D13=""),"",IF(IF(ISNUMBER($F13),AND(AR$2&gt;=$F13,AR$2&lt;=IF(ISNUMBER($G13),$G13,$F13+$E13-$D13)),FALSE()),2,IF(AND(AR$2&gt;=$D13,AR$2&lt;=$E13),1,"")))</f>
        <v/>
      </c>
      <c r="AS13" s="55" t="str">
        <f aca="false">IF(OR(AS$2="",$D13=""),"",IF(IF(ISNUMBER($F13),AND(AS$2&gt;=$F13,AS$2&lt;=IF(ISNUMBER($G13),$G13,$F13+$E13-$D13)),FALSE()),2,IF(AND(AS$2&gt;=$D13,AS$2&lt;=$E13),1,"")))</f>
        <v/>
      </c>
      <c r="AT13" s="55" t="str">
        <f aca="false">IF(OR(AT$2="",$D13=""),"",IF(IF(ISNUMBER($F13),AND(AT$2&gt;=$F13,AT$2&lt;=IF(ISNUMBER($G13),$G13,$F13+$E13-$D13)),FALSE()),2,IF(AND(AT$2&gt;=$D13,AT$2&lt;=$E13),1,"")))</f>
        <v/>
      </c>
      <c r="AU13" s="55" t="str">
        <f aca="false">IF(OR(AU$2="",$D13=""),"",IF(IF(ISNUMBER($F13),AND(AU$2&gt;=$F13,AU$2&lt;=IF(ISNUMBER($G13),$G13,$F13+$E13-$D13)),FALSE()),2,IF(AND(AU$2&gt;=$D13,AU$2&lt;=$E13),1,"")))</f>
        <v/>
      </c>
      <c r="AV13" s="55" t="str">
        <f aca="false">IF(OR(AV$2="",$D13=""),"",IF(IF(ISNUMBER($F13),AND(AV$2&gt;=$F13,AV$2&lt;=IF(ISNUMBER($G13),$G13,$F13+$E13-$D13)),FALSE()),2,IF(AND(AV$2&gt;=$D13,AV$2&lt;=$E13),1,"")))</f>
        <v/>
      </c>
      <c r="AW13" s="55" t="str">
        <f aca="false">IF(OR(AW$2="",$D13=""),"",IF(IF(ISNUMBER($F13),AND(AW$2&gt;=$F13,AW$2&lt;=IF(ISNUMBER($G13),$G13,$F13+$E13-$D13)),FALSE()),2,IF(AND(AW$2&gt;=$D13,AW$2&lt;=$E13),1,"")))</f>
        <v/>
      </c>
      <c r="AX13" s="55" t="str">
        <f aca="false">IF(OR(AX$2="",$D13=""),"",IF(IF(ISNUMBER($F13),AND(AX$2&gt;=$F13,AX$2&lt;=IF(ISNUMBER($G13),$G13,$F13+$E13-$D13)),FALSE()),2,IF(AND(AX$2&gt;=$D13,AX$2&lt;=$E13),1,"")))</f>
        <v/>
      </c>
      <c r="AY13" s="55" t="str">
        <f aca="false">IF(OR(AY$2="",$D13=""),"",IF(IF(ISNUMBER($F13),AND(AY$2&gt;=$F13,AY$2&lt;=IF(ISNUMBER($G13),$G13,$F13+$E13-$D13)),FALSE()),2,IF(AND(AY$2&gt;=$D13,AY$2&lt;=$E13),1,"")))</f>
        <v/>
      </c>
      <c r="AZ13" s="55" t="str">
        <f aca="false">IF(OR(AZ$2="",$D13=""),"",IF(IF(ISNUMBER($F13),AND(AZ$2&gt;=$F13,AZ$2&lt;=IF(ISNUMBER($G13),$G13,$F13+$E13-$D13)),FALSE()),2,IF(AND(AZ$2&gt;=$D13,AZ$2&lt;=$E13),1,"")))</f>
        <v/>
      </c>
      <c r="BA13" s="55" t="str">
        <f aca="false">IF(OR(BA$2="",$D13=""),"",IF(IF(ISNUMBER($F13),AND(BA$2&gt;=$F13,BA$2&lt;=IF(ISNUMBER($G13),$G13,$F13+$E13-$D13)),FALSE()),2,IF(AND(BA$2&gt;=$D13,BA$2&lt;=$E13),1,"")))</f>
        <v/>
      </c>
      <c r="BB13" s="55" t="str">
        <f aca="false">IF(OR(BB$2="",$D13=""),"",IF(IF(ISNUMBER($F13),AND(BB$2&gt;=$F13,BB$2&lt;=IF(ISNUMBER($G13),$G13,$F13+$E13-$D13)),FALSE()),2,IF(AND(BB$2&gt;=$D13,BB$2&lt;=$E13),1,"")))</f>
        <v/>
      </c>
      <c r="BC13" s="55" t="str">
        <f aca="false">IF(OR(BC$2="",$D13=""),"",IF(IF(ISNUMBER($F13),AND(BC$2&gt;=$F13,BC$2&lt;=IF(ISNUMBER($G13),$G13,$F13+$E13-$D13)),FALSE()),2,IF(AND(BC$2&gt;=$D13,BC$2&lt;=$E13),1,"")))</f>
        <v/>
      </c>
      <c r="BD13" s="55" t="str">
        <f aca="false">IF(OR(BD$2="",$D13=""),"",IF(IF(ISNUMBER($F13),AND(BD$2&gt;=$F13,BD$2&lt;=IF(ISNUMBER($G13),$G13,$F13+$E13-$D13)),FALSE()),2,IF(AND(BD$2&gt;=$D13,BD$2&lt;=$E13),1,"")))</f>
        <v/>
      </c>
      <c r="BE13" s="55" t="str">
        <f aca="false">IF(OR(BE$2="",$D13=""),"",IF(IF(ISNUMBER($F13),AND(BE$2&gt;=$F13,BE$2&lt;=IF(ISNUMBER($G13),$G13,$F13+$E13-$D13)),FALSE()),2,IF(AND(BE$2&gt;=$D13,BE$2&lt;=$E13),1,"")))</f>
        <v/>
      </c>
      <c r="BF13" s="55" t="str">
        <f aca="false">IF(OR(BF$2="",$D13=""),"",IF(IF(ISNUMBER($F13),AND(BF$2&gt;=$F13,BF$2&lt;=IF(ISNUMBER($G13),$G13,$F13+$E13-$D13)),FALSE()),2,IF(AND(BF$2&gt;=$D13,BF$2&lt;=$E13),1,"")))</f>
        <v/>
      </c>
      <c r="BG13" s="55" t="str">
        <f aca="false">IF(OR(BG$2="",$D13=""),"",IF(IF(ISNUMBER($F13),AND(BG$2&gt;=$F13,BG$2&lt;=IF(ISNUMBER($G13),$G13,$F13+$E13-$D13)),FALSE()),2,IF(AND(BG$2&gt;=$D13,BG$2&lt;=$E13),1,"")))</f>
        <v/>
      </c>
      <c r="BH13" s="55" t="str">
        <f aca="false">IF(OR(BH$2="",$D13=""),"",IF(IF(ISNUMBER($F13),AND(BH$2&gt;=$F13,BH$2&lt;=IF(ISNUMBER($G13),$G13,$F13+$E13-$D13)),FALSE()),2,IF(AND(BH$2&gt;=$D13,BH$2&lt;=$E13),1,"")))</f>
        <v/>
      </c>
      <c r="BI13" s="55" t="str">
        <f aca="false">IF(OR(BI$2="",$D13=""),"",IF(IF(ISNUMBER($F13),AND(BI$2&gt;=$F13,BI$2&lt;=IF(ISNUMBER($G13),$G13,$F13+$E13-$D13)),FALSE()),2,IF(AND(BI$2&gt;=$D13,BI$2&lt;=$E13),1,"")))</f>
        <v/>
      </c>
      <c r="BJ13" s="55" t="str">
        <f aca="false">IF(OR(BJ$2="",$D13=""),"",IF(IF(ISNUMBER($F13),AND(BJ$2&gt;=$F13,BJ$2&lt;=IF(ISNUMBER($G13),$G13,$F13+$E13-$D13)),FALSE()),2,IF(AND(BJ$2&gt;=$D13,BJ$2&lt;=$E13),1,"")))</f>
        <v/>
      </c>
      <c r="BK13" s="55" t="str">
        <f aca="false">IF(OR(BK$2="",$D13=""),"",IF(IF(ISNUMBER($F13),AND(BK$2&gt;=$F13,BK$2&lt;=IF(ISNUMBER($G13),$G13,$F13+$E13-$D13)),FALSE()),2,IF(AND(BK$2&gt;=$D13,BK$2&lt;=$E13),1,"")))</f>
        <v/>
      </c>
      <c r="BL13" s="55" t="str">
        <f aca="false">IF(OR(BL$2="",$D13=""),"",IF(IF(ISNUMBER($F13),AND(BL$2&gt;=$F13,BL$2&lt;=IF(ISNUMBER($G13),$G13,$F13+$E13-$D13)),FALSE()),2,IF(AND(BL$2&gt;=$D13,BL$2&lt;=$E13),1,"")))</f>
        <v/>
      </c>
      <c r="BM13" s="55" t="str">
        <f aca="false">IF(OR(BM$2="",$D13=""),"",IF(IF(ISNUMBER($F13),AND(BM$2&gt;=$F13,BM$2&lt;=IF(ISNUMBER($G13),$G13,$F13+$E13-$D13)),FALSE()),2,IF(AND(BM$2&gt;=$D13,BM$2&lt;=$E13),1,"")))</f>
        <v/>
      </c>
      <c r="BN13" s="55" t="str">
        <f aca="false">IF(OR(BN$2="",$D13=""),"",IF(IF(ISNUMBER($F13),AND(BN$2&gt;=$F13,BN$2&lt;=IF(ISNUMBER($G13),$G13,$F13+$E13-$D13)),FALSE()),2,IF(AND(BN$2&gt;=$D13,BN$2&lt;=$E13),1,"")))</f>
        <v/>
      </c>
      <c r="BO13" s="55" t="str">
        <f aca="false">IF(OR(BO$2="",$D13=""),"",IF(IF(ISNUMBER($F13),AND(BO$2&gt;=$F13,BO$2&lt;=IF(ISNUMBER($G13),$G13,$F13+$E13-$D13)),FALSE()),2,IF(AND(BO$2&gt;=$D13,BO$2&lt;=$E13),1,"")))</f>
        <v/>
      </c>
      <c r="BP13" s="55" t="str">
        <f aca="false">IF(OR(BP$2="",$D13=""),"",IF(IF(ISNUMBER($F13),AND(BP$2&gt;=$F13,BP$2&lt;=IF(ISNUMBER($G13),$G13,$F13+$E13-$D13)),FALSE()),2,IF(AND(BP$2&gt;=$D13,BP$2&lt;=$E13),1,"")))</f>
        <v/>
      </c>
      <c r="BQ13" s="55" t="str">
        <f aca="false">IF(OR(BQ$2="",$D13=""),"",IF(IF(ISNUMBER($F13),AND(BQ$2&gt;=$F13,BQ$2&lt;=IF(ISNUMBER($G13),$G13,$F13+$E13-$D13)),FALSE()),2,IF(AND(BQ$2&gt;=$D13,BQ$2&lt;=$E13),1,"")))</f>
        <v/>
      </c>
      <c r="BR13" s="55" t="str">
        <f aca="false">IF(OR(BR$2="",$D13=""),"",IF(IF(ISNUMBER($F13),AND(BR$2&gt;=$F13,BR$2&lt;=IF(ISNUMBER($G13),$G13,$F13+$E13-$D13)),FALSE()),2,IF(AND(BR$2&gt;=$D13,BR$2&lt;=$E13),1,"")))</f>
        <v/>
      </c>
      <c r="BS13" s="55" t="str">
        <f aca="false">IF(OR(BS$2="",$D13=""),"",IF(IF(ISNUMBER($F13),AND(BS$2&gt;=$F13,BS$2&lt;=IF(ISNUMBER($G13),$G13,$F13+$E13-$D13)),FALSE()),2,IF(AND(BS$2&gt;=$D13,BS$2&lt;=$E13),1,"")))</f>
        <v/>
      </c>
      <c r="BT13" s="55" t="str">
        <f aca="false">IF(OR(BT$2="",$D13=""),"",IF(IF(ISNUMBER($F13),AND(BT$2&gt;=$F13,BT$2&lt;=IF(ISNUMBER($G13),$G13,$F13+$E13-$D13)),FALSE()),2,IF(AND(BT$2&gt;=$D13,BT$2&lt;=$E13),1,"")))</f>
        <v/>
      </c>
      <c r="BU13" s="55" t="str">
        <f aca="false">IF(OR(BU$2="",$D13=""),"",IF(IF(ISNUMBER($F13),AND(BU$2&gt;=$F13,BU$2&lt;=IF(ISNUMBER($G13),$G13,$F13+$E13-$D13)),FALSE()),2,IF(AND(BU$2&gt;=$D13,BU$2&lt;=$E13),1,"")))</f>
        <v/>
      </c>
      <c r="BV13" s="55" t="str">
        <f aca="false">IF(OR(BV$2="",$D13=""),"",IF(IF(ISNUMBER($F13),AND(BV$2&gt;=$F13,BV$2&lt;=IF(ISNUMBER($G13),$G13,$F13+$E13-$D13)),FALSE()),2,IF(AND(BV$2&gt;=$D13,BV$2&lt;=$E13),1,"")))</f>
        <v/>
      </c>
      <c r="BW13" s="55" t="str">
        <f aca="false">IF(OR(BW$2="",$D13=""),"",IF(IF(ISNUMBER($F13),AND(BW$2&gt;=$F13,BW$2&lt;=IF(ISNUMBER($G13),$G13,$F13+$E13-$D13)),FALSE()),2,IF(AND(BW$2&gt;=$D13,BW$2&lt;=$E13),1,"")))</f>
        <v/>
      </c>
      <c r="BX13" s="55" t="str">
        <f aca="false">IF(OR(BX$2="",$D13=""),"",IF(IF(ISNUMBER($F13),AND(BX$2&gt;=$F13,BX$2&lt;=IF(ISNUMBER($G13),$G13,$F13+$E13-$D13)),FALSE()),2,IF(AND(BX$2&gt;=$D13,BX$2&lt;=$E13),1,"")))</f>
        <v/>
      </c>
      <c r="BY13" s="55" t="str">
        <f aca="false">IF(OR(BY$2="",$D13=""),"",IF(IF(ISNUMBER($F13),AND(BY$2&gt;=$F13,BY$2&lt;=IF(ISNUMBER($G13),$G13,$F13+$E13-$D13)),FALSE()),2,IF(AND(BY$2&gt;=$D13,BY$2&lt;=$E13),1,"")))</f>
        <v/>
      </c>
      <c r="BZ13" s="55" t="str">
        <f aca="false">IF(OR(BZ$2="",$D13=""),"",IF(IF(ISNUMBER($F13),AND(BZ$2&gt;=$F13,BZ$2&lt;=IF(ISNUMBER($G13),$G13,$F13+$E13-$D13)),FALSE()),2,IF(AND(BZ$2&gt;=$D13,BZ$2&lt;=$E13),1,"")))</f>
        <v/>
      </c>
      <c r="CA13" s="55" t="str">
        <f aca="false">IF(OR(CA$2="",$D13=""),"",IF(IF(ISNUMBER($F13),AND(CA$2&gt;=$F13,CA$2&lt;=IF(ISNUMBER($G13),$G13,$F13+$E13-$D13)),FALSE()),2,IF(AND(CA$2&gt;=$D13,CA$2&lt;=$E13),1,"")))</f>
        <v/>
      </c>
      <c r="CB13" s="55" t="str">
        <f aca="false">IF(OR(CB$2="",$D13=""),"",IF(IF(ISNUMBER($F13),AND(CB$2&gt;=$F13,CB$2&lt;=IF(ISNUMBER($G13),$G13,$F13+$E13-$D13)),FALSE()),2,IF(AND(CB$2&gt;=$D13,CB$2&lt;=$E13),1,"")))</f>
        <v/>
      </c>
      <c r="CC13" s="55" t="str">
        <f aca="false">IF(OR(CC$2="",$D13=""),"",IF(IF(ISNUMBER($F13),AND(CC$2&gt;=$F13,CC$2&lt;=IF(ISNUMBER($G13),$G13,$F13+$E13-$D13)),FALSE()),2,IF(AND(CC$2&gt;=$D13,CC$2&lt;=$E13),1,"")))</f>
        <v/>
      </c>
      <c r="CD13" s="55" t="str">
        <f aca="false">IF(OR(CD$2="",$D13=""),"",IF(IF(ISNUMBER($F13),AND(CD$2&gt;=$F13,CD$2&lt;=IF(ISNUMBER($G13),$G13,$F13+$E13-$D13)),FALSE()),2,IF(AND(CD$2&gt;=$D13,CD$2&lt;=$E13),1,"")))</f>
        <v/>
      </c>
      <c r="CE13" s="55" t="str">
        <f aca="false">IF(OR(CE$2="",$D13=""),"",IF(IF(ISNUMBER($F13),AND(CE$2&gt;=$F13,CE$2&lt;=IF(ISNUMBER($G13),$G13,$F13+$E13-$D13)),FALSE()),2,IF(AND(CE$2&gt;=$D13,CE$2&lt;=$E13),1,"")))</f>
        <v/>
      </c>
      <c r="CF13" s="55" t="str">
        <f aca="false">IF(OR(CF$2="",$D13=""),"",IF(IF(ISNUMBER($F13),AND(CF$2&gt;=$F13,CF$2&lt;=IF(ISNUMBER($G13),$G13,$F13+$E13-$D13)),FALSE()),2,IF(AND(CF$2&gt;=$D13,CF$2&lt;=$E13),1,"")))</f>
        <v/>
      </c>
      <c r="CG13" s="55" t="str">
        <f aca="false">IF(OR(CG$2="",$D13=""),"",IF(IF(ISNUMBER($F13),AND(CG$2&gt;=$F13,CG$2&lt;=IF(ISNUMBER($G13),$G13,$F13+$E13-$D13)),FALSE()),2,IF(AND(CG$2&gt;=$D13,CG$2&lt;=$E13),1,"")))</f>
        <v/>
      </c>
      <c r="CH13" s="55" t="str">
        <f aca="false">IF(OR(CH$2="",$D13=""),"",IF(IF(ISNUMBER($F13),AND(CH$2&gt;=$F13,CH$2&lt;=IF(ISNUMBER($G13),$G13,$F13+$E13-$D13)),FALSE()),2,IF(AND(CH$2&gt;=$D13,CH$2&lt;=$E13),1,"")))</f>
        <v/>
      </c>
      <c r="CI13" s="55" t="str">
        <f aca="false">IF(OR(CI$2="",$D13=""),"",IF(IF(ISNUMBER($F13),AND(CI$2&gt;=$F13,CI$2&lt;=IF(ISNUMBER($G13),$G13,$F13+$E13-$D13)),FALSE()),2,IF(AND(CI$2&gt;=$D13,CI$2&lt;=$E13),1,"")))</f>
        <v/>
      </c>
      <c r="CJ13" s="55" t="str">
        <f aca="false">IF(OR(CJ$2="",$D13=""),"",IF(IF(ISNUMBER($F13),AND(CJ$2&gt;=$F13,CJ$2&lt;=IF(ISNUMBER($G13),$G13,$F13+$E13-$D13)),FALSE()),2,IF(AND(CJ$2&gt;=$D13,CJ$2&lt;=$E13),1,"")))</f>
        <v/>
      </c>
      <c r="CK13" s="55" t="str">
        <f aca="false">IF(OR(CK$2="",$D13=""),"",IF(IF(ISNUMBER($F13),AND(CK$2&gt;=$F13,CK$2&lt;=IF(ISNUMBER($G13),$G13,$F13+$E13-$D13)),FALSE()),2,IF(AND(CK$2&gt;=$D13,CK$2&lt;=$E13),1,"")))</f>
        <v/>
      </c>
      <c r="CL13" s="55" t="str">
        <f aca="false">IF(OR(CL$2="",$D13=""),"",IF(IF(ISNUMBER($F13),AND(CL$2&gt;=$F13,CL$2&lt;=IF(ISNUMBER($G13),$G13,$F13+$E13-$D13)),FALSE()),2,IF(AND(CL$2&gt;=$D13,CL$2&lt;=$E13),1,"")))</f>
        <v/>
      </c>
      <c r="CM13" s="55" t="str">
        <f aca="false">IF(OR(CM$2="",$D13=""),"",IF(IF(ISNUMBER($F13),AND(CM$2&gt;=$F13,CM$2&lt;=IF(ISNUMBER($G13),$G13,$F13+$E13-$D13)),FALSE()),2,IF(AND(CM$2&gt;=$D13,CM$2&lt;=$E13),1,"")))</f>
        <v/>
      </c>
      <c r="CN13" s="55" t="str">
        <f aca="false">IF(OR(CN$2="",$D13=""),"",IF(IF(ISNUMBER($F13),AND(CN$2&gt;=$F13,CN$2&lt;=IF(ISNUMBER($G13),$G13,$F13+$E13-$D13)),FALSE()),2,IF(AND(CN$2&gt;=$D13,CN$2&lt;=$E13),1,"")))</f>
        <v/>
      </c>
      <c r="CO13" s="55" t="str">
        <f aca="false">IF(OR(CO$2="",$D13=""),"",IF(IF(ISNUMBER($F13),AND(CO$2&gt;=$F13,CO$2&lt;=IF(ISNUMBER($G13),$G13,$F13+$E13-$D13)),FALSE()),2,IF(AND(CO$2&gt;=$D13,CO$2&lt;=$E13),1,"")))</f>
        <v/>
      </c>
      <c r="CP13" s="55" t="str">
        <f aca="false">IF(OR(CP$2="",$D13=""),"",IF(IF(ISNUMBER($F13),AND(CP$2&gt;=$F13,CP$2&lt;=IF(ISNUMBER($G13),$G13,$F13+$E13-$D13)),FALSE()),2,IF(AND(CP$2&gt;=$D13,CP$2&lt;=$E13),1,"")))</f>
        <v/>
      </c>
      <c r="CQ13" s="55" t="str">
        <f aca="false">IF(OR(CQ$2="",$D13=""),"",IF(IF(ISNUMBER($F13),AND(CQ$2&gt;=$F13,CQ$2&lt;=IF(ISNUMBER($G13),$G13,$F13+$E13-$D13)),FALSE()),2,IF(AND(CQ$2&gt;=$D13,CQ$2&lt;=$E13),1,"")))</f>
        <v/>
      </c>
      <c r="CR13" s="55" t="n">
        <f aca="false">IF(OR(CR$2="",$D13=""),"",IF(IF(ISNUMBER($F13),AND(CR$2&gt;=$F13,CR$2&lt;=IF(ISNUMBER($G13),$G13,$F13+$E13-$D13)),FALSE()),2,IF(AND(CR$2&gt;=$D13,CR$2&lt;=$E13),1,"")))</f>
        <v>1</v>
      </c>
      <c r="CS13" s="55" t="n">
        <f aca="false">IF(OR(CS$2="",$D13=""),"",IF(IF(ISNUMBER($F13),AND(CS$2&gt;=$F13,CS$2&lt;=IF(ISNUMBER($G13),$G13,$F13+$E13-$D13)),FALSE()),2,IF(AND(CS$2&gt;=$D13,CS$2&lt;=$E13),1,"")))</f>
        <v>1</v>
      </c>
      <c r="CT13" s="55" t="n">
        <f aca="false">IF(OR(CT$2="",$D13=""),"",IF(IF(ISNUMBER($F13),AND(CT$2&gt;=$F13,CT$2&lt;=IF(ISNUMBER($G13),$G13,$F13+$E13-$D13)),FALSE()),2,IF(AND(CT$2&gt;=$D13,CT$2&lt;=$E13),1,"")))</f>
        <v>1</v>
      </c>
      <c r="CU13" s="55" t="n">
        <f aca="false">IF(OR(CU$2="",$D13=""),"",IF(IF(ISNUMBER($F13),AND(CU$2&gt;=$F13,CU$2&lt;=IF(ISNUMBER($G13),$G13,$F13+$E13-$D13)),FALSE()),2,IF(AND(CU$2&gt;=$D13,CU$2&lt;=$E13),1,"")))</f>
        <v>1</v>
      </c>
      <c r="CV13" s="55" t="n">
        <f aca="false">IF(OR(CV$2="",$D13=""),"",IF(IF(ISNUMBER($F13),AND(CV$2&gt;=$F13,CV$2&lt;=IF(ISNUMBER($G13),$G13,$F13+$E13-$D13)),FALSE()),2,IF(AND(CV$2&gt;=$D13,CV$2&lt;=$E13),1,"")))</f>
        <v>1</v>
      </c>
      <c r="CW13" s="55" t="n">
        <f aca="false">IF(OR(CW$2="",$D13=""),"",IF(IF(ISNUMBER($F13),AND(CW$2&gt;=$F13,CW$2&lt;=IF(ISNUMBER($G13),$G13,$F13+$E13-$D13)),FALSE()),2,IF(AND(CW$2&gt;=$D13,CW$2&lt;=$E13),1,"")))</f>
        <v>1</v>
      </c>
      <c r="CX13" s="55" t="n">
        <f aca="false">IF(OR(CX$2="",$D13=""),"",IF(IF(ISNUMBER($F13),AND(CX$2&gt;=$F13,CX$2&lt;=IF(ISNUMBER($G13),$G13,$F13+$E13-$D13)),FALSE()),2,IF(AND(CX$2&gt;=$D13,CX$2&lt;=$E13),1,"")))</f>
        <v>1</v>
      </c>
      <c r="CY13" s="55" t="n">
        <f aca="false">IF(OR(CY$2="",$D13=""),"",IF(IF(ISNUMBER($F13),AND(CY$2&gt;=$F13,CY$2&lt;=IF(ISNUMBER($G13),$G13,$F13+$E13-$D13)),FALSE()),2,IF(AND(CY$2&gt;=$D13,CY$2&lt;=$E13),1,"")))</f>
        <v>1</v>
      </c>
      <c r="CZ13" s="55" t="n">
        <f aca="false">IF(OR(CZ$2="",$D13=""),"",IF(IF(ISNUMBER($F13),AND(CZ$2&gt;=$F13,CZ$2&lt;=IF(ISNUMBER($G13),$G13,$F13+$E13-$D13)),FALSE()),2,IF(AND(CZ$2&gt;=$D13,CZ$2&lt;=$E13),1,"")))</f>
        <v>1</v>
      </c>
      <c r="DA13" s="55" t="str">
        <f aca="false">IF(OR(DA$2="",$D13=""),"",IF(IF(ISNUMBER($F13),AND(DA$2&gt;=$F13,DA$2&lt;=IF(ISNUMBER($G13),$G13,$F13+$E13-$D13)),FALSE()),2,IF(AND(DA$2&gt;=$D13,DA$2&lt;=$E13),1,"")))</f>
        <v/>
      </c>
      <c r="DB13" s="55" t="str">
        <f aca="false">IF(OR(DB$2="",$D13=""),"",IF(IF(ISNUMBER($F13),AND(DB$2&gt;=$F13,DB$2&lt;=IF(ISNUMBER($G13),$G13,$F13+$E13-$D13)),FALSE()),2,IF(AND(DB$2&gt;=$D13,DB$2&lt;=$E13),1,"")))</f>
        <v/>
      </c>
      <c r="DC13" s="55" t="str">
        <f aca="false">IF(OR(DC$2="",$D13=""),"",IF(IF(ISNUMBER($F13),AND(DC$2&gt;=$F13,DC$2&lt;=IF(ISNUMBER($G13),$G13,$F13+$E13-$D13)),FALSE()),2,IF(AND(DC$2&gt;=$D13,DC$2&lt;=$E13),1,"")))</f>
        <v/>
      </c>
      <c r="DD13" s="55" t="str">
        <f aca="false">IF(OR(DD$2="",$D13=""),"",IF(IF(ISNUMBER($F13),AND(DD$2&gt;=$F13,DD$2&lt;=IF(ISNUMBER($G13),$G13,$F13+$E13-$D13)),FALSE()),2,IF(AND(DD$2&gt;=$D13,DD$2&lt;=$E13),1,"")))</f>
        <v/>
      </c>
      <c r="DE13" s="55" t="str">
        <f aca="false">IF(OR(DE$2="",$D13=""),"",IF(IF(ISNUMBER($F13),AND(DE$2&gt;=$F13,DE$2&lt;=IF(ISNUMBER($G13),$G13,$F13+$E13-$D13)),FALSE()),2,IF(AND(DE$2&gt;=$D13,DE$2&lt;=$E13),1,"")))</f>
        <v/>
      </c>
      <c r="DF13" s="55" t="str">
        <f aca="false">IF(OR(DF$2="",$D13=""),"",IF(IF(ISNUMBER($F13),AND(DF$2&gt;=$F13,DF$2&lt;=IF(ISNUMBER($G13),$G13,$F13+$E13-$D13)),FALSE()),2,IF(AND(DF$2&gt;=$D13,DF$2&lt;=$E13),1,"")))</f>
        <v/>
      </c>
      <c r="DG13" s="55" t="str">
        <f aca="false">IF(OR(DG$2="",$D13=""),"",IF(IF(ISNUMBER($F13),AND(DG$2&gt;=$F13,DG$2&lt;=IF(ISNUMBER($G13),$G13,$F13+$E13-$D13)),FALSE()),2,IF(AND(DG$2&gt;=$D13,DG$2&lt;=$E13),1,"")))</f>
        <v/>
      </c>
      <c r="DH13" s="55" t="str">
        <f aca="false">IF(OR(DH$2="",$D13=""),"",IF(IF(ISNUMBER($F13),AND(DH$2&gt;=$F13,DH$2&lt;=IF(ISNUMBER($G13),$G13,$F13+$E13-$D13)),FALSE()),2,IF(AND(DH$2&gt;=$D13,DH$2&lt;=$E13),1,"")))</f>
        <v/>
      </c>
      <c r="DI13" s="55" t="str">
        <f aca="false">IF(OR(DI$2="",$D13=""),"",IF(IF(ISNUMBER($F13),AND(DI$2&gt;=$F13,DI$2&lt;=IF(ISNUMBER($G13),$G13,$F13+$E13-$D13)),FALSE()),2,IF(AND(DI$2&gt;=$D13,DI$2&lt;=$E13),1,"")))</f>
        <v/>
      </c>
      <c r="DJ13" s="55" t="str">
        <f aca="false">IF(OR(DJ$2="",$D13=""),"",IF(IF(ISNUMBER($F13),AND(DJ$2&gt;=$F13,DJ$2&lt;=IF(ISNUMBER($G13),$G13,$F13+$E13-$D13)),FALSE()),2,IF(AND(DJ$2&gt;=$D13,DJ$2&lt;=$E13),1,"")))</f>
        <v/>
      </c>
      <c r="DK13" s="55" t="str">
        <f aca="false">IF(OR(DK$2="",$D13=""),"",IF(IF(ISNUMBER($F13),AND(DK$2&gt;=$F13,DK$2&lt;=IF(ISNUMBER($G13),$G13,$F13+$E13-$D13)),FALSE()),2,IF(AND(DK$2&gt;=$D13,DK$2&lt;=$E13),1,"")))</f>
        <v/>
      </c>
      <c r="DL13" s="55" t="str">
        <f aca="false">IF(OR(DL$2="",$D13=""),"",IF(IF(ISNUMBER($F13),AND(DL$2&gt;=$F13,DL$2&lt;=IF(ISNUMBER($G13),$G13,$F13+$E13-$D13)),FALSE()),2,IF(AND(DL$2&gt;=$D13,DL$2&lt;=$E13),1,"")))</f>
        <v/>
      </c>
      <c r="DM13" s="55" t="str">
        <f aca="false">IF(OR(DM$2="",$D13=""),"",IF(IF(ISNUMBER($F13),AND(DM$2&gt;=$F13,DM$2&lt;=IF(ISNUMBER($G13),$G13,$F13+$E13-$D13)),FALSE()),2,IF(AND(DM$2&gt;=$D13,DM$2&lt;=$E13),1,"")))</f>
        <v/>
      </c>
      <c r="DN13" s="55" t="str">
        <f aca="false">IF(OR(DN$2="",$D13=""),"",IF(IF(ISNUMBER($F13),AND(DN$2&gt;=$F13,DN$2&lt;=IF(ISNUMBER($G13),$G13,$F13+$E13-$D13)),FALSE()),2,IF(AND(DN$2&gt;=$D13,DN$2&lt;=$E13),1,"")))</f>
        <v/>
      </c>
      <c r="DO13" s="55" t="str">
        <f aca="false">IF(OR(DO$2="",$D13=""),"",IF(IF(ISNUMBER($F13),AND(DO$2&gt;=$F13,DO$2&lt;=IF(ISNUMBER($G13),$G13,$F13+$E13-$D13)),FALSE()),2,IF(AND(DO$2&gt;=$D13,DO$2&lt;=$E13),1,"")))</f>
        <v/>
      </c>
      <c r="DP13" s="55" t="str">
        <f aca="false">IF(OR(DP$2="",$D13=""),"",IF(IF(ISNUMBER($F13),AND(DP$2&gt;=$F13,DP$2&lt;=IF(ISNUMBER($G13),$G13,$F13+$E13-$D13)),FALSE()),2,IF(AND(DP$2&gt;=$D13,DP$2&lt;=$E13),1,"")))</f>
        <v/>
      </c>
      <c r="DQ13" s="55" t="str">
        <f aca="false">IF(OR(DQ$2="",$D13=""),"",IF(IF(ISNUMBER($F13),AND(DQ$2&gt;=$F13,DQ$2&lt;=IF(ISNUMBER($G13),$G13,$F13+$E13-$D13)),FALSE()),2,IF(AND(DQ$2&gt;=$D13,DQ$2&lt;=$E13),1,"")))</f>
        <v/>
      </c>
      <c r="DR13" s="55" t="str">
        <f aca="false">IF(OR(DR$2="",$D13=""),"",IF(IF(ISNUMBER($F13),AND(DR$2&gt;=$F13,DR$2&lt;=IF(ISNUMBER($G13),$G13,$F13+$E13-$D13)),FALSE()),2,IF(AND(DR$2&gt;=$D13,DR$2&lt;=$E13),1,"")))</f>
        <v/>
      </c>
      <c r="DS13" s="55" t="str">
        <f aca="false">IF(OR(DS$2="",$D13=""),"",IF(IF(ISNUMBER($F13),AND(DS$2&gt;=$F13,DS$2&lt;=IF(ISNUMBER($G13),$G13,$F13+$E13-$D13)),FALSE()),2,IF(AND(DS$2&gt;=$D13,DS$2&lt;=$E13),1,"")))</f>
        <v/>
      </c>
      <c r="DT13" s="55" t="str">
        <f aca="false">IF(OR(DT$2="",$D13=""),"",IF(IF(ISNUMBER($F13),AND(DT$2&gt;=$F13,DT$2&lt;=IF(ISNUMBER($G13),$G13,$F13+$E13-$D13)),FALSE()),2,IF(AND(DT$2&gt;=$D13,DT$2&lt;=$E13),1,"")))</f>
        <v/>
      </c>
      <c r="DU13" s="55" t="str">
        <f aca="false">IF(OR(DU$2="",$D13=""),"",IF(IF(ISNUMBER($F13),AND(DU$2&gt;=$F13,DU$2&lt;=IF(ISNUMBER($G13),$G13,$F13+$E13-$D13)),FALSE()),2,IF(AND(DU$2&gt;=$D13,DU$2&lt;=$E13),1,"")))</f>
        <v/>
      </c>
      <c r="DV13" s="55" t="str">
        <f aca="false">IF(OR(DV$2="",$D13=""),"",IF(IF(ISNUMBER($F13),AND(DV$2&gt;=$F13,DV$2&lt;=IF(ISNUMBER($G13),$G13,$F13+$E13-$D13)),FALSE()),2,IF(AND(DV$2&gt;=$D13,DV$2&lt;=$E13),1,"")))</f>
        <v/>
      </c>
      <c r="DW13" s="55" t="str">
        <f aca="false">IF(OR(DW$2="",$D13=""),"",IF(IF(ISNUMBER($F13),AND(DW$2&gt;=$F13,DW$2&lt;=IF(ISNUMBER($G13),$G13,$F13+$E13-$D13)),FALSE()),2,IF(AND(DW$2&gt;=$D13,DW$2&lt;=$E13),1,"")))</f>
        <v/>
      </c>
      <c r="DX13" s="55" t="str">
        <f aca="false">IF(OR(DX$2="",$D13=""),"",IF(IF(ISNUMBER($F13),AND(DX$2&gt;=$F13,DX$2&lt;=IF(ISNUMBER($G13),$G13,$F13+$E13-$D13)),FALSE()),2,IF(AND(DX$2&gt;=$D13,DX$2&lt;=$E13),1,"")))</f>
        <v/>
      </c>
      <c r="DY13" s="55" t="str">
        <f aca="false">IF(OR(DY$2="",$D13=""),"",IF(IF(ISNUMBER($F13),AND(DY$2&gt;=$F13,DY$2&lt;=IF(ISNUMBER($G13),$G13,$F13+$E13-$D13)),FALSE()),2,IF(AND(DY$2&gt;=$D13,DY$2&lt;=$E13),1,"")))</f>
        <v/>
      </c>
      <c r="DZ13" s="55" t="str">
        <f aca="false">IF(OR(DZ$2="",$D13=""),"",IF(IF(ISNUMBER($F13),AND(DZ$2&gt;=$F13,DZ$2&lt;=IF(ISNUMBER($G13),$G13,$F13+$E13-$D13)),FALSE()),2,IF(AND(DZ$2&gt;=$D13,DZ$2&lt;=$E13),1,"")))</f>
        <v/>
      </c>
      <c r="EA13" s="55" t="str">
        <f aca="false">IF(OR(EA$2="",$D13=""),"",IF(IF(ISNUMBER($F13),AND(EA$2&gt;=$F13,EA$2&lt;=IF(ISNUMBER($G13),$G13,$F13+$E13-$D13)),FALSE()),2,IF(AND(EA$2&gt;=$D13,EA$2&lt;=$E13),1,"")))</f>
        <v/>
      </c>
      <c r="EB13" s="55" t="str">
        <f aca="false">IF(OR(EB$2="",$D13=""),"",IF(IF(ISNUMBER($F13),AND(EB$2&gt;=$F13,EB$2&lt;=IF(ISNUMBER($G13),$G13,$F13+$E13-$D13)),FALSE()),2,IF(AND(EB$2&gt;=$D13,EB$2&lt;=$E13),1,"")))</f>
        <v/>
      </c>
      <c r="EC13" s="55" t="str">
        <f aca="false">IF(OR(EC$2="",$D13=""),"",IF(IF(ISNUMBER($F13),AND(EC$2&gt;=$F13,EC$2&lt;=IF(ISNUMBER($G13),$G13,$F13+$E13-$D13)),FALSE()),2,IF(AND(EC$2&gt;=$D13,EC$2&lt;=$E13),1,"")))</f>
        <v/>
      </c>
      <c r="ED13" s="55" t="str">
        <f aca="false">IF(OR(ED$2="",$D13=""),"",IF(IF(ISNUMBER($F13),AND(ED$2&gt;=$F13,ED$2&lt;=IF(ISNUMBER($G13),$G13,$F13+$E13-$D13)),FALSE()),2,IF(AND(ED$2&gt;=$D13,ED$2&lt;=$E13),1,"")))</f>
        <v/>
      </c>
      <c r="EE13" s="55" t="str">
        <f aca="false">IF(OR(EE$2="",$D13=""),"",IF(IF(ISNUMBER($F13),AND(EE$2&gt;=$F13,EE$2&lt;=IF(ISNUMBER($G13),$G13,$F13+$E13-$D13)),FALSE()),2,IF(AND(EE$2&gt;=$D13,EE$2&lt;=$E13),1,"")))</f>
        <v/>
      </c>
      <c r="EF13" s="55" t="str">
        <f aca="false">IF(OR(EF$2="",$D13=""),"",IF(IF(ISNUMBER($F13),AND(EF$2&gt;=$F13,EF$2&lt;=IF(ISNUMBER($G13),$G13,$F13+$E13-$D13)),FALSE()),2,IF(AND(EF$2&gt;=$D13,EF$2&lt;=$E13),1,"")))</f>
        <v/>
      </c>
      <c r="EG13" s="55" t="str">
        <f aca="false">IF(OR(EG$2="",$D13=""),"",IF(IF(ISNUMBER($F13),AND(EG$2&gt;=$F13,EG$2&lt;=IF(ISNUMBER($G13),$G13,$F13+$E13-$D13)),FALSE()),2,IF(AND(EG$2&gt;=$D13,EG$2&lt;=$E13),1,"")))</f>
        <v/>
      </c>
      <c r="EH13" s="55" t="str">
        <f aca="false">IF(OR(EH$2="",$D13=""),"",IF(IF(ISNUMBER($F13),AND(EH$2&gt;=$F13,EH$2&lt;=IF(ISNUMBER($G13),$G13,$F13+$E13-$D13)),FALSE()),2,IF(AND(EH$2&gt;=$D13,EH$2&lt;=$E13),1,"")))</f>
        <v/>
      </c>
      <c r="EI13" s="55" t="str">
        <f aca="false">IF(OR(EI$2="",$D13=""),"",IF(IF(ISNUMBER($F13),AND(EI$2&gt;=$F13,EI$2&lt;=IF(ISNUMBER($G13),$G13,$F13+$E13-$D13)),FALSE()),2,IF(AND(EI$2&gt;=$D13,EI$2&lt;=$E13),1,"")))</f>
        <v/>
      </c>
      <c r="EJ13" s="55" t="str">
        <f aca="false">IF(OR(EJ$2="",$D13=""),"",IF(IF(ISNUMBER($F13),AND(EJ$2&gt;=$F13,EJ$2&lt;=IF(ISNUMBER($G13),$G13,$F13+$E13-$D13)),FALSE()),2,IF(AND(EJ$2&gt;=$D13,EJ$2&lt;=$E13),1,"")))</f>
        <v/>
      </c>
      <c r="EK13" s="55" t="str">
        <f aca="false">IF(OR(EK$2="",$D13=""),"",IF(IF(ISNUMBER($F13),AND(EK$2&gt;=$F13,EK$2&lt;=IF(ISNUMBER($G13),$G13,$F13+$E13-$D13)),FALSE()),2,IF(AND(EK$2&gt;=$D13,EK$2&lt;=$E13),1,"")))</f>
        <v/>
      </c>
      <c r="EL13" s="55" t="str">
        <f aca="false">IF(OR(EL$2="",$D13=""),"",IF(IF(ISNUMBER($F13),AND(EL$2&gt;=$F13,EL$2&lt;=IF(ISNUMBER($G13),$G13,$F13+$E13-$D13)),FALSE()),2,IF(AND(EL$2&gt;=$D13,EL$2&lt;=$E13),1,"")))</f>
        <v/>
      </c>
      <c r="EM13" s="55" t="str">
        <f aca="false">IF(OR(EM$2="",$D13=""),"",IF(IF(ISNUMBER($F13),AND(EM$2&gt;=$F13,EM$2&lt;=IF(ISNUMBER($G13),$G13,$F13+$E13-$D13)),FALSE()),2,IF(AND(EM$2&gt;=$D13,EM$2&lt;=$E13),1,"")))</f>
        <v/>
      </c>
      <c r="EN13" s="55" t="str">
        <f aca="false">IF(OR(EN$2="",$D13=""),"",IF(IF(ISNUMBER($F13),AND(EN$2&gt;=$F13,EN$2&lt;=IF(ISNUMBER($G13),$G13,$F13+$E13-$D13)),FALSE()),2,IF(AND(EN$2&gt;=$D13,EN$2&lt;=$E13),1,"")))</f>
        <v/>
      </c>
      <c r="EO13" s="55" t="str">
        <f aca="false">IF(OR(EO$2="",$D13=""),"",IF(IF(ISNUMBER($F13),AND(EO$2&gt;=$F13,EO$2&lt;=IF(ISNUMBER($G13),$G13,$F13+$E13-$D13)),FALSE()),2,IF(AND(EO$2&gt;=$D13,EO$2&lt;=$E13),1,"")))</f>
        <v/>
      </c>
      <c r="EP13" s="55" t="str">
        <f aca="false">IF(OR(EP$2="",$D13=""),"",IF(IF(ISNUMBER($F13),AND(EP$2&gt;=$F13,EP$2&lt;=IF(ISNUMBER($G13),$G13,$F13+$E13-$D13)),FALSE()),2,IF(AND(EP$2&gt;=$D13,EP$2&lt;=$E13),1,"")))</f>
        <v/>
      </c>
      <c r="EQ13" s="55" t="str">
        <f aca="false">IF(OR(EQ$2="",$D13=""),"",IF(IF(ISNUMBER($F13),AND(EQ$2&gt;=$F13,EQ$2&lt;=IF(ISNUMBER($G13),$G13,$F13+$E13-$D13)),FALSE()),2,IF(AND(EQ$2&gt;=$D13,EQ$2&lt;=$E13),1,"")))</f>
        <v/>
      </c>
      <c r="ER13" s="55" t="str">
        <f aca="false">IF(OR(ER$2="",$D13=""),"",IF(IF(ISNUMBER($F13),AND(ER$2&gt;=$F13,ER$2&lt;=IF(ISNUMBER($G13),$G13,$F13+$E13-$D13)),FALSE()),2,IF(AND(ER$2&gt;=$D13,ER$2&lt;=$E13),1,"")))</f>
        <v/>
      </c>
      <c r="ES13" s="55" t="str">
        <f aca="false">IF(OR(ES$2="",$D13=""),"",IF(IF(ISNUMBER($F13),AND(ES$2&gt;=$F13,ES$2&lt;=IF(ISNUMBER($G13),$G13,$F13+$E13-$D13)),FALSE()),2,IF(AND(ES$2&gt;=$D13,ES$2&lt;=$E13),1,"")))</f>
        <v/>
      </c>
      <c r="ET13" s="55" t="str">
        <f aca="false">IF(OR(ET$2="",$D13=""),"",IF(IF(ISNUMBER($F13),AND(ET$2&gt;=$F13,ET$2&lt;=IF(ISNUMBER($G13),$G13,$F13+$E13-$D13)),FALSE()),2,IF(AND(ET$2&gt;=$D13,ET$2&lt;=$E13),1,"")))</f>
        <v/>
      </c>
      <c r="EU13" s="55" t="str">
        <f aca="false">IF(OR(EU$2="",$D13=""),"",IF(IF(ISNUMBER($F13),AND(EU$2&gt;=$F13,EU$2&lt;=IF(ISNUMBER($G13),$G13,$F13+$E13-$D13)),FALSE()),2,IF(AND(EU$2&gt;=$D13,EU$2&lt;=$E13),1,"")))</f>
        <v/>
      </c>
      <c r="EV13" s="55" t="str">
        <f aca="false">IF(OR(EV$2="",$D13=""),"",IF(IF(ISNUMBER($F13),AND(EV$2&gt;=$F13,EV$2&lt;=IF(ISNUMBER($G13),$G13,$F13+$E13-$D13)),FALSE()),2,IF(AND(EV$2&gt;=$D13,EV$2&lt;=$E13),1,"")))</f>
        <v/>
      </c>
      <c r="EW13" s="55" t="str">
        <f aca="false">IF(OR(EW$2="",$D13=""),"",IF(IF(ISNUMBER($F13),AND(EW$2&gt;=$F13,EW$2&lt;=IF(ISNUMBER($G13),$G13,$F13+$E13-$D13)),FALSE()),2,IF(AND(EW$2&gt;=$D13,EW$2&lt;=$E13),1,"")))</f>
        <v/>
      </c>
      <c r="EX13" s="55" t="str">
        <f aca="false">IF(OR(EX$2="",$D13=""),"",IF(IF(ISNUMBER($F13),AND(EX$2&gt;=$F13,EX$2&lt;=IF(ISNUMBER($G13),$G13,$F13+$E13-$D13)),FALSE()),2,IF(AND(EX$2&gt;=$D13,EX$2&lt;=$E13),1,"")))</f>
        <v/>
      </c>
      <c r="EY13" s="55" t="str">
        <f aca="false">IF(OR(EY$2="",$D13=""),"",IF(IF(ISNUMBER($F13),AND(EY$2&gt;=$F13,EY$2&lt;=IF(ISNUMBER($G13),$G13,$F13+$E13-$D13)),FALSE()),2,IF(AND(EY$2&gt;=$D13,EY$2&lt;=$E13),1,"")))</f>
        <v/>
      </c>
      <c r="EZ13" s="55" t="str">
        <f aca="false">IF(OR(EZ$2="",$D13=""),"",IF(IF(ISNUMBER($F13),AND(EZ$2&gt;=$F13,EZ$2&lt;=IF(ISNUMBER($G13),$G13,$F13+$E13-$D13)),FALSE()),2,IF(AND(EZ$2&gt;=$D13,EZ$2&lt;=$E13),1,"")))</f>
        <v/>
      </c>
      <c r="FA13" s="55" t="str">
        <f aca="false">IF(OR(FA$2="",$D13=""),"",IF(IF(ISNUMBER($F13),AND(FA$2&gt;=$F13,FA$2&lt;=IF(ISNUMBER($G13),$G13,$F13+$E13-$D13)),FALSE()),2,IF(AND(FA$2&gt;=$D13,FA$2&lt;=$E13),1,"")))</f>
        <v/>
      </c>
      <c r="FB13" s="55" t="str">
        <f aca="false">IF(OR(FB$2="",$D13=""),"",IF(IF(ISNUMBER($F13),AND(FB$2&gt;=$F13,FB$2&lt;=IF(ISNUMBER($G13),$G13,$F13+$E13-$D13)),FALSE()),2,IF(AND(FB$2&gt;=$D13,FB$2&lt;=$E13),1,"")))</f>
        <v/>
      </c>
      <c r="FC13" s="55" t="str">
        <f aca="false">IF(OR(FC$2="",$D13=""),"",IF(IF(ISNUMBER($F13),AND(FC$2&gt;=$F13,FC$2&lt;=IF(ISNUMBER($G13),$G13,$F13+$E13-$D13)),FALSE()),2,IF(AND(FC$2&gt;=$D13,FC$2&lt;=$E13),1,"")))</f>
        <v/>
      </c>
      <c r="FD13" s="55" t="str">
        <f aca="false">IF(OR(FD$2="",$D13=""),"",IF(IF(ISNUMBER($F13),AND(FD$2&gt;=$F13,FD$2&lt;=IF(ISNUMBER($G13),$G13,$F13+$E13-$D13)),FALSE()),2,IF(AND(FD$2&gt;=$D13,FD$2&lt;=$E13),1,"")))</f>
        <v/>
      </c>
      <c r="FE13" s="55" t="str">
        <f aca="false">IF(OR(FE$2="",$D13=""),"",IF(IF(ISNUMBER($F13),AND(FE$2&gt;=$F13,FE$2&lt;=IF(ISNUMBER($G13),$G13,$F13+$E13-$D13)),FALSE()),2,IF(AND(FE$2&gt;=$D13,FE$2&lt;=$E13),1,"")))</f>
        <v/>
      </c>
      <c r="FF13" s="55" t="str">
        <f aca="false">IF(OR(FF$2="",$D13=""),"",IF(IF(ISNUMBER($F13),AND(FF$2&gt;=$F13,FF$2&lt;=IF(ISNUMBER($G13),$G13,$F13+$E13-$D13)),FALSE()),2,IF(AND(FF$2&gt;=$D13,FF$2&lt;=$E13),1,"")))</f>
        <v/>
      </c>
      <c r="FG13" s="55" t="str">
        <f aca="false">IF(OR(FG$2="",$D13=""),"",IF(IF(ISNUMBER($F13),AND(FG$2&gt;=$F13,FG$2&lt;=IF(ISNUMBER($G13),$G13,$F13+$E13-$D13)),FALSE()),2,IF(AND(FG$2&gt;=$D13,FG$2&lt;=$E13),1,"")))</f>
        <v/>
      </c>
      <c r="FH13" s="55" t="str">
        <f aca="false">IF(OR(FH$2="",$D13=""),"",IF(IF(ISNUMBER($F13),AND(FH$2&gt;=$F13,FH$2&lt;=IF(ISNUMBER($G13),$G13,$F13+$E13-$D13)),FALSE()),2,IF(AND(FH$2&gt;=$D13,FH$2&lt;=$E13),1,"")))</f>
        <v/>
      </c>
      <c r="FI13" s="55" t="str">
        <f aca="false">IF(OR(FI$2="",$D13=""),"",IF(IF(ISNUMBER($F13),AND(FI$2&gt;=$F13,FI$2&lt;=IF(ISNUMBER($G13),$G13,$F13+$E13-$D13)),FALSE()),2,IF(AND(FI$2&gt;=$D13,FI$2&lt;=$E13),1,"")))</f>
        <v/>
      </c>
      <c r="FJ13" s="55" t="str">
        <f aca="false">IF(OR(FJ$2="",$D13=""),"",IF(IF(ISNUMBER($F13),AND(FJ$2&gt;=$F13,FJ$2&lt;=IF(ISNUMBER($G13),$G13,$F13+$E13-$D13)),FALSE()),2,IF(AND(FJ$2&gt;=$D13,FJ$2&lt;=$E13),1,"")))</f>
        <v/>
      </c>
      <c r="FK13" s="55" t="str">
        <f aca="false">IF(OR(FK$2="",$D13=""),"",IF(IF(ISNUMBER($F13),AND(FK$2&gt;=$F13,FK$2&lt;=IF(ISNUMBER($G13),$G13,$F13+$E13-$D13)),FALSE()),2,IF(AND(FK$2&gt;=$D13,FK$2&lt;=$E13),1,"")))</f>
        <v/>
      </c>
      <c r="FL13" s="55" t="str">
        <f aca="false">IF(OR(FL$2="",$D13=""),"",IF(IF(ISNUMBER($F13),AND(FL$2&gt;=$F13,FL$2&lt;=IF(ISNUMBER($G13),$G13,$F13+$E13-$D13)),FALSE()),2,IF(AND(FL$2&gt;=$D13,FL$2&lt;=$E13),1,"")))</f>
        <v/>
      </c>
      <c r="FM13" s="55" t="str">
        <f aca="false">IF(OR(FM$2="",$D13=""),"",IF(IF(ISNUMBER($F13),AND(FM$2&gt;=$F13,FM$2&lt;=IF(ISNUMBER($G13),$G13,$F13+$E13-$D13)),FALSE()),2,IF(AND(FM$2&gt;=$D13,FM$2&lt;=$E13),1,"")))</f>
        <v/>
      </c>
      <c r="FN13" s="55" t="str">
        <f aca="false">IF(OR(FN$2="",$D13=""),"",IF(IF(ISNUMBER($F13),AND(FN$2&gt;=$F13,FN$2&lt;=IF(ISNUMBER($G13),$G13,$F13+$E13-$D13)),FALSE()),2,IF(AND(FN$2&gt;=$D13,FN$2&lt;=$E13),1,"")))</f>
        <v/>
      </c>
      <c r="FO13" s="55" t="str">
        <f aca="false">IF(OR(FO$2="",$D13=""),"",IF(IF(ISNUMBER($F13),AND(FO$2&gt;=$F13,FO$2&lt;=IF(ISNUMBER($G13),$G13,$F13+$E13-$D13)),FALSE()),2,IF(AND(FO$2&gt;=$D13,FO$2&lt;=$E13),1,"")))</f>
        <v/>
      </c>
      <c r="FP13" s="55" t="str">
        <f aca="false">IF(OR(FP$2="",$D13=""),"",IF(IF(ISNUMBER($F13),AND(FP$2&gt;=$F13,FP$2&lt;=IF(ISNUMBER($G13),$G13,$F13+$E13-$D13)),FALSE()),2,IF(AND(FP$2&gt;=$D13,FP$2&lt;=$E13),1,"")))</f>
        <v/>
      </c>
      <c r="FQ13" s="55" t="str">
        <f aca="false">IF(OR(FQ$2="",$D13=""),"",IF(IF(ISNUMBER($F13),AND(FQ$2&gt;=$F13,FQ$2&lt;=IF(ISNUMBER($G13),$G13,$F13+$E13-$D13)),FALSE()),2,IF(AND(FQ$2&gt;=$D13,FQ$2&lt;=$E13),1,"")))</f>
        <v/>
      </c>
      <c r="FR13" s="55" t="str">
        <f aca="false">IF(OR(FR$2="",$D13=""),"",IF(IF(ISNUMBER($F13),AND(FR$2&gt;=$F13,FR$2&lt;=IF(ISNUMBER($G13),$G13,$F13+$E13-$D13)),FALSE()),2,IF(AND(FR$2&gt;=$D13,FR$2&lt;=$E13),1,"")))</f>
        <v/>
      </c>
      <c r="FS13" s="55" t="str">
        <f aca="false">IF(OR(FS$2="",$D13=""),"",IF(IF(ISNUMBER($F13),AND(FS$2&gt;=$F13,FS$2&lt;=IF(ISNUMBER($G13),$G13,$F13+$E13-$D13)),FALSE()),2,IF(AND(FS$2&gt;=$D13,FS$2&lt;=$E13),1,"")))</f>
        <v/>
      </c>
      <c r="FT13" s="55" t="str">
        <f aca="false">IF(OR(FT$2="",$D13=""),"",IF(IF(ISNUMBER($F13),AND(FT$2&gt;=$F13,FT$2&lt;=IF(ISNUMBER($G13),$G13,$F13+$E13-$D13)),FALSE()),2,IF(AND(FT$2&gt;=$D13,FT$2&lt;=$E13),1,"")))</f>
        <v/>
      </c>
      <c r="FU13" s="55" t="str">
        <f aca="false">IF(OR(FU$2="",$D13=""),"",IF(IF(ISNUMBER($F13),AND(FU$2&gt;=$F13,FU$2&lt;=IF(ISNUMBER($G13),$G13,$F13+$E13-$D13)),FALSE()),2,IF(AND(FU$2&gt;=$D13,FU$2&lt;=$E13),1,"")))</f>
        <v/>
      </c>
      <c r="FV13" s="55" t="str">
        <f aca="false">IF(OR(FV$2="",$D13=""),"",IF(IF(ISNUMBER($F13),AND(FV$2&gt;=$F13,FV$2&lt;=IF(ISNUMBER($G13),$G13,$F13+$E13-$D13)),FALSE()),2,IF(AND(FV$2&gt;=$D13,FV$2&lt;=$E13),1,"")))</f>
        <v/>
      </c>
      <c r="FW13" s="55" t="str">
        <f aca="false">IF(OR(FW$2="",$D13=""),"",IF(IF(ISNUMBER($F13),AND(FW$2&gt;=$F13,FW$2&lt;=IF(ISNUMBER($G13),$G13,$F13+$E13-$D13)),FALSE()),2,IF(AND(FW$2&gt;=$D13,FW$2&lt;=$E13),1,"")))</f>
        <v/>
      </c>
      <c r="FX13" s="55" t="str">
        <f aca="false">IF(OR(FX$2="",$D13=""),"",IF(IF(ISNUMBER($F13),AND(FX$2&gt;=$F13,FX$2&lt;=IF(ISNUMBER($G13),$G13,$F13+$E13-$D13)),FALSE()),2,IF(AND(FX$2&gt;=$D13,FX$2&lt;=$E13),1,"")))</f>
        <v/>
      </c>
      <c r="FY13" s="55" t="str">
        <f aca="false">IF(OR(FY$2="",$D13=""),"",IF(IF(ISNUMBER($F13),AND(FY$2&gt;=$F13,FY$2&lt;=IF(ISNUMBER($G13),$G13,$F13+$E13-$D13)),FALSE()),2,IF(AND(FY$2&gt;=$D13,FY$2&lt;=$E13),1,"")))</f>
        <v/>
      </c>
      <c r="FZ13" s="55" t="str">
        <f aca="false">IF(OR(FZ$2="",$D13=""),"",IF(IF(ISNUMBER($F13),AND(FZ$2&gt;=$F13,FZ$2&lt;=IF(ISNUMBER($G13),$G13,$F13+$E13-$D13)),FALSE()),2,IF(AND(FZ$2&gt;=$D13,FZ$2&lt;=$E13),1,"")))</f>
        <v/>
      </c>
      <c r="GA13" s="55" t="str">
        <f aca="false">IF(OR(GA$2="",$D13=""),"",IF(IF(ISNUMBER($F13),AND(GA$2&gt;=$F13,GA$2&lt;=IF(ISNUMBER($G13),$G13,$F13+$E13-$D13)),FALSE()),2,IF(AND(GA$2&gt;=$D13,GA$2&lt;=$E13),1,"")))</f>
        <v/>
      </c>
      <c r="GB13" s="55" t="str">
        <f aca="false">IF(OR(GB$2="",$D13=""),"",IF(IF(ISNUMBER($F13),AND(GB$2&gt;=$F13,GB$2&lt;=IF(ISNUMBER($G13),$G13,$F13+$E13-$D13)),FALSE()),2,IF(AND(GB$2&gt;=$D13,GB$2&lt;=$E13),1,"")))</f>
        <v/>
      </c>
      <c r="GC13" s="55" t="str">
        <f aca="false">IF(OR(GC$2="",$D13=""),"",IF(IF(ISNUMBER($F13),AND(GC$2&gt;=$F13,GC$2&lt;=IF(ISNUMBER($G13),$G13,$F13+$E13-$D13)),FALSE()),2,IF(AND(GC$2&gt;=$D13,GC$2&lt;=$E13),1,"")))</f>
        <v/>
      </c>
      <c r="GD13" s="55" t="str">
        <f aca="false">IF(OR(GD$2="",$D13=""),"",IF(IF(ISNUMBER($F13),AND(GD$2&gt;=$F13,GD$2&lt;=IF(ISNUMBER($G13),$G13,$F13+$E13-$D13)),FALSE()),2,IF(AND(GD$2&gt;=$D13,GD$2&lt;=$E13),1,"")))</f>
        <v/>
      </c>
      <c r="GE13" s="55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false" outlineLevel="0" collapsed="false">
      <c r="A14" s="54" t="s">
        <v>375</v>
      </c>
      <c r="B14" s="21" t="s">
        <v>376</v>
      </c>
      <c r="C14" s="21" t="s">
        <v>83</v>
      </c>
      <c r="D14" s="51" t="n">
        <f aca="false">IF(Day_0="","",Day_0+cfg_3+cfg_5)</f>
        <v>46075</v>
      </c>
      <c r="E14" s="51" t="n">
        <f aca="false">IF(D14="","",D14)</f>
        <v>46075</v>
      </c>
      <c r="F14" s="51" t="str">
        <f aca="false">IF(_xlfn.MINIFS(2_Daily_input!$D$1:$FQ$1,2_Daily_input!$D$71:$FQ$71,"PI check")+_xlfn.MINIFS(2_Daily_input!$D$1:$FQ$1,2_Daily_input!$D$72:$FQ$72,"PI check")=0,"",IF(_xlfn.MINIFS(2_Daily_input!$D$1:$FQ$1,2_Daily_input!$D$71:$FQ$71,"PI check")=0,_xlfn.MINIFS(2_Daily_input!$D$1:$FQ$1,2_Daily_input!$D$72:$FQ$72,"PI check"),IF(_xlfn.MINIFS(2_Daily_input!$D$1:$FQ$1,2_Daily_input!$D$72:$FQ$72,"PI check")=0,_xlfn.MINIFS(2_Daily_input!$D$1:$FQ$1,2_Daily_input!$D$71:$FQ$71,"PI check"),MIN(_xlfn.MINIFS(2_Daily_input!$D$1:$FQ$1,2_Daily_input!$D$71:$FQ$71,"PI check"),_xlfn.MINIFS(2_Daily_input!$D$1:$FQ$1,2_Daily_input!$D$72:$FQ$72,"PI check")))))</f>
        <v/>
      </c>
      <c r="G14" s="51" t="str">
        <f aca="false">""</f>
        <v/>
      </c>
      <c r="H14" s="50" t="str">
        <f aca="true">IF(D14="","no plan",IF(F14&lt;&gt;"",IF(F14-D14&gt;=2,"LATE","OK"),IF(TODAY()&gt;D14+2,"OVERDUE","upcoming")))</f>
        <v>OVERDUE</v>
      </c>
      <c r="I14" s="50" t="str">
        <f aca="false">IF(AND(D14&lt;&gt;"",F14&lt;&gt;""),F14-D14,"")</f>
        <v/>
      </c>
      <c r="J14" s="51" t="n">
        <f aca="false">IF(F14&lt;&gt;"",F14,D14)</f>
        <v>46075</v>
      </c>
      <c r="K14" s="51" t="n">
        <f aca="false">IF(G14&lt;&gt;"",G14,IF(AND(F14&lt;&gt;"",E14=D14),F14,E14))</f>
        <v>46075</v>
      </c>
      <c r="L14" s="50" t="str">
        <f aca="true">IF(AND(D14&lt;&gt;"",F14="",D14&gt;=TODAY()),D14+ROW()/1000,"")</f>
        <v/>
      </c>
      <c r="M14" s="55" t="str">
        <f aca="false">IF(OR(M$2="",$D14=""),"",IF(IF(ISNUMBER($F14),AND(M$2&gt;=$F14,M$2&lt;=IF(ISNUMBER($G14),$G14,$F14+$E14-$D14)),FALSE()),2,IF(AND(M$2&gt;=$D14,M$2&lt;=$E14),1,"")))</f>
        <v/>
      </c>
      <c r="N14" s="55" t="str">
        <f aca="false">IF(OR(N$2="",$D14=""),"",IF(IF(ISNUMBER($F14),AND(N$2&gt;=$F14,N$2&lt;=IF(ISNUMBER($G14),$G14,$F14+$E14-$D14)),FALSE()),2,IF(AND(N$2&gt;=$D14,N$2&lt;=$E14),1,"")))</f>
        <v/>
      </c>
      <c r="O14" s="55" t="str">
        <f aca="false">IF(OR(O$2="",$D14=""),"",IF(IF(ISNUMBER($F14),AND(O$2&gt;=$F14,O$2&lt;=IF(ISNUMBER($G14),$G14,$F14+$E14-$D14)),FALSE()),2,IF(AND(O$2&gt;=$D14,O$2&lt;=$E14),1,"")))</f>
        <v/>
      </c>
      <c r="P14" s="55" t="str">
        <f aca="false">IF(OR(P$2="",$D14=""),"",IF(IF(ISNUMBER($F14),AND(P$2&gt;=$F14,P$2&lt;=IF(ISNUMBER($G14),$G14,$F14+$E14-$D14)),FALSE()),2,IF(AND(P$2&gt;=$D14,P$2&lt;=$E14),1,"")))</f>
        <v/>
      </c>
      <c r="Q14" s="55" t="str">
        <f aca="false">IF(OR(Q$2="",$D14=""),"",IF(IF(ISNUMBER($F14),AND(Q$2&gt;=$F14,Q$2&lt;=IF(ISNUMBER($G14),$G14,$F14+$E14-$D14)),FALSE()),2,IF(AND(Q$2&gt;=$D14,Q$2&lt;=$E14),1,"")))</f>
        <v/>
      </c>
      <c r="R14" s="55" t="str">
        <f aca="false">IF(OR(R$2="",$D14=""),"",IF(IF(ISNUMBER($F14),AND(R$2&gt;=$F14,R$2&lt;=IF(ISNUMBER($G14),$G14,$F14+$E14-$D14)),FALSE()),2,IF(AND(R$2&gt;=$D14,R$2&lt;=$E14),1,"")))</f>
        <v/>
      </c>
      <c r="S14" s="55" t="str">
        <f aca="false">IF(OR(S$2="",$D14=""),"",IF(IF(ISNUMBER($F14),AND(S$2&gt;=$F14,S$2&lt;=IF(ISNUMBER($G14),$G14,$F14+$E14-$D14)),FALSE()),2,IF(AND(S$2&gt;=$D14,S$2&lt;=$E14),1,"")))</f>
        <v/>
      </c>
      <c r="T14" s="55" t="str">
        <f aca="false">IF(OR(T$2="",$D14=""),"",IF(IF(ISNUMBER($F14),AND(T$2&gt;=$F14,T$2&lt;=IF(ISNUMBER($G14),$G14,$F14+$E14-$D14)),FALSE()),2,IF(AND(T$2&gt;=$D14,T$2&lt;=$E14),1,"")))</f>
        <v/>
      </c>
      <c r="U14" s="55" t="str">
        <f aca="false">IF(OR(U$2="",$D14=""),"",IF(IF(ISNUMBER($F14),AND(U$2&gt;=$F14,U$2&lt;=IF(ISNUMBER($G14),$G14,$F14+$E14-$D14)),FALSE()),2,IF(AND(U$2&gt;=$D14,U$2&lt;=$E14),1,"")))</f>
        <v/>
      </c>
      <c r="V14" s="55" t="str">
        <f aca="false">IF(OR(V$2="",$D14=""),"",IF(IF(ISNUMBER($F14),AND(V$2&gt;=$F14,V$2&lt;=IF(ISNUMBER($G14),$G14,$F14+$E14-$D14)),FALSE()),2,IF(AND(V$2&gt;=$D14,V$2&lt;=$E14),1,"")))</f>
        <v/>
      </c>
      <c r="W14" s="55" t="str">
        <f aca="false">IF(OR(W$2="",$D14=""),"",IF(IF(ISNUMBER($F14),AND(W$2&gt;=$F14,W$2&lt;=IF(ISNUMBER($G14),$G14,$F14+$E14-$D14)),FALSE()),2,IF(AND(W$2&gt;=$D14,W$2&lt;=$E14),1,"")))</f>
        <v/>
      </c>
      <c r="X14" s="55" t="str">
        <f aca="false">IF(OR(X$2="",$D14=""),"",IF(IF(ISNUMBER($F14),AND(X$2&gt;=$F14,X$2&lt;=IF(ISNUMBER($G14),$G14,$F14+$E14-$D14)),FALSE()),2,IF(AND(X$2&gt;=$D14,X$2&lt;=$E14),1,"")))</f>
        <v/>
      </c>
      <c r="Y14" s="55" t="str">
        <f aca="false">IF(OR(Y$2="",$D14=""),"",IF(IF(ISNUMBER($F14),AND(Y$2&gt;=$F14,Y$2&lt;=IF(ISNUMBER($G14),$G14,$F14+$E14-$D14)),FALSE()),2,IF(AND(Y$2&gt;=$D14,Y$2&lt;=$E14),1,"")))</f>
        <v/>
      </c>
      <c r="Z14" s="55" t="str">
        <f aca="false">IF(OR(Z$2="",$D14=""),"",IF(IF(ISNUMBER($F14),AND(Z$2&gt;=$F14,Z$2&lt;=IF(ISNUMBER($G14),$G14,$F14+$E14-$D14)),FALSE()),2,IF(AND(Z$2&gt;=$D14,Z$2&lt;=$E14),1,"")))</f>
        <v/>
      </c>
      <c r="AA14" s="55" t="str">
        <f aca="false">IF(OR(AA$2="",$D14=""),"",IF(IF(ISNUMBER($F14),AND(AA$2&gt;=$F14,AA$2&lt;=IF(ISNUMBER($G14),$G14,$F14+$E14-$D14)),FALSE()),2,IF(AND(AA$2&gt;=$D14,AA$2&lt;=$E14),1,"")))</f>
        <v/>
      </c>
      <c r="AB14" s="55" t="str">
        <f aca="false">IF(OR(AB$2="",$D14=""),"",IF(IF(ISNUMBER($F14),AND(AB$2&gt;=$F14,AB$2&lt;=IF(ISNUMBER($G14),$G14,$F14+$E14-$D14)),FALSE()),2,IF(AND(AB$2&gt;=$D14,AB$2&lt;=$E14),1,"")))</f>
        <v/>
      </c>
      <c r="AC14" s="55" t="str">
        <f aca="false">IF(OR(AC$2="",$D14=""),"",IF(IF(ISNUMBER($F14),AND(AC$2&gt;=$F14,AC$2&lt;=IF(ISNUMBER($G14),$G14,$F14+$E14-$D14)),FALSE()),2,IF(AND(AC$2&gt;=$D14,AC$2&lt;=$E14),1,"")))</f>
        <v/>
      </c>
      <c r="AD14" s="55" t="str">
        <f aca="false">IF(OR(AD$2="",$D14=""),"",IF(IF(ISNUMBER($F14),AND(AD$2&gt;=$F14,AD$2&lt;=IF(ISNUMBER($G14),$G14,$F14+$E14-$D14)),FALSE()),2,IF(AND(AD$2&gt;=$D14,AD$2&lt;=$E14),1,"")))</f>
        <v/>
      </c>
      <c r="AE14" s="55" t="str">
        <f aca="false">IF(OR(AE$2="",$D14=""),"",IF(IF(ISNUMBER($F14),AND(AE$2&gt;=$F14,AE$2&lt;=IF(ISNUMBER($G14),$G14,$F14+$E14-$D14)),FALSE()),2,IF(AND(AE$2&gt;=$D14,AE$2&lt;=$E14),1,"")))</f>
        <v/>
      </c>
      <c r="AF14" s="55" t="str">
        <f aca="false">IF(OR(AF$2="",$D14=""),"",IF(IF(ISNUMBER($F14),AND(AF$2&gt;=$F14,AF$2&lt;=IF(ISNUMBER($G14),$G14,$F14+$E14-$D14)),FALSE()),2,IF(AND(AF$2&gt;=$D14,AF$2&lt;=$E14),1,"")))</f>
        <v/>
      </c>
      <c r="AG14" s="55" t="str">
        <f aca="false">IF(OR(AG$2="",$D14=""),"",IF(IF(ISNUMBER($F14),AND(AG$2&gt;=$F14,AG$2&lt;=IF(ISNUMBER($G14),$G14,$F14+$E14-$D14)),FALSE()),2,IF(AND(AG$2&gt;=$D14,AG$2&lt;=$E14),1,"")))</f>
        <v/>
      </c>
      <c r="AH14" s="55" t="str">
        <f aca="false">IF(OR(AH$2="",$D14=""),"",IF(IF(ISNUMBER($F14),AND(AH$2&gt;=$F14,AH$2&lt;=IF(ISNUMBER($G14),$G14,$F14+$E14-$D14)),FALSE()),2,IF(AND(AH$2&gt;=$D14,AH$2&lt;=$E14),1,"")))</f>
        <v/>
      </c>
      <c r="AI14" s="55" t="str">
        <f aca="false">IF(OR(AI$2="",$D14=""),"",IF(IF(ISNUMBER($F14),AND(AI$2&gt;=$F14,AI$2&lt;=IF(ISNUMBER($G14),$G14,$F14+$E14-$D14)),FALSE()),2,IF(AND(AI$2&gt;=$D14,AI$2&lt;=$E14),1,"")))</f>
        <v/>
      </c>
      <c r="AJ14" s="55" t="str">
        <f aca="false">IF(OR(AJ$2="",$D14=""),"",IF(IF(ISNUMBER($F14),AND(AJ$2&gt;=$F14,AJ$2&lt;=IF(ISNUMBER($G14),$G14,$F14+$E14-$D14)),FALSE()),2,IF(AND(AJ$2&gt;=$D14,AJ$2&lt;=$E14),1,"")))</f>
        <v/>
      </c>
      <c r="AK14" s="55" t="str">
        <f aca="false">IF(OR(AK$2="",$D14=""),"",IF(IF(ISNUMBER($F14),AND(AK$2&gt;=$F14,AK$2&lt;=IF(ISNUMBER($G14),$G14,$F14+$E14-$D14)),FALSE()),2,IF(AND(AK$2&gt;=$D14,AK$2&lt;=$E14),1,"")))</f>
        <v/>
      </c>
      <c r="AL14" s="55" t="str">
        <f aca="false">IF(OR(AL$2="",$D14=""),"",IF(IF(ISNUMBER($F14),AND(AL$2&gt;=$F14,AL$2&lt;=IF(ISNUMBER($G14),$G14,$F14+$E14-$D14)),FALSE()),2,IF(AND(AL$2&gt;=$D14,AL$2&lt;=$E14),1,"")))</f>
        <v/>
      </c>
      <c r="AM14" s="55" t="str">
        <f aca="false">IF(OR(AM$2="",$D14=""),"",IF(IF(ISNUMBER($F14),AND(AM$2&gt;=$F14,AM$2&lt;=IF(ISNUMBER($G14),$G14,$F14+$E14-$D14)),FALSE()),2,IF(AND(AM$2&gt;=$D14,AM$2&lt;=$E14),1,"")))</f>
        <v/>
      </c>
      <c r="AN14" s="55" t="str">
        <f aca="false">IF(OR(AN$2="",$D14=""),"",IF(IF(ISNUMBER($F14),AND(AN$2&gt;=$F14,AN$2&lt;=IF(ISNUMBER($G14),$G14,$F14+$E14-$D14)),FALSE()),2,IF(AND(AN$2&gt;=$D14,AN$2&lt;=$E14),1,"")))</f>
        <v/>
      </c>
      <c r="AO14" s="55" t="str">
        <f aca="false">IF(OR(AO$2="",$D14=""),"",IF(IF(ISNUMBER($F14),AND(AO$2&gt;=$F14,AO$2&lt;=IF(ISNUMBER($G14),$G14,$F14+$E14-$D14)),FALSE()),2,IF(AND(AO$2&gt;=$D14,AO$2&lt;=$E14),1,"")))</f>
        <v/>
      </c>
      <c r="AP14" s="55" t="str">
        <f aca="false">IF(OR(AP$2="",$D14=""),"",IF(IF(ISNUMBER($F14),AND(AP$2&gt;=$F14,AP$2&lt;=IF(ISNUMBER($G14),$G14,$F14+$E14-$D14)),FALSE()),2,IF(AND(AP$2&gt;=$D14,AP$2&lt;=$E14),1,"")))</f>
        <v/>
      </c>
      <c r="AQ14" s="55" t="str">
        <f aca="false">IF(OR(AQ$2="",$D14=""),"",IF(IF(ISNUMBER($F14),AND(AQ$2&gt;=$F14,AQ$2&lt;=IF(ISNUMBER($G14),$G14,$F14+$E14-$D14)),FALSE()),2,IF(AND(AQ$2&gt;=$D14,AQ$2&lt;=$E14),1,"")))</f>
        <v/>
      </c>
      <c r="AR14" s="55" t="str">
        <f aca="false">IF(OR(AR$2="",$D14=""),"",IF(IF(ISNUMBER($F14),AND(AR$2&gt;=$F14,AR$2&lt;=IF(ISNUMBER($G14),$G14,$F14+$E14-$D14)),FALSE()),2,IF(AND(AR$2&gt;=$D14,AR$2&lt;=$E14),1,"")))</f>
        <v/>
      </c>
      <c r="AS14" s="55" t="str">
        <f aca="false">IF(OR(AS$2="",$D14=""),"",IF(IF(ISNUMBER($F14),AND(AS$2&gt;=$F14,AS$2&lt;=IF(ISNUMBER($G14),$G14,$F14+$E14-$D14)),FALSE()),2,IF(AND(AS$2&gt;=$D14,AS$2&lt;=$E14),1,"")))</f>
        <v/>
      </c>
      <c r="AT14" s="55" t="str">
        <f aca="false">IF(OR(AT$2="",$D14=""),"",IF(IF(ISNUMBER($F14),AND(AT$2&gt;=$F14,AT$2&lt;=IF(ISNUMBER($G14),$G14,$F14+$E14-$D14)),FALSE()),2,IF(AND(AT$2&gt;=$D14,AT$2&lt;=$E14),1,"")))</f>
        <v/>
      </c>
      <c r="AU14" s="55" t="str">
        <f aca="false">IF(OR(AU$2="",$D14=""),"",IF(IF(ISNUMBER($F14),AND(AU$2&gt;=$F14,AU$2&lt;=IF(ISNUMBER($G14),$G14,$F14+$E14-$D14)),FALSE()),2,IF(AND(AU$2&gt;=$D14,AU$2&lt;=$E14),1,"")))</f>
        <v/>
      </c>
      <c r="AV14" s="55" t="str">
        <f aca="false">IF(OR(AV$2="",$D14=""),"",IF(IF(ISNUMBER($F14),AND(AV$2&gt;=$F14,AV$2&lt;=IF(ISNUMBER($G14),$G14,$F14+$E14-$D14)),FALSE()),2,IF(AND(AV$2&gt;=$D14,AV$2&lt;=$E14),1,"")))</f>
        <v/>
      </c>
      <c r="AW14" s="55" t="str">
        <f aca="false">IF(OR(AW$2="",$D14=""),"",IF(IF(ISNUMBER($F14),AND(AW$2&gt;=$F14,AW$2&lt;=IF(ISNUMBER($G14),$G14,$F14+$E14-$D14)),FALSE()),2,IF(AND(AW$2&gt;=$D14,AW$2&lt;=$E14),1,"")))</f>
        <v/>
      </c>
      <c r="AX14" s="55" t="str">
        <f aca="false">IF(OR(AX$2="",$D14=""),"",IF(IF(ISNUMBER($F14),AND(AX$2&gt;=$F14,AX$2&lt;=IF(ISNUMBER($G14),$G14,$F14+$E14-$D14)),FALSE()),2,IF(AND(AX$2&gt;=$D14,AX$2&lt;=$E14),1,"")))</f>
        <v/>
      </c>
      <c r="AY14" s="55" t="str">
        <f aca="false">IF(OR(AY$2="",$D14=""),"",IF(IF(ISNUMBER($F14),AND(AY$2&gt;=$F14,AY$2&lt;=IF(ISNUMBER($G14),$G14,$F14+$E14-$D14)),FALSE()),2,IF(AND(AY$2&gt;=$D14,AY$2&lt;=$E14),1,"")))</f>
        <v/>
      </c>
      <c r="AZ14" s="55" t="str">
        <f aca="false">IF(OR(AZ$2="",$D14=""),"",IF(IF(ISNUMBER($F14),AND(AZ$2&gt;=$F14,AZ$2&lt;=IF(ISNUMBER($G14),$G14,$F14+$E14-$D14)),FALSE()),2,IF(AND(AZ$2&gt;=$D14,AZ$2&lt;=$E14),1,"")))</f>
        <v/>
      </c>
      <c r="BA14" s="55" t="str">
        <f aca="false">IF(OR(BA$2="",$D14=""),"",IF(IF(ISNUMBER($F14),AND(BA$2&gt;=$F14,BA$2&lt;=IF(ISNUMBER($G14),$G14,$F14+$E14-$D14)),FALSE()),2,IF(AND(BA$2&gt;=$D14,BA$2&lt;=$E14),1,"")))</f>
        <v/>
      </c>
      <c r="BB14" s="55" t="str">
        <f aca="false">IF(OR(BB$2="",$D14=""),"",IF(IF(ISNUMBER($F14),AND(BB$2&gt;=$F14,BB$2&lt;=IF(ISNUMBER($G14),$G14,$F14+$E14-$D14)),FALSE()),2,IF(AND(BB$2&gt;=$D14,BB$2&lt;=$E14),1,"")))</f>
        <v/>
      </c>
      <c r="BC14" s="55" t="str">
        <f aca="false">IF(OR(BC$2="",$D14=""),"",IF(IF(ISNUMBER($F14),AND(BC$2&gt;=$F14,BC$2&lt;=IF(ISNUMBER($G14),$G14,$F14+$E14-$D14)),FALSE()),2,IF(AND(BC$2&gt;=$D14,BC$2&lt;=$E14),1,"")))</f>
        <v/>
      </c>
      <c r="BD14" s="55" t="str">
        <f aca="false">IF(OR(BD$2="",$D14=""),"",IF(IF(ISNUMBER($F14),AND(BD$2&gt;=$F14,BD$2&lt;=IF(ISNUMBER($G14),$G14,$F14+$E14-$D14)),FALSE()),2,IF(AND(BD$2&gt;=$D14,BD$2&lt;=$E14),1,"")))</f>
        <v/>
      </c>
      <c r="BE14" s="55" t="str">
        <f aca="false">IF(OR(BE$2="",$D14=""),"",IF(IF(ISNUMBER($F14),AND(BE$2&gt;=$F14,BE$2&lt;=IF(ISNUMBER($G14),$G14,$F14+$E14-$D14)),FALSE()),2,IF(AND(BE$2&gt;=$D14,BE$2&lt;=$E14),1,"")))</f>
        <v/>
      </c>
      <c r="BF14" s="55" t="str">
        <f aca="false">IF(OR(BF$2="",$D14=""),"",IF(IF(ISNUMBER($F14),AND(BF$2&gt;=$F14,BF$2&lt;=IF(ISNUMBER($G14),$G14,$F14+$E14-$D14)),FALSE()),2,IF(AND(BF$2&gt;=$D14,BF$2&lt;=$E14),1,"")))</f>
        <v/>
      </c>
      <c r="BG14" s="55" t="str">
        <f aca="false">IF(OR(BG$2="",$D14=""),"",IF(IF(ISNUMBER($F14),AND(BG$2&gt;=$F14,BG$2&lt;=IF(ISNUMBER($G14),$G14,$F14+$E14-$D14)),FALSE()),2,IF(AND(BG$2&gt;=$D14,BG$2&lt;=$E14),1,"")))</f>
        <v/>
      </c>
      <c r="BH14" s="55" t="str">
        <f aca="false">IF(OR(BH$2="",$D14=""),"",IF(IF(ISNUMBER($F14),AND(BH$2&gt;=$F14,BH$2&lt;=IF(ISNUMBER($G14),$G14,$F14+$E14-$D14)),FALSE()),2,IF(AND(BH$2&gt;=$D14,BH$2&lt;=$E14),1,"")))</f>
        <v/>
      </c>
      <c r="BI14" s="55" t="str">
        <f aca="false">IF(OR(BI$2="",$D14=""),"",IF(IF(ISNUMBER($F14),AND(BI$2&gt;=$F14,BI$2&lt;=IF(ISNUMBER($G14),$G14,$F14+$E14-$D14)),FALSE()),2,IF(AND(BI$2&gt;=$D14,BI$2&lt;=$E14),1,"")))</f>
        <v/>
      </c>
      <c r="BJ14" s="55" t="str">
        <f aca="false">IF(OR(BJ$2="",$D14=""),"",IF(IF(ISNUMBER($F14),AND(BJ$2&gt;=$F14,BJ$2&lt;=IF(ISNUMBER($G14),$G14,$F14+$E14-$D14)),FALSE()),2,IF(AND(BJ$2&gt;=$D14,BJ$2&lt;=$E14),1,"")))</f>
        <v/>
      </c>
      <c r="BK14" s="55" t="str">
        <f aca="false">IF(OR(BK$2="",$D14=""),"",IF(IF(ISNUMBER($F14),AND(BK$2&gt;=$F14,BK$2&lt;=IF(ISNUMBER($G14),$G14,$F14+$E14-$D14)),FALSE()),2,IF(AND(BK$2&gt;=$D14,BK$2&lt;=$E14),1,"")))</f>
        <v/>
      </c>
      <c r="BL14" s="55" t="str">
        <f aca="false">IF(OR(BL$2="",$D14=""),"",IF(IF(ISNUMBER($F14),AND(BL$2&gt;=$F14,BL$2&lt;=IF(ISNUMBER($G14),$G14,$F14+$E14-$D14)),FALSE()),2,IF(AND(BL$2&gt;=$D14,BL$2&lt;=$E14),1,"")))</f>
        <v/>
      </c>
      <c r="BM14" s="55" t="str">
        <f aca="false">IF(OR(BM$2="",$D14=""),"",IF(IF(ISNUMBER($F14),AND(BM$2&gt;=$F14,BM$2&lt;=IF(ISNUMBER($G14),$G14,$F14+$E14-$D14)),FALSE()),2,IF(AND(BM$2&gt;=$D14,BM$2&lt;=$E14),1,"")))</f>
        <v/>
      </c>
      <c r="BN14" s="55" t="str">
        <f aca="false">IF(OR(BN$2="",$D14=""),"",IF(IF(ISNUMBER($F14),AND(BN$2&gt;=$F14,BN$2&lt;=IF(ISNUMBER($G14),$G14,$F14+$E14-$D14)),FALSE()),2,IF(AND(BN$2&gt;=$D14,BN$2&lt;=$E14),1,"")))</f>
        <v/>
      </c>
      <c r="BO14" s="55" t="str">
        <f aca="false">IF(OR(BO$2="",$D14=""),"",IF(IF(ISNUMBER($F14),AND(BO$2&gt;=$F14,BO$2&lt;=IF(ISNUMBER($G14),$G14,$F14+$E14-$D14)),FALSE()),2,IF(AND(BO$2&gt;=$D14,BO$2&lt;=$E14),1,"")))</f>
        <v/>
      </c>
      <c r="BP14" s="55" t="str">
        <f aca="false">IF(OR(BP$2="",$D14=""),"",IF(IF(ISNUMBER($F14),AND(BP$2&gt;=$F14,BP$2&lt;=IF(ISNUMBER($G14),$G14,$F14+$E14-$D14)),FALSE()),2,IF(AND(BP$2&gt;=$D14,BP$2&lt;=$E14),1,"")))</f>
        <v/>
      </c>
      <c r="BQ14" s="55" t="str">
        <f aca="false">IF(OR(BQ$2="",$D14=""),"",IF(IF(ISNUMBER($F14),AND(BQ$2&gt;=$F14,BQ$2&lt;=IF(ISNUMBER($G14),$G14,$F14+$E14-$D14)),FALSE()),2,IF(AND(BQ$2&gt;=$D14,BQ$2&lt;=$E14),1,"")))</f>
        <v/>
      </c>
      <c r="BR14" s="55" t="str">
        <f aca="false">IF(OR(BR$2="",$D14=""),"",IF(IF(ISNUMBER($F14),AND(BR$2&gt;=$F14,BR$2&lt;=IF(ISNUMBER($G14),$G14,$F14+$E14-$D14)),FALSE()),2,IF(AND(BR$2&gt;=$D14,BR$2&lt;=$E14),1,"")))</f>
        <v/>
      </c>
      <c r="BS14" s="55" t="str">
        <f aca="false">IF(OR(BS$2="",$D14=""),"",IF(IF(ISNUMBER($F14),AND(BS$2&gt;=$F14,BS$2&lt;=IF(ISNUMBER($G14),$G14,$F14+$E14-$D14)),FALSE()),2,IF(AND(BS$2&gt;=$D14,BS$2&lt;=$E14),1,"")))</f>
        <v/>
      </c>
      <c r="BT14" s="55" t="str">
        <f aca="false">IF(OR(BT$2="",$D14=""),"",IF(IF(ISNUMBER($F14),AND(BT$2&gt;=$F14,BT$2&lt;=IF(ISNUMBER($G14),$G14,$F14+$E14-$D14)),FALSE()),2,IF(AND(BT$2&gt;=$D14,BT$2&lt;=$E14),1,"")))</f>
        <v/>
      </c>
      <c r="BU14" s="55" t="str">
        <f aca="false">IF(OR(BU$2="",$D14=""),"",IF(IF(ISNUMBER($F14),AND(BU$2&gt;=$F14,BU$2&lt;=IF(ISNUMBER($G14),$G14,$F14+$E14-$D14)),FALSE()),2,IF(AND(BU$2&gt;=$D14,BU$2&lt;=$E14),1,"")))</f>
        <v/>
      </c>
      <c r="BV14" s="55" t="str">
        <f aca="false">IF(OR(BV$2="",$D14=""),"",IF(IF(ISNUMBER($F14),AND(BV$2&gt;=$F14,BV$2&lt;=IF(ISNUMBER($G14),$G14,$F14+$E14-$D14)),FALSE()),2,IF(AND(BV$2&gt;=$D14,BV$2&lt;=$E14),1,"")))</f>
        <v/>
      </c>
      <c r="BW14" s="55" t="str">
        <f aca="false">IF(OR(BW$2="",$D14=""),"",IF(IF(ISNUMBER($F14),AND(BW$2&gt;=$F14,BW$2&lt;=IF(ISNUMBER($G14),$G14,$F14+$E14-$D14)),FALSE()),2,IF(AND(BW$2&gt;=$D14,BW$2&lt;=$E14),1,"")))</f>
        <v/>
      </c>
      <c r="BX14" s="55" t="str">
        <f aca="false">IF(OR(BX$2="",$D14=""),"",IF(IF(ISNUMBER($F14),AND(BX$2&gt;=$F14,BX$2&lt;=IF(ISNUMBER($G14),$G14,$F14+$E14-$D14)),FALSE()),2,IF(AND(BX$2&gt;=$D14,BX$2&lt;=$E14),1,"")))</f>
        <v/>
      </c>
      <c r="BY14" s="55" t="str">
        <f aca="false">IF(OR(BY$2="",$D14=""),"",IF(IF(ISNUMBER($F14),AND(BY$2&gt;=$F14,BY$2&lt;=IF(ISNUMBER($G14),$G14,$F14+$E14-$D14)),FALSE()),2,IF(AND(BY$2&gt;=$D14,BY$2&lt;=$E14),1,"")))</f>
        <v/>
      </c>
      <c r="BZ14" s="55" t="str">
        <f aca="false">IF(OR(BZ$2="",$D14=""),"",IF(IF(ISNUMBER($F14),AND(BZ$2&gt;=$F14,BZ$2&lt;=IF(ISNUMBER($G14),$G14,$F14+$E14-$D14)),FALSE()),2,IF(AND(BZ$2&gt;=$D14,BZ$2&lt;=$E14),1,"")))</f>
        <v/>
      </c>
      <c r="CA14" s="55" t="str">
        <f aca="false">IF(OR(CA$2="",$D14=""),"",IF(IF(ISNUMBER($F14),AND(CA$2&gt;=$F14,CA$2&lt;=IF(ISNUMBER($G14),$G14,$F14+$E14-$D14)),FALSE()),2,IF(AND(CA$2&gt;=$D14,CA$2&lt;=$E14),1,"")))</f>
        <v/>
      </c>
      <c r="CB14" s="55" t="str">
        <f aca="false">IF(OR(CB$2="",$D14=""),"",IF(IF(ISNUMBER($F14),AND(CB$2&gt;=$F14,CB$2&lt;=IF(ISNUMBER($G14),$G14,$F14+$E14-$D14)),FALSE()),2,IF(AND(CB$2&gt;=$D14,CB$2&lt;=$E14),1,"")))</f>
        <v/>
      </c>
      <c r="CC14" s="55" t="str">
        <f aca="false">IF(OR(CC$2="",$D14=""),"",IF(IF(ISNUMBER($F14),AND(CC$2&gt;=$F14,CC$2&lt;=IF(ISNUMBER($G14),$G14,$F14+$E14-$D14)),FALSE()),2,IF(AND(CC$2&gt;=$D14,CC$2&lt;=$E14),1,"")))</f>
        <v/>
      </c>
      <c r="CD14" s="55" t="str">
        <f aca="false">IF(OR(CD$2="",$D14=""),"",IF(IF(ISNUMBER($F14),AND(CD$2&gt;=$F14,CD$2&lt;=IF(ISNUMBER($G14),$G14,$F14+$E14-$D14)),FALSE()),2,IF(AND(CD$2&gt;=$D14,CD$2&lt;=$E14),1,"")))</f>
        <v/>
      </c>
      <c r="CE14" s="55" t="str">
        <f aca="false">IF(OR(CE$2="",$D14=""),"",IF(IF(ISNUMBER($F14),AND(CE$2&gt;=$F14,CE$2&lt;=IF(ISNUMBER($G14),$G14,$F14+$E14-$D14)),FALSE()),2,IF(AND(CE$2&gt;=$D14,CE$2&lt;=$E14),1,"")))</f>
        <v/>
      </c>
      <c r="CF14" s="55" t="str">
        <f aca="false">IF(OR(CF$2="",$D14=""),"",IF(IF(ISNUMBER($F14),AND(CF$2&gt;=$F14,CF$2&lt;=IF(ISNUMBER($G14),$G14,$F14+$E14-$D14)),FALSE()),2,IF(AND(CF$2&gt;=$D14,CF$2&lt;=$E14),1,"")))</f>
        <v/>
      </c>
      <c r="CG14" s="55" t="str">
        <f aca="false">IF(OR(CG$2="",$D14=""),"",IF(IF(ISNUMBER($F14),AND(CG$2&gt;=$F14,CG$2&lt;=IF(ISNUMBER($G14),$G14,$F14+$E14-$D14)),FALSE()),2,IF(AND(CG$2&gt;=$D14,CG$2&lt;=$E14),1,"")))</f>
        <v/>
      </c>
      <c r="CH14" s="55" t="str">
        <f aca="false">IF(OR(CH$2="",$D14=""),"",IF(IF(ISNUMBER($F14),AND(CH$2&gt;=$F14,CH$2&lt;=IF(ISNUMBER($G14),$G14,$F14+$E14-$D14)),FALSE()),2,IF(AND(CH$2&gt;=$D14,CH$2&lt;=$E14),1,"")))</f>
        <v/>
      </c>
      <c r="CI14" s="55" t="str">
        <f aca="false">IF(OR(CI$2="",$D14=""),"",IF(IF(ISNUMBER($F14),AND(CI$2&gt;=$F14,CI$2&lt;=IF(ISNUMBER($G14),$G14,$F14+$E14-$D14)),FALSE()),2,IF(AND(CI$2&gt;=$D14,CI$2&lt;=$E14),1,"")))</f>
        <v/>
      </c>
      <c r="CJ14" s="55" t="str">
        <f aca="false">IF(OR(CJ$2="",$D14=""),"",IF(IF(ISNUMBER($F14),AND(CJ$2&gt;=$F14,CJ$2&lt;=IF(ISNUMBER($G14),$G14,$F14+$E14-$D14)),FALSE()),2,IF(AND(CJ$2&gt;=$D14,CJ$2&lt;=$E14),1,"")))</f>
        <v/>
      </c>
      <c r="CK14" s="55" t="str">
        <f aca="false">IF(OR(CK$2="",$D14=""),"",IF(IF(ISNUMBER($F14),AND(CK$2&gt;=$F14,CK$2&lt;=IF(ISNUMBER($G14),$G14,$F14+$E14-$D14)),FALSE()),2,IF(AND(CK$2&gt;=$D14,CK$2&lt;=$E14),1,"")))</f>
        <v/>
      </c>
      <c r="CL14" s="55" t="str">
        <f aca="false">IF(OR(CL$2="",$D14=""),"",IF(IF(ISNUMBER($F14),AND(CL$2&gt;=$F14,CL$2&lt;=IF(ISNUMBER($G14),$G14,$F14+$E14-$D14)),FALSE()),2,IF(AND(CL$2&gt;=$D14,CL$2&lt;=$E14),1,"")))</f>
        <v/>
      </c>
      <c r="CM14" s="55" t="str">
        <f aca="false">IF(OR(CM$2="",$D14=""),"",IF(IF(ISNUMBER($F14),AND(CM$2&gt;=$F14,CM$2&lt;=IF(ISNUMBER($G14),$G14,$F14+$E14-$D14)),FALSE()),2,IF(AND(CM$2&gt;=$D14,CM$2&lt;=$E14),1,"")))</f>
        <v/>
      </c>
      <c r="CN14" s="55" t="str">
        <f aca="false">IF(OR(CN$2="",$D14=""),"",IF(IF(ISNUMBER($F14),AND(CN$2&gt;=$F14,CN$2&lt;=IF(ISNUMBER($G14),$G14,$F14+$E14-$D14)),FALSE()),2,IF(AND(CN$2&gt;=$D14,CN$2&lt;=$E14),1,"")))</f>
        <v/>
      </c>
      <c r="CO14" s="55" t="str">
        <f aca="false">IF(OR(CO$2="",$D14=""),"",IF(IF(ISNUMBER($F14),AND(CO$2&gt;=$F14,CO$2&lt;=IF(ISNUMBER($G14),$G14,$F14+$E14-$D14)),FALSE()),2,IF(AND(CO$2&gt;=$D14,CO$2&lt;=$E14),1,"")))</f>
        <v/>
      </c>
      <c r="CP14" s="55" t="str">
        <f aca="false">IF(OR(CP$2="",$D14=""),"",IF(IF(ISNUMBER($F14),AND(CP$2&gt;=$F14,CP$2&lt;=IF(ISNUMBER($G14),$G14,$F14+$E14-$D14)),FALSE()),2,IF(AND(CP$2&gt;=$D14,CP$2&lt;=$E14),1,"")))</f>
        <v/>
      </c>
      <c r="CQ14" s="55" t="str">
        <f aca="false">IF(OR(CQ$2="",$D14=""),"",IF(IF(ISNUMBER($F14),AND(CQ$2&gt;=$F14,CQ$2&lt;=IF(ISNUMBER($G14),$G14,$F14+$E14-$D14)),FALSE()),2,IF(AND(CQ$2&gt;=$D14,CQ$2&lt;=$E14),1,"")))</f>
        <v/>
      </c>
      <c r="CR14" s="55" t="str">
        <f aca="false">IF(OR(CR$2="",$D14=""),"",IF(IF(ISNUMBER($F14),AND(CR$2&gt;=$F14,CR$2&lt;=IF(ISNUMBER($G14),$G14,$F14+$E14-$D14)),FALSE()),2,IF(AND(CR$2&gt;=$D14,CR$2&lt;=$E14),1,"")))</f>
        <v/>
      </c>
      <c r="CS14" s="55" t="str">
        <f aca="false">IF(OR(CS$2="",$D14=""),"",IF(IF(ISNUMBER($F14),AND(CS$2&gt;=$F14,CS$2&lt;=IF(ISNUMBER($G14),$G14,$F14+$E14-$D14)),FALSE()),2,IF(AND(CS$2&gt;=$D14,CS$2&lt;=$E14),1,"")))</f>
        <v/>
      </c>
      <c r="CT14" s="55" t="str">
        <f aca="false">IF(OR(CT$2="",$D14=""),"",IF(IF(ISNUMBER($F14),AND(CT$2&gt;=$F14,CT$2&lt;=IF(ISNUMBER($G14),$G14,$F14+$E14-$D14)),FALSE()),2,IF(AND(CT$2&gt;=$D14,CT$2&lt;=$E14),1,"")))</f>
        <v/>
      </c>
      <c r="CU14" s="55" t="str">
        <f aca="false">IF(OR(CU$2="",$D14=""),"",IF(IF(ISNUMBER($F14),AND(CU$2&gt;=$F14,CU$2&lt;=IF(ISNUMBER($G14),$G14,$F14+$E14-$D14)),FALSE()),2,IF(AND(CU$2&gt;=$D14,CU$2&lt;=$E14),1,"")))</f>
        <v/>
      </c>
      <c r="CV14" s="55" t="str">
        <f aca="false">IF(OR(CV$2="",$D14=""),"",IF(IF(ISNUMBER($F14),AND(CV$2&gt;=$F14,CV$2&lt;=IF(ISNUMBER($G14),$G14,$F14+$E14-$D14)),FALSE()),2,IF(AND(CV$2&gt;=$D14,CV$2&lt;=$E14),1,"")))</f>
        <v/>
      </c>
      <c r="CW14" s="55" t="str">
        <f aca="false">IF(OR(CW$2="",$D14=""),"",IF(IF(ISNUMBER($F14),AND(CW$2&gt;=$F14,CW$2&lt;=IF(ISNUMBER($G14),$G14,$F14+$E14-$D14)),FALSE()),2,IF(AND(CW$2&gt;=$D14,CW$2&lt;=$E14),1,"")))</f>
        <v/>
      </c>
      <c r="CX14" s="55" t="n">
        <f aca="false">IF(OR(CX$2="",$D14=""),"",IF(IF(ISNUMBER($F14),AND(CX$2&gt;=$F14,CX$2&lt;=IF(ISNUMBER($G14),$G14,$F14+$E14-$D14)),FALSE()),2,IF(AND(CX$2&gt;=$D14,CX$2&lt;=$E14),1,"")))</f>
        <v>1</v>
      </c>
      <c r="CY14" s="55" t="str">
        <f aca="false">IF(OR(CY$2="",$D14=""),"",IF(IF(ISNUMBER($F14),AND(CY$2&gt;=$F14,CY$2&lt;=IF(ISNUMBER($G14),$G14,$F14+$E14-$D14)),FALSE()),2,IF(AND(CY$2&gt;=$D14,CY$2&lt;=$E14),1,"")))</f>
        <v/>
      </c>
      <c r="CZ14" s="55" t="str">
        <f aca="false">IF(OR(CZ$2="",$D14=""),"",IF(IF(ISNUMBER($F14),AND(CZ$2&gt;=$F14,CZ$2&lt;=IF(ISNUMBER($G14),$G14,$F14+$E14-$D14)),FALSE()),2,IF(AND(CZ$2&gt;=$D14,CZ$2&lt;=$E14),1,"")))</f>
        <v/>
      </c>
      <c r="DA14" s="55" t="str">
        <f aca="false">IF(OR(DA$2="",$D14=""),"",IF(IF(ISNUMBER($F14),AND(DA$2&gt;=$F14,DA$2&lt;=IF(ISNUMBER($G14),$G14,$F14+$E14-$D14)),FALSE()),2,IF(AND(DA$2&gt;=$D14,DA$2&lt;=$E14),1,"")))</f>
        <v/>
      </c>
      <c r="DB14" s="55" t="str">
        <f aca="false">IF(OR(DB$2="",$D14=""),"",IF(IF(ISNUMBER($F14),AND(DB$2&gt;=$F14,DB$2&lt;=IF(ISNUMBER($G14),$G14,$F14+$E14-$D14)),FALSE()),2,IF(AND(DB$2&gt;=$D14,DB$2&lt;=$E14),1,"")))</f>
        <v/>
      </c>
      <c r="DC14" s="55" t="str">
        <f aca="false">IF(OR(DC$2="",$D14=""),"",IF(IF(ISNUMBER($F14),AND(DC$2&gt;=$F14,DC$2&lt;=IF(ISNUMBER($G14),$G14,$F14+$E14-$D14)),FALSE()),2,IF(AND(DC$2&gt;=$D14,DC$2&lt;=$E14),1,"")))</f>
        <v/>
      </c>
      <c r="DD14" s="55" t="str">
        <f aca="false">IF(OR(DD$2="",$D14=""),"",IF(IF(ISNUMBER($F14),AND(DD$2&gt;=$F14,DD$2&lt;=IF(ISNUMBER($G14),$G14,$F14+$E14-$D14)),FALSE()),2,IF(AND(DD$2&gt;=$D14,DD$2&lt;=$E14),1,"")))</f>
        <v/>
      </c>
      <c r="DE14" s="55" t="str">
        <f aca="false">IF(OR(DE$2="",$D14=""),"",IF(IF(ISNUMBER($F14),AND(DE$2&gt;=$F14,DE$2&lt;=IF(ISNUMBER($G14),$G14,$F14+$E14-$D14)),FALSE()),2,IF(AND(DE$2&gt;=$D14,DE$2&lt;=$E14),1,"")))</f>
        <v/>
      </c>
      <c r="DF14" s="55" t="str">
        <f aca="false">IF(OR(DF$2="",$D14=""),"",IF(IF(ISNUMBER($F14),AND(DF$2&gt;=$F14,DF$2&lt;=IF(ISNUMBER($G14),$G14,$F14+$E14-$D14)),FALSE()),2,IF(AND(DF$2&gt;=$D14,DF$2&lt;=$E14),1,"")))</f>
        <v/>
      </c>
      <c r="DG14" s="55" t="str">
        <f aca="false">IF(OR(DG$2="",$D14=""),"",IF(IF(ISNUMBER($F14),AND(DG$2&gt;=$F14,DG$2&lt;=IF(ISNUMBER($G14),$G14,$F14+$E14-$D14)),FALSE()),2,IF(AND(DG$2&gt;=$D14,DG$2&lt;=$E14),1,"")))</f>
        <v/>
      </c>
      <c r="DH14" s="55" t="str">
        <f aca="false">IF(OR(DH$2="",$D14=""),"",IF(IF(ISNUMBER($F14),AND(DH$2&gt;=$F14,DH$2&lt;=IF(ISNUMBER($G14),$G14,$F14+$E14-$D14)),FALSE()),2,IF(AND(DH$2&gt;=$D14,DH$2&lt;=$E14),1,"")))</f>
        <v/>
      </c>
      <c r="DI14" s="55" t="str">
        <f aca="false">IF(OR(DI$2="",$D14=""),"",IF(IF(ISNUMBER($F14),AND(DI$2&gt;=$F14,DI$2&lt;=IF(ISNUMBER($G14),$G14,$F14+$E14-$D14)),FALSE()),2,IF(AND(DI$2&gt;=$D14,DI$2&lt;=$E14),1,"")))</f>
        <v/>
      </c>
      <c r="DJ14" s="55" t="str">
        <f aca="false">IF(OR(DJ$2="",$D14=""),"",IF(IF(ISNUMBER($F14),AND(DJ$2&gt;=$F14,DJ$2&lt;=IF(ISNUMBER($G14),$G14,$F14+$E14-$D14)),FALSE()),2,IF(AND(DJ$2&gt;=$D14,DJ$2&lt;=$E14),1,"")))</f>
        <v/>
      </c>
      <c r="DK14" s="55" t="str">
        <f aca="false">IF(OR(DK$2="",$D14=""),"",IF(IF(ISNUMBER($F14),AND(DK$2&gt;=$F14,DK$2&lt;=IF(ISNUMBER($G14),$G14,$F14+$E14-$D14)),FALSE()),2,IF(AND(DK$2&gt;=$D14,DK$2&lt;=$E14),1,"")))</f>
        <v/>
      </c>
      <c r="DL14" s="55" t="str">
        <f aca="false">IF(OR(DL$2="",$D14=""),"",IF(IF(ISNUMBER($F14),AND(DL$2&gt;=$F14,DL$2&lt;=IF(ISNUMBER($G14),$G14,$F14+$E14-$D14)),FALSE()),2,IF(AND(DL$2&gt;=$D14,DL$2&lt;=$E14),1,"")))</f>
        <v/>
      </c>
      <c r="DM14" s="55" t="str">
        <f aca="false">IF(OR(DM$2="",$D14=""),"",IF(IF(ISNUMBER($F14),AND(DM$2&gt;=$F14,DM$2&lt;=IF(ISNUMBER($G14),$G14,$F14+$E14-$D14)),FALSE()),2,IF(AND(DM$2&gt;=$D14,DM$2&lt;=$E14),1,"")))</f>
        <v/>
      </c>
      <c r="DN14" s="55" t="str">
        <f aca="false">IF(OR(DN$2="",$D14=""),"",IF(IF(ISNUMBER($F14),AND(DN$2&gt;=$F14,DN$2&lt;=IF(ISNUMBER($G14),$G14,$F14+$E14-$D14)),FALSE()),2,IF(AND(DN$2&gt;=$D14,DN$2&lt;=$E14),1,"")))</f>
        <v/>
      </c>
      <c r="DO14" s="55" t="str">
        <f aca="false">IF(OR(DO$2="",$D14=""),"",IF(IF(ISNUMBER($F14),AND(DO$2&gt;=$F14,DO$2&lt;=IF(ISNUMBER($G14),$G14,$F14+$E14-$D14)),FALSE()),2,IF(AND(DO$2&gt;=$D14,DO$2&lt;=$E14),1,"")))</f>
        <v/>
      </c>
      <c r="DP14" s="55" t="str">
        <f aca="false">IF(OR(DP$2="",$D14=""),"",IF(IF(ISNUMBER($F14),AND(DP$2&gt;=$F14,DP$2&lt;=IF(ISNUMBER($G14),$G14,$F14+$E14-$D14)),FALSE()),2,IF(AND(DP$2&gt;=$D14,DP$2&lt;=$E14),1,"")))</f>
        <v/>
      </c>
      <c r="DQ14" s="55" t="str">
        <f aca="false">IF(OR(DQ$2="",$D14=""),"",IF(IF(ISNUMBER($F14),AND(DQ$2&gt;=$F14,DQ$2&lt;=IF(ISNUMBER($G14),$G14,$F14+$E14-$D14)),FALSE()),2,IF(AND(DQ$2&gt;=$D14,DQ$2&lt;=$E14),1,"")))</f>
        <v/>
      </c>
      <c r="DR14" s="55" t="str">
        <f aca="false">IF(OR(DR$2="",$D14=""),"",IF(IF(ISNUMBER($F14),AND(DR$2&gt;=$F14,DR$2&lt;=IF(ISNUMBER($G14),$G14,$F14+$E14-$D14)),FALSE()),2,IF(AND(DR$2&gt;=$D14,DR$2&lt;=$E14),1,"")))</f>
        <v/>
      </c>
      <c r="DS14" s="55" t="str">
        <f aca="false">IF(OR(DS$2="",$D14=""),"",IF(IF(ISNUMBER($F14),AND(DS$2&gt;=$F14,DS$2&lt;=IF(ISNUMBER($G14),$G14,$F14+$E14-$D14)),FALSE()),2,IF(AND(DS$2&gt;=$D14,DS$2&lt;=$E14),1,"")))</f>
        <v/>
      </c>
      <c r="DT14" s="55" t="str">
        <f aca="false">IF(OR(DT$2="",$D14=""),"",IF(IF(ISNUMBER($F14),AND(DT$2&gt;=$F14,DT$2&lt;=IF(ISNUMBER($G14),$G14,$F14+$E14-$D14)),FALSE()),2,IF(AND(DT$2&gt;=$D14,DT$2&lt;=$E14),1,"")))</f>
        <v/>
      </c>
      <c r="DU14" s="55" t="str">
        <f aca="false">IF(OR(DU$2="",$D14=""),"",IF(IF(ISNUMBER($F14),AND(DU$2&gt;=$F14,DU$2&lt;=IF(ISNUMBER($G14),$G14,$F14+$E14-$D14)),FALSE()),2,IF(AND(DU$2&gt;=$D14,DU$2&lt;=$E14),1,"")))</f>
        <v/>
      </c>
      <c r="DV14" s="55" t="str">
        <f aca="false">IF(OR(DV$2="",$D14=""),"",IF(IF(ISNUMBER($F14),AND(DV$2&gt;=$F14,DV$2&lt;=IF(ISNUMBER($G14),$G14,$F14+$E14-$D14)),FALSE()),2,IF(AND(DV$2&gt;=$D14,DV$2&lt;=$E14),1,"")))</f>
        <v/>
      </c>
      <c r="DW14" s="55" t="str">
        <f aca="false">IF(OR(DW$2="",$D14=""),"",IF(IF(ISNUMBER($F14),AND(DW$2&gt;=$F14,DW$2&lt;=IF(ISNUMBER($G14),$G14,$F14+$E14-$D14)),FALSE()),2,IF(AND(DW$2&gt;=$D14,DW$2&lt;=$E14),1,"")))</f>
        <v/>
      </c>
      <c r="DX14" s="55" t="str">
        <f aca="false">IF(OR(DX$2="",$D14=""),"",IF(IF(ISNUMBER($F14),AND(DX$2&gt;=$F14,DX$2&lt;=IF(ISNUMBER($G14),$G14,$F14+$E14-$D14)),FALSE()),2,IF(AND(DX$2&gt;=$D14,DX$2&lt;=$E14),1,"")))</f>
        <v/>
      </c>
      <c r="DY14" s="55" t="str">
        <f aca="false">IF(OR(DY$2="",$D14=""),"",IF(IF(ISNUMBER($F14),AND(DY$2&gt;=$F14,DY$2&lt;=IF(ISNUMBER($G14),$G14,$F14+$E14-$D14)),FALSE()),2,IF(AND(DY$2&gt;=$D14,DY$2&lt;=$E14),1,"")))</f>
        <v/>
      </c>
      <c r="DZ14" s="55" t="str">
        <f aca="false">IF(OR(DZ$2="",$D14=""),"",IF(IF(ISNUMBER($F14),AND(DZ$2&gt;=$F14,DZ$2&lt;=IF(ISNUMBER($G14),$G14,$F14+$E14-$D14)),FALSE()),2,IF(AND(DZ$2&gt;=$D14,DZ$2&lt;=$E14),1,"")))</f>
        <v/>
      </c>
      <c r="EA14" s="55" t="str">
        <f aca="false">IF(OR(EA$2="",$D14=""),"",IF(IF(ISNUMBER($F14),AND(EA$2&gt;=$F14,EA$2&lt;=IF(ISNUMBER($G14),$G14,$F14+$E14-$D14)),FALSE()),2,IF(AND(EA$2&gt;=$D14,EA$2&lt;=$E14),1,"")))</f>
        <v/>
      </c>
      <c r="EB14" s="55" t="str">
        <f aca="false">IF(OR(EB$2="",$D14=""),"",IF(IF(ISNUMBER($F14),AND(EB$2&gt;=$F14,EB$2&lt;=IF(ISNUMBER($G14),$G14,$F14+$E14-$D14)),FALSE()),2,IF(AND(EB$2&gt;=$D14,EB$2&lt;=$E14),1,"")))</f>
        <v/>
      </c>
      <c r="EC14" s="55" t="str">
        <f aca="false">IF(OR(EC$2="",$D14=""),"",IF(IF(ISNUMBER($F14),AND(EC$2&gt;=$F14,EC$2&lt;=IF(ISNUMBER($G14),$G14,$F14+$E14-$D14)),FALSE()),2,IF(AND(EC$2&gt;=$D14,EC$2&lt;=$E14),1,"")))</f>
        <v/>
      </c>
      <c r="ED14" s="55" t="str">
        <f aca="false">IF(OR(ED$2="",$D14=""),"",IF(IF(ISNUMBER($F14),AND(ED$2&gt;=$F14,ED$2&lt;=IF(ISNUMBER($G14),$G14,$F14+$E14-$D14)),FALSE()),2,IF(AND(ED$2&gt;=$D14,ED$2&lt;=$E14),1,"")))</f>
        <v/>
      </c>
      <c r="EE14" s="55" t="str">
        <f aca="false">IF(OR(EE$2="",$D14=""),"",IF(IF(ISNUMBER($F14),AND(EE$2&gt;=$F14,EE$2&lt;=IF(ISNUMBER($G14),$G14,$F14+$E14-$D14)),FALSE()),2,IF(AND(EE$2&gt;=$D14,EE$2&lt;=$E14),1,"")))</f>
        <v/>
      </c>
      <c r="EF14" s="55" t="str">
        <f aca="false">IF(OR(EF$2="",$D14=""),"",IF(IF(ISNUMBER($F14),AND(EF$2&gt;=$F14,EF$2&lt;=IF(ISNUMBER($G14),$G14,$F14+$E14-$D14)),FALSE()),2,IF(AND(EF$2&gt;=$D14,EF$2&lt;=$E14),1,"")))</f>
        <v/>
      </c>
      <c r="EG14" s="55" t="str">
        <f aca="false">IF(OR(EG$2="",$D14=""),"",IF(IF(ISNUMBER($F14),AND(EG$2&gt;=$F14,EG$2&lt;=IF(ISNUMBER($G14),$G14,$F14+$E14-$D14)),FALSE()),2,IF(AND(EG$2&gt;=$D14,EG$2&lt;=$E14),1,"")))</f>
        <v/>
      </c>
      <c r="EH14" s="55" t="str">
        <f aca="false">IF(OR(EH$2="",$D14=""),"",IF(IF(ISNUMBER($F14),AND(EH$2&gt;=$F14,EH$2&lt;=IF(ISNUMBER($G14),$G14,$F14+$E14-$D14)),FALSE()),2,IF(AND(EH$2&gt;=$D14,EH$2&lt;=$E14),1,"")))</f>
        <v/>
      </c>
      <c r="EI14" s="55" t="str">
        <f aca="false">IF(OR(EI$2="",$D14=""),"",IF(IF(ISNUMBER($F14),AND(EI$2&gt;=$F14,EI$2&lt;=IF(ISNUMBER($G14),$G14,$F14+$E14-$D14)),FALSE()),2,IF(AND(EI$2&gt;=$D14,EI$2&lt;=$E14),1,"")))</f>
        <v/>
      </c>
      <c r="EJ14" s="55" t="str">
        <f aca="false">IF(OR(EJ$2="",$D14=""),"",IF(IF(ISNUMBER($F14),AND(EJ$2&gt;=$F14,EJ$2&lt;=IF(ISNUMBER($G14),$G14,$F14+$E14-$D14)),FALSE()),2,IF(AND(EJ$2&gt;=$D14,EJ$2&lt;=$E14),1,"")))</f>
        <v/>
      </c>
      <c r="EK14" s="55" t="str">
        <f aca="false">IF(OR(EK$2="",$D14=""),"",IF(IF(ISNUMBER($F14),AND(EK$2&gt;=$F14,EK$2&lt;=IF(ISNUMBER($G14),$G14,$F14+$E14-$D14)),FALSE()),2,IF(AND(EK$2&gt;=$D14,EK$2&lt;=$E14),1,"")))</f>
        <v/>
      </c>
      <c r="EL14" s="55" t="str">
        <f aca="false">IF(OR(EL$2="",$D14=""),"",IF(IF(ISNUMBER($F14),AND(EL$2&gt;=$F14,EL$2&lt;=IF(ISNUMBER($G14),$G14,$F14+$E14-$D14)),FALSE()),2,IF(AND(EL$2&gt;=$D14,EL$2&lt;=$E14),1,"")))</f>
        <v/>
      </c>
      <c r="EM14" s="55" t="str">
        <f aca="false">IF(OR(EM$2="",$D14=""),"",IF(IF(ISNUMBER($F14),AND(EM$2&gt;=$F14,EM$2&lt;=IF(ISNUMBER($G14),$G14,$F14+$E14-$D14)),FALSE()),2,IF(AND(EM$2&gt;=$D14,EM$2&lt;=$E14),1,"")))</f>
        <v/>
      </c>
      <c r="EN14" s="55" t="str">
        <f aca="false">IF(OR(EN$2="",$D14=""),"",IF(IF(ISNUMBER($F14),AND(EN$2&gt;=$F14,EN$2&lt;=IF(ISNUMBER($G14),$G14,$F14+$E14-$D14)),FALSE()),2,IF(AND(EN$2&gt;=$D14,EN$2&lt;=$E14),1,"")))</f>
        <v/>
      </c>
      <c r="EO14" s="55" t="str">
        <f aca="false">IF(OR(EO$2="",$D14=""),"",IF(IF(ISNUMBER($F14),AND(EO$2&gt;=$F14,EO$2&lt;=IF(ISNUMBER($G14),$G14,$F14+$E14-$D14)),FALSE()),2,IF(AND(EO$2&gt;=$D14,EO$2&lt;=$E14),1,"")))</f>
        <v/>
      </c>
      <c r="EP14" s="55" t="str">
        <f aca="false">IF(OR(EP$2="",$D14=""),"",IF(IF(ISNUMBER($F14),AND(EP$2&gt;=$F14,EP$2&lt;=IF(ISNUMBER($G14),$G14,$F14+$E14-$D14)),FALSE()),2,IF(AND(EP$2&gt;=$D14,EP$2&lt;=$E14),1,"")))</f>
        <v/>
      </c>
      <c r="EQ14" s="55" t="str">
        <f aca="false">IF(OR(EQ$2="",$D14=""),"",IF(IF(ISNUMBER($F14),AND(EQ$2&gt;=$F14,EQ$2&lt;=IF(ISNUMBER($G14),$G14,$F14+$E14-$D14)),FALSE()),2,IF(AND(EQ$2&gt;=$D14,EQ$2&lt;=$E14),1,"")))</f>
        <v/>
      </c>
      <c r="ER14" s="55" t="str">
        <f aca="false">IF(OR(ER$2="",$D14=""),"",IF(IF(ISNUMBER($F14),AND(ER$2&gt;=$F14,ER$2&lt;=IF(ISNUMBER($G14),$G14,$F14+$E14-$D14)),FALSE()),2,IF(AND(ER$2&gt;=$D14,ER$2&lt;=$E14),1,"")))</f>
        <v/>
      </c>
      <c r="ES14" s="55" t="str">
        <f aca="false">IF(OR(ES$2="",$D14=""),"",IF(IF(ISNUMBER($F14),AND(ES$2&gt;=$F14,ES$2&lt;=IF(ISNUMBER($G14),$G14,$F14+$E14-$D14)),FALSE()),2,IF(AND(ES$2&gt;=$D14,ES$2&lt;=$E14),1,"")))</f>
        <v/>
      </c>
      <c r="ET14" s="55" t="str">
        <f aca="false">IF(OR(ET$2="",$D14=""),"",IF(IF(ISNUMBER($F14),AND(ET$2&gt;=$F14,ET$2&lt;=IF(ISNUMBER($G14),$G14,$F14+$E14-$D14)),FALSE()),2,IF(AND(ET$2&gt;=$D14,ET$2&lt;=$E14),1,"")))</f>
        <v/>
      </c>
      <c r="EU14" s="55" t="str">
        <f aca="false">IF(OR(EU$2="",$D14=""),"",IF(IF(ISNUMBER($F14),AND(EU$2&gt;=$F14,EU$2&lt;=IF(ISNUMBER($G14),$G14,$F14+$E14-$D14)),FALSE()),2,IF(AND(EU$2&gt;=$D14,EU$2&lt;=$E14),1,"")))</f>
        <v/>
      </c>
      <c r="EV14" s="55" t="str">
        <f aca="false">IF(OR(EV$2="",$D14=""),"",IF(IF(ISNUMBER($F14),AND(EV$2&gt;=$F14,EV$2&lt;=IF(ISNUMBER($G14),$G14,$F14+$E14-$D14)),FALSE()),2,IF(AND(EV$2&gt;=$D14,EV$2&lt;=$E14),1,"")))</f>
        <v/>
      </c>
      <c r="EW14" s="55" t="str">
        <f aca="false">IF(OR(EW$2="",$D14=""),"",IF(IF(ISNUMBER($F14),AND(EW$2&gt;=$F14,EW$2&lt;=IF(ISNUMBER($G14),$G14,$F14+$E14-$D14)),FALSE()),2,IF(AND(EW$2&gt;=$D14,EW$2&lt;=$E14),1,"")))</f>
        <v/>
      </c>
      <c r="EX14" s="55" t="str">
        <f aca="false">IF(OR(EX$2="",$D14=""),"",IF(IF(ISNUMBER($F14),AND(EX$2&gt;=$F14,EX$2&lt;=IF(ISNUMBER($G14),$G14,$F14+$E14-$D14)),FALSE()),2,IF(AND(EX$2&gt;=$D14,EX$2&lt;=$E14),1,"")))</f>
        <v/>
      </c>
      <c r="EY14" s="55" t="str">
        <f aca="false">IF(OR(EY$2="",$D14=""),"",IF(IF(ISNUMBER($F14),AND(EY$2&gt;=$F14,EY$2&lt;=IF(ISNUMBER($G14),$G14,$F14+$E14-$D14)),FALSE()),2,IF(AND(EY$2&gt;=$D14,EY$2&lt;=$E14),1,"")))</f>
        <v/>
      </c>
      <c r="EZ14" s="55" t="str">
        <f aca="false">IF(OR(EZ$2="",$D14=""),"",IF(IF(ISNUMBER($F14),AND(EZ$2&gt;=$F14,EZ$2&lt;=IF(ISNUMBER($G14),$G14,$F14+$E14-$D14)),FALSE()),2,IF(AND(EZ$2&gt;=$D14,EZ$2&lt;=$E14),1,"")))</f>
        <v/>
      </c>
      <c r="FA14" s="55" t="str">
        <f aca="false">IF(OR(FA$2="",$D14=""),"",IF(IF(ISNUMBER($F14),AND(FA$2&gt;=$F14,FA$2&lt;=IF(ISNUMBER($G14),$G14,$F14+$E14-$D14)),FALSE()),2,IF(AND(FA$2&gt;=$D14,FA$2&lt;=$E14),1,"")))</f>
        <v/>
      </c>
      <c r="FB14" s="55" t="str">
        <f aca="false">IF(OR(FB$2="",$D14=""),"",IF(IF(ISNUMBER($F14),AND(FB$2&gt;=$F14,FB$2&lt;=IF(ISNUMBER($G14),$G14,$F14+$E14-$D14)),FALSE()),2,IF(AND(FB$2&gt;=$D14,FB$2&lt;=$E14),1,"")))</f>
        <v/>
      </c>
      <c r="FC14" s="55" t="str">
        <f aca="false">IF(OR(FC$2="",$D14=""),"",IF(IF(ISNUMBER($F14),AND(FC$2&gt;=$F14,FC$2&lt;=IF(ISNUMBER($G14),$G14,$F14+$E14-$D14)),FALSE()),2,IF(AND(FC$2&gt;=$D14,FC$2&lt;=$E14),1,"")))</f>
        <v/>
      </c>
      <c r="FD14" s="55" t="str">
        <f aca="false">IF(OR(FD$2="",$D14=""),"",IF(IF(ISNUMBER($F14),AND(FD$2&gt;=$F14,FD$2&lt;=IF(ISNUMBER($G14),$G14,$F14+$E14-$D14)),FALSE()),2,IF(AND(FD$2&gt;=$D14,FD$2&lt;=$E14),1,"")))</f>
        <v/>
      </c>
      <c r="FE14" s="55" t="str">
        <f aca="false">IF(OR(FE$2="",$D14=""),"",IF(IF(ISNUMBER($F14),AND(FE$2&gt;=$F14,FE$2&lt;=IF(ISNUMBER($G14),$G14,$F14+$E14-$D14)),FALSE()),2,IF(AND(FE$2&gt;=$D14,FE$2&lt;=$E14),1,"")))</f>
        <v/>
      </c>
      <c r="FF14" s="55" t="str">
        <f aca="false">IF(OR(FF$2="",$D14=""),"",IF(IF(ISNUMBER($F14),AND(FF$2&gt;=$F14,FF$2&lt;=IF(ISNUMBER($G14),$G14,$F14+$E14-$D14)),FALSE()),2,IF(AND(FF$2&gt;=$D14,FF$2&lt;=$E14),1,"")))</f>
        <v/>
      </c>
      <c r="FG14" s="55" t="str">
        <f aca="false">IF(OR(FG$2="",$D14=""),"",IF(IF(ISNUMBER($F14),AND(FG$2&gt;=$F14,FG$2&lt;=IF(ISNUMBER($G14),$G14,$F14+$E14-$D14)),FALSE()),2,IF(AND(FG$2&gt;=$D14,FG$2&lt;=$E14),1,"")))</f>
        <v/>
      </c>
      <c r="FH14" s="55" t="str">
        <f aca="false">IF(OR(FH$2="",$D14=""),"",IF(IF(ISNUMBER($F14),AND(FH$2&gt;=$F14,FH$2&lt;=IF(ISNUMBER($G14),$G14,$F14+$E14-$D14)),FALSE()),2,IF(AND(FH$2&gt;=$D14,FH$2&lt;=$E14),1,"")))</f>
        <v/>
      </c>
      <c r="FI14" s="55" t="str">
        <f aca="false">IF(OR(FI$2="",$D14=""),"",IF(IF(ISNUMBER($F14),AND(FI$2&gt;=$F14,FI$2&lt;=IF(ISNUMBER($G14),$G14,$F14+$E14-$D14)),FALSE()),2,IF(AND(FI$2&gt;=$D14,FI$2&lt;=$E14),1,"")))</f>
        <v/>
      </c>
      <c r="FJ14" s="55" t="str">
        <f aca="false">IF(OR(FJ$2="",$D14=""),"",IF(IF(ISNUMBER($F14),AND(FJ$2&gt;=$F14,FJ$2&lt;=IF(ISNUMBER($G14),$G14,$F14+$E14-$D14)),FALSE()),2,IF(AND(FJ$2&gt;=$D14,FJ$2&lt;=$E14),1,"")))</f>
        <v/>
      </c>
      <c r="FK14" s="55" t="str">
        <f aca="false">IF(OR(FK$2="",$D14=""),"",IF(IF(ISNUMBER($F14),AND(FK$2&gt;=$F14,FK$2&lt;=IF(ISNUMBER($G14),$G14,$F14+$E14-$D14)),FALSE()),2,IF(AND(FK$2&gt;=$D14,FK$2&lt;=$E14),1,"")))</f>
        <v/>
      </c>
      <c r="FL14" s="55" t="str">
        <f aca="false">IF(OR(FL$2="",$D14=""),"",IF(IF(ISNUMBER($F14),AND(FL$2&gt;=$F14,FL$2&lt;=IF(ISNUMBER($G14),$G14,$F14+$E14-$D14)),FALSE()),2,IF(AND(FL$2&gt;=$D14,FL$2&lt;=$E14),1,"")))</f>
        <v/>
      </c>
      <c r="FM14" s="55" t="str">
        <f aca="false">IF(OR(FM$2="",$D14=""),"",IF(IF(ISNUMBER($F14),AND(FM$2&gt;=$F14,FM$2&lt;=IF(ISNUMBER($G14),$G14,$F14+$E14-$D14)),FALSE()),2,IF(AND(FM$2&gt;=$D14,FM$2&lt;=$E14),1,"")))</f>
        <v/>
      </c>
      <c r="FN14" s="55" t="str">
        <f aca="false">IF(OR(FN$2="",$D14=""),"",IF(IF(ISNUMBER($F14),AND(FN$2&gt;=$F14,FN$2&lt;=IF(ISNUMBER($G14),$G14,$F14+$E14-$D14)),FALSE()),2,IF(AND(FN$2&gt;=$D14,FN$2&lt;=$E14),1,"")))</f>
        <v/>
      </c>
      <c r="FO14" s="55" t="str">
        <f aca="false">IF(OR(FO$2="",$D14=""),"",IF(IF(ISNUMBER($F14),AND(FO$2&gt;=$F14,FO$2&lt;=IF(ISNUMBER($G14),$G14,$F14+$E14-$D14)),FALSE()),2,IF(AND(FO$2&gt;=$D14,FO$2&lt;=$E14),1,"")))</f>
        <v/>
      </c>
      <c r="FP14" s="55" t="str">
        <f aca="false">IF(OR(FP$2="",$D14=""),"",IF(IF(ISNUMBER($F14),AND(FP$2&gt;=$F14,FP$2&lt;=IF(ISNUMBER($G14),$G14,$F14+$E14-$D14)),FALSE()),2,IF(AND(FP$2&gt;=$D14,FP$2&lt;=$E14),1,"")))</f>
        <v/>
      </c>
      <c r="FQ14" s="55" t="str">
        <f aca="false">IF(OR(FQ$2="",$D14=""),"",IF(IF(ISNUMBER($F14),AND(FQ$2&gt;=$F14,FQ$2&lt;=IF(ISNUMBER($G14),$G14,$F14+$E14-$D14)),FALSE()),2,IF(AND(FQ$2&gt;=$D14,FQ$2&lt;=$E14),1,"")))</f>
        <v/>
      </c>
      <c r="FR14" s="55" t="str">
        <f aca="false">IF(OR(FR$2="",$D14=""),"",IF(IF(ISNUMBER($F14),AND(FR$2&gt;=$F14,FR$2&lt;=IF(ISNUMBER($G14),$G14,$F14+$E14-$D14)),FALSE()),2,IF(AND(FR$2&gt;=$D14,FR$2&lt;=$E14),1,"")))</f>
        <v/>
      </c>
      <c r="FS14" s="55" t="str">
        <f aca="false">IF(OR(FS$2="",$D14=""),"",IF(IF(ISNUMBER($F14),AND(FS$2&gt;=$F14,FS$2&lt;=IF(ISNUMBER($G14),$G14,$F14+$E14-$D14)),FALSE()),2,IF(AND(FS$2&gt;=$D14,FS$2&lt;=$E14),1,"")))</f>
        <v/>
      </c>
      <c r="FT14" s="55" t="str">
        <f aca="false">IF(OR(FT$2="",$D14=""),"",IF(IF(ISNUMBER($F14),AND(FT$2&gt;=$F14,FT$2&lt;=IF(ISNUMBER($G14),$G14,$F14+$E14-$D14)),FALSE()),2,IF(AND(FT$2&gt;=$D14,FT$2&lt;=$E14),1,"")))</f>
        <v/>
      </c>
      <c r="FU14" s="55" t="str">
        <f aca="false">IF(OR(FU$2="",$D14=""),"",IF(IF(ISNUMBER($F14),AND(FU$2&gt;=$F14,FU$2&lt;=IF(ISNUMBER($G14),$G14,$F14+$E14-$D14)),FALSE()),2,IF(AND(FU$2&gt;=$D14,FU$2&lt;=$E14),1,"")))</f>
        <v/>
      </c>
      <c r="FV14" s="55" t="str">
        <f aca="false">IF(OR(FV$2="",$D14=""),"",IF(IF(ISNUMBER($F14),AND(FV$2&gt;=$F14,FV$2&lt;=IF(ISNUMBER($G14),$G14,$F14+$E14-$D14)),FALSE()),2,IF(AND(FV$2&gt;=$D14,FV$2&lt;=$E14),1,"")))</f>
        <v/>
      </c>
      <c r="FW14" s="55" t="str">
        <f aca="false">IF(OR(FW$2="",$D14=""),"",IF(IF(ISNUMBER($F14),AND(FW$2&gt;=$F14,FW$2&lt;=IF(ISNUMBER($G14),$G14,$F14+$E14-$D14)),FALSE()),2,IF(AND(FW$2&gt;=$D14,FW$2&lt;=$E14),1,"")))</f>
        <v/>
      </c>
      <c r="FX14" s="55" t="str">
        <f aca="false">IF(OR(FX$2="",$D14=""),"",IF(IF(ISNUMBER($F14),AND(FX$2&gt;=$F14,FX$2&lt;=IF(ISNUMBER($G14),$G14,$F14+$E14-$D14)),FALSE()),2,IF(AND(FX$2&gt;=$D14,FX$2&lt;=$E14),1,"")))</f>
        <v/>
      </c>
      <c r="FY14" s="55" t="str">
        <f aca="false">IF(OR(FY$2="",$D14=""),"",IF(IF(ISNUMBER($F14),AND(FY$2&gt;=$F14,FY$2&lt;=IF(ISNUMBER($G14),$G14,$F14+$E14-$D14)),FALSE()),2,IF(AND(FY$2&gt;=$D14,FY$2&lt;=$E14),1,"")))</f>
        <v/>
      </c>
      <c r="FZ14" s="55" t="str">
        <f aca="false">IF(OR(FZ$2="",$D14=""),"",IF(IF(ISNUMBER($F14),AND(FZ$2&gt;=$F14,FZ$2&lt;=IF(ISNUMBER($G14),$G14,$F14+$E14-$D14)),FALSE()),2,IF(AND(FZ$2&gt;=$D14,FZ$2&lt;=$E14),1,"")))</f>
        <v/>
      </c>
      <c r="GA14" s="55" t="str">
        <f aca="false">IF(OR(GA$2="",$D14=""),"",IF(IF(ISNUMBER($F14),AND(GA$2&gt;=$F14,GA$2&lt;=IF(ISNUMBER($G14),$G14,$F14+$E14-$D14)),FALSE()),2,IF(AND(GA$2&gt;=$D14,GA$2&lt;=$E14),1,"")))</f>
        <v/>
      </c>
      <c r="GB14" s="55" t="str">
        <f aca="false">IF(OR(GB$2="",$D14=""),"",IF(IF(ISNUMBER($F14),AND(GB$2&gt;=$F14,GB$2&lt;=IF(ISNUMBER($G14),$G14,$F14+$E14-$D14)),FALSE()),2,IF(AND(GB$2&gt;=$D14,GB$2&lt;=$E14),1,"")))</f>
        <v/>
      </c>
      <c r="GC14" s="55" t="str">
        <f aca="false">IF(OR(GC$2="",$D14=""),"",IF(IF(ISNUMBER($F14),AND(GC$2&gt;=$F14,GC$2&lt;=IF(ISNUMBER($G14),$G14,$F14+$E14-$D14)),FALSE()),2,IF(AND(GC$2&gt;=$D14,GC$2&lt;=$E14),1,"")))</f>
        <v/>
      </c>
      <c r="GD14" s="55" t="str">
        <f aca="false">IF(OR(GD$2="",$D14=""),"",IF(IF(ISNUMBER($F14),AND(GD$2&gt;=$F14,GD$2&lt;=IF(ISNUMBER($G14),$G14,$F14+$E14-$D14)),FALSE()),2,IF(AND(GD$2&gt;=$D14,GD$2&lt;=$E14),1,"")))</f>
        <v/>
      </c>
      <c r="GE14" s="55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false" outlineLevel="0" collapsed="false">
      <c r="A15" s="54" t="s">
        <v>377</v>
      </c>
      <c r="B15" s="21" t="s">
        <v>378</v>
      </c>
      <c r="C15" s="21" t="s">
        <v>83</v>
      </c>
      <c r="D15" s="51" t="n">
        <f aca="false">IF(Day_0="","",Day_0+cfg_6-cfg_7)</f>
        <v>46089</v>
      </c>
      <c r="E15" s="51" t="n">
        <f aca="false">IF(Day_0="","",Day_0+cfg_6-cfg_8)</f>
        <v>46093</v>
      </c>
      <c r="F15" s="51" t="str">
        <f aca="false">IF(_xlfn.MINIFS(2_Daily_input!$D$1:$FQ$1,2_Daily_input!$D$71:$FQ$71,"Flooding start")+_xlfn.MINIFS(2_Daily_input!$D$1:$FQ$1,2_Daily_input!$D$72:$FQ$72,"Flooding start")=0,"",IF(_xlfn.MINIFS(2_Daily_input!$D$1:$FQ$1,2_Daily_input!$D$71:$FQ$71,"Flooding start")=0,_xlfn.MINIFS(2_Daily_input!$D$1:$FQ$1,2_Daily_input!$D$72:$FQ$72,"Flooding start"),IF(_xlfn.MINIFS(2_Daily_input!$D$1:$FQ$1,2_Daily_input!$D$72:$FQ$72,"Flooding start")=0,_xlfn.MINIFS(2_Daily_input!$D$1:$FQ$1,2_Daily_input!$D$71:$FQ$71,"Flooding start"),MIN(_xlfn.MINIFS(2_Daily_input!$D$1:$FQ$1,2_Daily_input!$D$71:$FQ$71,"Flooding start"),_xlfn.MINIFS(2_Daily_input!$D$1:$FQ$1,2_Daily_input!$D$72:$FQ$72,"Flooding start")))))</f>
        <v/>
      </c>
      <c r="G15" s="51" t="str">
        <f aca="false">IF(_xlfn.MINIFS(2_Daily_input!$D$1:$FQ$1,2_Daily_input!$D$71:$FQ$71,"Flooding end")+_xlfn.MINIFS(2_Daily_input!$D$1:$FQ$1,2_Daily_input!$D$72:$FQ$72,"Flooding end")=0,"",IF(_xlfn.MINIFS(2_Daily_input!$D$1:$FQ$1,2_Daily_input!$D$71:$FQ$71,"Flooding end")=0,_xlfn.MINIFS(2_Daily_input!$D$1:$FQ$1,2_Daily_input!$D$72:$FQ$72,"Flooding end"),IF(_xlfn.MINIFS(2_Daily_input!$D$1:$FQ$1,2_Daily_input!$D$72:$FQ$72,"Flooding end")=0,_xlfn.MINIFS(2_Daily_input!$D$1:$FQ$1,2_Daily_input!$D$71:$FQ$71,"Flooding end"),MIN(_xlfn.MINIFS(2_Daily_input!$D$1:$FQ$1,2_Daily_input!$D$71:$FQ$71,"Flooding end"),_xlfn.MINIFS(2_Daily_input!$D$1:$FQ$1,2_Daily_input!$D$72:$FQ$72,"Flooding end")))))</f>
        <v/>
      </c>
      <c r="H15" s="50" t="str">
        <f aca="true">IF(D15="","no plan",IF(F15&lt;&gt;"",IF(F15-D15&gt;=2,"LATE","OK"),IF(TODAY()&gt;D15+2,"OVERDUE","upcoming")))</f>
        <v>OVERDUE</v>
      </c>
      <c r="I15" s="50" t="str">
        <f aca="false">IF(AND(D15&lt;&gt;"",F15&lt;&gt;""),F15-D15,"")</f>
        <v/>
      </c>
      <c r="J15" s="51" t="n">
        <f aca="false">IF(F15&lt;&gt;"",F15,D15)</f>
        <v>46089</v>
      </c>
      <c r="K15" s="51" t="n">
        <f aca="false">IF(G15&lt;&gt;"",G15,IF(AND(F15&lt;&gt;"",E15=D15),F15,E15))</f>
        <v>46093</v>
      </c>
      <c r="L15" s="50" t="str">
        <f aca="true">IF(AND(D15&lt;&gt;"",F15="",D15&gt;=TODAY()),D15+ROW()/1000,"")</f>
        <v/>
      </c>
      <c r="M15" s="55" t="str">
        <f aca="false">IF(OR(M$2="",$D15=""),"",IF(IF(ISNUMBER($F15),AND(M$2&gt;=$F15,M$2&lt;=IF(ISNUMBER($G15),$G15,$F15+$E15-$D15)),FALSE()),2,IF(AND(M$2&gt;=$D15,M$2&lt;=$E15),1,"")))</f>
        <v/>
      </c>
      <c r="N15" s="55" t="str">
        <f aca="false">IF(OR(N$2="",$D15=""),"",IF(IF(ISNUMBER($F15),AND(N$2&gt;=$F15,N$2&lt;=IF(ISNUMBER($G15),$G15,$F15+$E15-$D15)),FALSE()),2,IF(AND(N$2&gt;=$D15,N$2&lt;=$E15),1,"")))</f>
        <v/>
      </c>
      <c r="O15" s="55" t="str">
        <f aca="false">IF(OR(O$2="",$D15=""),"",IF(IF(ISNUMBER($F15),AND(O$2&gt;=$F15,O$2&lt;=IF(ISNUMBER($G15),$G15,$F15+$E15-$D15)),FALSE()),2,IF(AND(O$2&gt;=$D15,O$2&lt;=$E15),1,"")))</f>
        <v/>
      </c>
      <c r="P15" s="55" t="str">
        <f aca="false">IF(OR(P$2="",$D15=""),"",IF(IF(ISNUMBER($F15),AND(P$2&gt;=$F15,P$2&lt;=IF(ISNUMBER($G15),$G15,$F15+$E15-$D15)),FALSE()),2,IF(AND(P$2&gt;=$D15,P$2&lt;=$E15),1,"")))</f>
        <v/>
      </c>
      <c r="Q15" s="55" t="str">
        <f aca="false">IF(OR(Q$2="",$D15=""),"",IF(IF(ISNUMBER($F15),AND(Q$2&gt;=$F15,Q$2&lt;=IF(ISNUMBER($G15),$G15,$F15+$E15-$D15)),FALSE()),2,IF(AND(Q$2&gt;=$D15,Q$2&lt;=$E15),1,"")))</f>
        <v/>
      </c>
      <c r="R15" s="55" t="str">
        <f aca="false">IF(OR(R$2="",$D15=""),"",IF(IF(ISNUMBER($F15),AND(R$2&gt;=$F15,R$2&lt;=IF(ISNUMBER($G15),$G15,$F15+$E15-$D15)),FALSE()),2,IF(AND(R$2&gt;=$D15,R$2&lt;=$E15),1,"")))</f>
        <v/>
      </c>
      <c r="S15" s="55" t="str">
        <f aca="false">IF(OR(S$2="",$D15=""),"",IF(IF(ISNUMBER($F15),AND(S$2&gt;=$F15,S$2&lt;=IF(ISNUMBER($G15),$G15,$F15+$E15-$D15)),FALSE()),2,IF(AND(S$2&gt;=$D15,S$2&lt;=$E15),1,"")))</f>
        <v/>
      </c>
      <c r="T15" s="55" t="str">
        <f aca="false">IF(OR(T$2="",$D15=""),"",IF(IF(ISNUMBER($F15),AND(T$2&gt;=$F15,T$2&lt;=IF(ISNUMBER($G15),$G15,$F15+$E15-$D15)),FALSE()),2,IF(AND(T$2&gt;=$D15,T$2&lt;=$E15),1,"")))</f>
        <v/>
      </c>
      <c r="U15" s="55" t="str">
        <f aca="false">IF(OR(U$2="",$D15=""),"",IF(IF(ISNUMBER($F15),AND(U$2&gt;=$F15,U$2&lt;=IF(ISNUMBER($G15),$G15,$F15+$E15-$D15)),FALSE()),2,IF(AND(U$2&gt;=$D15,U$2&lt;=$E15),1,"")))</f>
        <v/>
      </c>
      <c r="V15" s="55" t="str">
        <f aca="false">IF(OR(V$2="",$D15=""),"",IF(IF(ISNUMBER($F15),AND(V$2&gt;=$F15,V$2&lt;=IF(ISNUMBER($G15),$G15,$F15+$E15-$D15)),FALSE()),2,IF(AND(V$2&gt;=$D15,V$2&lt;=$E15),1,"")))</f>
        <v/>
      </c>
      <c r="W15" s="55" t="str">
        <f aca="false">IF(OR(W$2="",$D15=""),"",IF(IF(ISNUMBER($F15),AND(W$2&gt;=$F15,W$2&lt;=IF(ISNUMBER($G15),$G15,$F15+$E15-$D15)),FALSE()),2,IF(AND(W$2&gt;=$D15,W$2&lt;=$E15),1,"")))</f>
        <v/>
      </c>
      <c r="X15" s="55" t="str">
        <f aca="false">IF(OR(X$2="",$D15=""),"",IF(IF(ISNUMBER($F15),AND(X$2&gt;=$F15,X$2&lt;=IF(ISNUMBER($G15),$G15,$F15+$E15-$D15)),FALSE()),2,IF(AND(X$2&gt;=$D15,X$2&lt;=$E15),1,"")))</f>
        <v/>
      </c>
      <c r="Y15" s="55" t="str">
        <f aca="false">IF(OR(Y$2="",$D15=""),"",IF(IF(ISNUMBER($F15),AND(Y$2&gt;=$F15,Y$2&lt;=IF(ISNUMBER($G15),$G15,$F15+$E15-$D15)),FALSE()),2,IF(AND(Y$2&gt;=$D15,Y$2&lt;=$E15),1,"")))</f>
        <v/>
      </c>
      <c r="Z15" s="55" t="str">
        <f aca="false">IF(OR(Z$2="",$D15=""),"",IF(IF(ISNUMBER($F15),AND(Z$2&gt;=$F15,Z$2&lt;=IF(ISNUMBER($G15),$G15,$F15+$E15-$D15)),FALSE()),2,IF(AND(Z$2&gt;=$D15,Z$2&lt;=$E15),1,"")))</f>
        <v/>
      </c>
      <c r="AA15" s="55" t="str">
        <f aca="false">IF(OR(AA$2="",$D15=""),"",IF(IF(ISNUMBER($F15),AND(AA$2&gt;=$F15,AA$2&lt;=IF(ISNUMBER($G15),$G15,$F15+$E15-$D15)),FALSE()),2,IF(AND(AA$2&gt;=$D15,AA$2&lt;=$E15),1,"")))</f>
        <v/>
      </c>
      <c r="AB15" s="55" t="str">
        <f aca="false">IF(OR(AB$2="",$D15=""),"",IF(IF(ISNUMBER($F15),AND(AB$2&gt;=$F15,AB$2&lt;=IF(ISNUMBER($G15),$G15,$F15+$E15-$D15)),FALSE()),2,IF(AND(AB$2&gt;=$D15,AB$2&lt;=$E15),1,"")))</f>
        <v/>
      </c>
      <c r="AC15" s="55" t="str">
        <f aca="false">IF(OR(AC$2="",$D15=""),"",IF(IF(ISNUMBER($F15),AND(AC$2&gt;=$F15,AC$2&lt;=IF(ISNUMBER($G15),$G15,$F15+$E15-$D15)),FALSE()),2,IF(AND(AC$2&gt;=$D15,AC$2&lt;=$E15),1,"")))</f>
        <v/>
      </c>
      <c r="AD15" s="55" t="str">
        <f aca="false">IF(OR(AD$2="",$D15=""),"",IF(IF(ISNUMBER($F15),AND(AD$2&gt;=$F15,AD$2&lt;=IF(ISNUMBER($G15),$G15,$F15+$E15-$D15)),FALSE()),2,IF(AND(AD$2&gt;=$D15,AD$2&lt;=$E15),1,"")))</f>
        <v/>
      </c>
      <c r="AE15" s="55" t="str">
        <f aca="false">IF(OR(AE$2="",$D15=""),"",IF(IF(ISNUMBER($F15),AND(AE$2&gt;=$F15,AE$2&lt;=IF(ISNUMBER($G15),$G15,$F15+$E15-$D15)),FALSE()),2,IF(AND(AE$2&gt;=$D15,AE$2&lt;=$E15),1,"")))</f>
        <v/>
      </c>
      <c r="AF15" s="55" t="str">
        <f aca="false">IF(OR(AF$2="",$D15=""),"",IF(IF(ISNUMBER($F15),AND(AF$2&gt;=$F15,AF$2&lt;=IF(ISNUMBER($G15),$G15,$F15+$E15-$D15)),FALSE()),2,IF(AND(AF$2&gt;=$D15,AF$2&lt;=$E15),1,"")))</f>
        <v/>
      </c>
      <c r="AG15" s="55" t="str">
        <f aca="false">IF(OR(AG$2="",$D15=""),"",IF(IF(ISNUMBER($F15),AND(AG$2&gt;=$F15,AG$2&lt;=IF(ISNUMBER($G15),$G15,$F15+$E15-$D15)),FALSE()),2,IF(AND(AG$2&gt;=$D15,AG$2&lt;=$E15),1,"")))</f>
        <v/>
      </c>
      <c r="AH15" s="55" t="str">
        <f aca="false">IF(OR(AH$2="",$D15=""),"",IF(IF(ISNUMBER($F15),AND(AH$2&gt;=$F15,AH$2&lt;=IF(ISNUMBER($G15),$G15,$F15+$E15-$D15)),FALSE()),2,IF(AND(AH$2&gt;=$D15,AH$2&lt;=$E15),1,"")))</f>
        <v/>
      </c>
      <c r="AI15" s="55" t="str">
        <f aca="false">IF(OR(AI$2="",$D15=""),"",IF(IF(ISNUMBER($F15),AND(AI$2&gt;=$F15,AI$2&lt;=IF(ISNUMBER($G15),$G15,$F15+$E15-$D15)),FALSE()),2,IF(AND(AI$2&gt;=$D15,AI$2&lt;=$E15),1,"")))</f>
        <v/>
      </c>
      <c r="AJ15" s="55" t="str">
        <f aca="false">IF(OR(AJ$2="",$D15=""),"",IF(IF(ISNUMBER($F15),AND(AJ$2&gt;=$F15,AJ$2&lt;=IF(ISNUMBER($G15),$G15,$F15+$E15-$D15)),FALSE()),2,IF(AND(AJ$2&gt;=$D15,AJ$2&lt;=$E15),1,"")))</f>
        <v/>
      </c>
      <c r="AK15" s="55" t="str">
        <f aca="false">IF(OR(AK$2="",$D15=""),"",IF(IF(ISNUMBER($F15),AND(AK$2&gt;=$F15,AK$2&lt;=IF(ISNUMBER($G15),$G15,$F15+$E15-$D15)),FALSE()),2,IF(AND(AK$2&gt;=$D15,AK$2&lt;=$E15),1,"")))</f>
        <v/>
      </c>
      <c r="AL15" s="55" t="str">
        <f aca="false">IF(OR(AL$2="",$D15=""),"",IF(IF(ISNUMBER($F15),AND(AL$2&gt;=$F15,AL$2&lt;=IF(ISNUMBER($G15),$G15,$F15+$E15-$D15)),FALSE()),2,IF(AND(AL$2&gt;=$D15,AL$2&lt;=$E15),1,"")))</f>
        <v/>
      </c>
      <c r="AM15" s="55" t="str">
        <f aca="false">IF(OR(AM$2="",$D15=""),"",IF(IF(ISNUMBER($F15),AND(AM$2&gt;=$F15,AM$2&lt;=IF(ISNUMBER($G15),$G15,$F15+$E15-$D15)),FALSE()),2,IF(AND(AM$2&gt;=$D15,AM$2&lt;=$E15),1,"")))</f>
        <v/>
      </c>
      <c r="AN15" s="55" t="str">
        <f aca="false">IF(OR(AN$2="",$D15=""),"",IF(IF(ISNUMBER($F15),AND(AN$2&gt;=$F15,AN$2&lt;=IF(ISNUMBER($G15),$G15,$F15+$E15-$D15)),FALSE()),2,IF(AND(AN$2&gt;=$D15,AN$2&lt;=$E15),1,"")))</f>
        <v/>
      </c>
      <c r="AO15" s="55" t="str">
        <f aca="false">IF(OR(AO$2="",$D15=""),"",IF(IF(ISNUMBER($F15),AND(AO$2&gt;=$F15,AO$2&lt;=IF(ISNUMBER($G15),$G15,$F15+$E15-$D15)),FALSE()),2,IF(AND(AO$2&gt;=$D15,AO$2&lt;=$E15),1,"")))</f>
        <v/>
      </c>
      <c r="AP15" s="55" t="str">
        <f aca="false">IF(OR(AP$2="",$D15=""),"",IF(IF(ISNUMBER($F15),AND(AP$2&gt;=$F15,AP$2&lt;=IF(ISNUMBER($G15),$G15,$F15+$E15-$D15)),FALSE()),2,IF(AND(AP$2&gt;=$D15,AP$2&lt;=$E15),1,"")))</f>
        <v/>
      </c>
      <c r="AQ15" s="55" t="str">
        <f aca="false">IF(OR(AQ$2="",$D15=""),"",IF(IF(ISNUMBER($F15),AND(AQ$2&gt;=$F15,AQ$2&lt;=IF(ISNUMBER($G15),$G15,$F15+$E15-$D15)),FALSE()),2,IF(AND(AQ$2&gt;=$D15,AQ$2&lt;=$E15),1,"")))</f>
        <v/>
      </c>
      <c r="AR15" s="55" t="str">
        <f aca="false">IF(OR(AR$2="",$D15=""),"",IF(IF(ISNUMBER($F15),AND(AR$2&gt;=$F15,AR$2&lt;=IF(ISNUMBER($G15),$G15,$F15+$E15-$D15)),FALSE()),2,IF(AND(AR$2&gt;=$D15,AR$2&lt;=$E15),1,"")))</f>
        <v/>
      </c>
      <c r="AS15" s="55" t="str">
        <f aca="false">IF(OR(AS$2="",$D15=""),"",IF(IF(ISNUMBER($F15),AND(AS$2&gt;=$F15,AS$2&lt;=IF(ISNUMBER($G15),$G15,$F15+$E15-$D15)),FALSE()),2,IF(AND(AS$2&gt;=$D15,AS$2&lt;=$E15),1,"")))</f>
        <v/>
      </c>
      <c r="AT15" s="55" t="str">
        <f aca="false">IF(OR(AT$2="",$D15=""),"",IF(IF(ISNUMBER($F15),AND(AT$2&gt;=$F15,AT$2&lt;=IF(ISNUMBER($G15),$G15,$F15+$E15-$D15)),FALSE()),2,IF(AND(AT$2&gt;=$D15,AT$2&lt;=$E15),1,"")))</f>
        <v/>
      </c>
      <c r="AU15" s="55" t="str">
        <f aca="false">IF(OR(AU$2="",$D15=""),"",IF(IF(ISNUMBER($F15),AND(AU$2&gt;=$F15,AU$2&lt;=IF(ISNUMBER($G15),$G15,$F15+$E15-$D15)),FALSE()),2,IF(AND(AU$2&gt;=$D15,AU$2&lt;=$E15),1,"")))</f>
        <v/>
      </c>
      <c r="AV15" s="55" t="str">
        <f aca="false">IF(OR(AV$2="",$D15=""),"",IF(IF(ISNUMBER($F15),AND(AV$2&gt;=$F15,AV$2&lt;=IF(ISNUMBER($G15),$G15,$F15+$E15-$D15)),FALSE()),2,IF(AND(AV$2&gt;=$D15,AV$2&lt;=$E15),1,"")))</f>
        <v/>
      </c>
      <c r="AW15" s="55" t="str">
        <f aca="false">IF(OR(AW$2="",$D15=""),"",IF(IF(ISNUMBER($F15),AND(AW$2&gt;=$F15,AW$2&lt;=IF(ISNUMBER($G15),$G15,$F15+$E15-$D15)),FALSE()),2,IF(AND(AW$2&gt;=$D15,AW$2&lt;=$E15),1,"")))</f>
        <v/>
      </c>
      <c r="AX15" s="55" t="str">
        <f aca="false">IF(OR(AX$2="",$D15=""),"",IF(IF(ISNUMBER($F15),AND(AX$2&gt;=$F15,AX$2&lt;=IF(ISNUMBER($G15),$G15,$F15+$E15-$D15)),FALSE()),2,IF(AND(AX$2&gt;=$D15,AX$2&lt;=$E15),1,"")))</f>
        <v/>
      </c>
      <c r="AY15" s="55" t="str">
        <f aca="false">IF(OR(AY$2="",$D15=""),"",IF(IF(ISNUMBER($F15),AND(AY$2&gt;=$F15,AY$2&lt;=IF(ISNUMBER($G15),$G15,$F15+$E15-$D15)),FALSE()),2,IF(AND(AY$2&gt;=$D15,AY$2&lt;=$E15),1,"")))</f>
        <v/>
      </c>
      <c r="AZ15" s="55" t="str">
        <f aca="false">IF(OR(AZ$2="",$D15=""),"",IF(IF(ISNUMBER($F15),AND(AZ$2&gt;=$F15,AZ$2&lt;=IF(ISNUMBER($G15),$G15,$F15+$E15-$D15)),FALSE()),2,IF(AND(AZ$2&gt;=$D15,AZ$2&lt;=$E15),1,"")))</f>
        <v/>
      </c>
      <c r="BA15" s="55" t="str">
        <f aca="false">IF(OR(BA$2="",$D15=""),"",IF(IF(ISNUMBER($F15),AND(BA$2&gt;=$F15,BA$2&lt;=IF(ISNUMBER($G15),$G15,$F15+$E15-$D15)),FALSE()),2,IF(AND(BA$2&gt;=$D15,BA$2&lt;=$E15),1,"")))</f>
        <v/>
      </c>
      <c r="BB15" s="55" t="str">
        <f aca="false">IF(OR(BB$2="",$D15=""),"",IF(IF(ISNUMBER($F15),AND(BB$2&gt;=$F15,BB$2&lt;=IF(ISNUMBER($G15),$G15,$F15+$E15-$D15)),FALSE()),2,IF(AND(BB$2&gt;=$D15,BB$2&lt;=$E15),1,"")))</f>
        <v/>
      </c>
      <c r="BC15" s="55" t="str">
        <f aca="false">IF(OR(BC$2="",$D15=""),"",IF(IF(ISNUMBER($F15),AND(BC$2&gt;=$F15,BC$2&lt;=IF(ISNUMBER($G15),$G15,$F15+$E15-$D15)),FALSE()),2,IF(AND(BC$2&gt;=$D15,BC$2&lt;=$E15),1,"")))</f>
        <v/>
      </c>
      <c r="BD15" s="55" t="str">
        <f aca="false">IF(OR(BD$2="",$D15=""),"",IF(IF(ISNUMBER($F15),AND(BD$2&gt;=$F15,BD$2&lt;=IF(ISNUMBER($G15),$G15,$F15+$E15-$D15)),FALSE()),2,IF(AND(BD$2&gt;=$D15,BD$2&lt;=$E15),1,"")))</f>
        <v/>
      </c>
      <c r="BE15" s="55" t="str">
        <f aca="false">IF(OR(BE$2="",$D15=""),"",IF(IF(ISNUMBER($F15),AND(BE$2&gt;=$F15,BE$2&lt;=IF(ISNUMBER($G15),$G15,$F15+$E15-$D15)),FALSE()),2,IF(AND(BE$2&gt;=$D15,BE$2&lt;=$E15),1,"")))</f>
        <v/>
      </c>
      <c r="BF15" s="55" t="str">
        <f aca="false">IF(OR(BF$2="",$D15=""),"",IF(IF(ISNUMBER($F15),AND(BF$2&gt;=$F15,BF$2&lt;=IF(ISNUMBER($G15),$G15,$F15+$E15-$D15)),FALSE()),2,IF(AND(BF$2&gt;=$D15,BF$2&lt;=$E15),1,"")))</f>
        <v/>
      </c>
      <c r="BG15" s="55" t="str">
        <f aca="false">IF(OR(BG$2="",$D15=""),"",IF(IF(ISNUMBER($F15),AND(BG$2&gt;=$F15,BG$2&lt;=IF(ISNUMBER($G15),$G15,$F15+$E15-$D15)),FALSE()),2,IF(AND(BG$2&gt;=$D15,BG$2&lt;=$E15),1,"")))</f>
        <v/>
      </c>
      <c r="BH15" s="55" t="str">
        <f aca="false">IF(OR(BH$2="",$D15=""),"",IF(IF(ISNUMBER($F15),AND(BH$2&gt;=$F15,BH$2&lt;=IF(ISNUMBER($G15),$G15,$F15+$E15-$D15)),FALSE()),2,IF(AND(BH$2&gt;=$D15,BH$2&lt;=$E15),1,"")))</f>
        <v/>
      </c>
      <c r="BI15" s="55" t="str">
        <f aca="false">IF(OR(BI$2="",$D15=""),"",IF(IF(ISNUMBER($F15),AND(BI$2&gt;=$F15,BI$2&lt;=IF(ISNUMBER($G15),$G15,$F15+$E15-$D15)),FALSE()),2,IF(AND(BI$2&gt;=$D15,BI$2&lt;=$E15),1,"")))</f>
        <v/>
      </c>
      <c r="BJ15" s="55" t="str">
        <f aca="false">IF(OR(BJ$2="",$D15=""),"",IF(IF(ISNUMBER($F15),AND(BJ$2&gt;=$F15,BJ$2&lt;=IF(ISNUMBER($G15),$G15,$F15+$E15-$D15)),FALSE()),2,IF(AND(BJ$2&gt;=$D15,BJ$2&lt;=$E15),1,"")))</f>
        <v/>
      </c>
      <c r="BK15" s="55" t="str">
        <f aca="false">IF(OR(BK$2="",$D15=""),"",IF(IF(ISNUMBER($F15),AND(BK$2&gt;=$F15,BK$2&lt;=IF(ISNUMBER($G15),$G15,$F15+$E15-$D15)),FALSE()),2,IF(AND(BK$2&gt;=$D15,BK$2&lt;=$E15),1,"")))</f>
        <v/>
      </c>
      <c r="BL15" s="55" t="str">
        <f aca="false">IF(OR(BL$2="",$D15=""),"",IF(IF(ISNUMBER($F15),AND(BL$2&gt;=$F15,BL$2&lt;=IF(ISNUMBER($G15),$G15,$F15+$E15-$D15)),FALSE()),2,IF(AND(BL$2&gt;=$D15,BL$2&lt;=$E15),1,"")))</f>
        <v/>
      </c>
      <c r="BM15" s="55" t="str">
        <f aca="false">IF(OR(BM$2="",$D15=""),"",IF(IF(ISNUMBER($F15),AND(BM$2&gt;=$F15,BM$2&lt;=IF(ISNUMBER($G15),$G15,$F15+$E15-$D15)),FALSE()),2,IF(AND(BM$2&gt;=$D15,BM$2&lt;=$E15),1,"")))</f>
        <v/>
      </c>
      <c r="BN15" s="55" t="str">
        <f aca="false">IF(OR(BN$2="",$D15=""),"",IF(IF(ISNUMBER($F15),AND(BN$2&gt;=$F15,BN$2&lt;=IF(ISNUMBER($G15),$G15,$F15+$E15-$D15)),FALSE()),2,IF(AND(BN$2&gt;=$D15,BN$2&lt;=$E15),1,"")))</f>
        <v/>
      </c>
      <c r="BO15" s="55" t="str">
        <f aca="false">IF(OR(BO$2="",$D15=""),"",IF(IF(ISNUMBER($F15),AND(BO$2&gt;=$F15,BO$2&lt;=IF(ISNUMBER($G15),$G15,$F15+$E15-$D15)),FALSE()),2,IF(AND(BO$2&gt;=$D15,BO$2&lt;=$E15),1,"")))</f>
        <v/>
      </c>
      <c r="BP15" s="55" t="str">
        <f aca="false">IF(OR(BP$2="",$D15=""),"",IF(IF(ISNUMBER($F15),AND(BP$2&gt;=$F15,BP$2&lt;=IF(ISNUMBER($G15),$G15,$F15+$E15-$D15)),FALSE()),2,IF(AND(BP$2&gt;=$D15,BP$2&lt;=$E15),1,"")))</f>
        <v/>
      </c>
      <c r="BQ15" s="55" t="str">
        <f aca="false">IF(OR(BQ$2="",$D15=""),"",IF(IF(ISNUMBER($F15),AND(BQ$2&gt;=$F15,BQ$2&lt;=IF(ISNUMBER($G15),$G15,$F15+$E15-$D15)),FALSE()),2,IF(AND(BQ$2&gt;=$D15,BQ$2&lt;=$E15),1,"")))</f>
        <v/>
      </c>
      <c r="BR15" s="55" t="str">
        <f aca="false">IF(OR(BR$2="",$D15=""),"",IF(IF(ISNUMBER($F15),AND(BR$2&gt;=$F15,BR$2&lt;=IF(ISNUMBER($G15),$G15,$F15+$E15-$D15)),FALSE()),2,IF(AND(BR$2&gt;=$D15,BR$2&lt;=$E15),1,"")))</f>
        <v/>
      </c>
      <c r="BS15" s="55" t="str">
        <f aca="false">IF(OR(BS$2="",$D15=""),"",IF(IF(ISNUMBER($F15),AND(BS$2&gt;=$F15,BS$2&lt;=IF(ISNUMBER($G15),$G15,$F15+$E15-$D15)),FALSE()),2,IF(AND(BS$2&gt;=$D15,BS$2&lt;=$E15),1,"")))</f>
        <v/>
      </c>
      <c r="BT15" s="55" t="str">
        <f aca="false">IF(OR(BT$2="",$D15=""),"",IF(IF(ISNUMBER($F15),AND(BT$2&gt;=$F15,BT$2&lt;=IF(ISNUMBER($G15),$G15,$F15+$E15-$D15)),FALSE()),2,IF(AND(BT$2&gt;=$D15,BT$2&lt;=$E15),1,"")))</f>
        <v/>
      </c>
      <c r="BU15" s="55" t="str">
        <f aca="false">IF(OR(BU$2="",$D15=""),"",IF(IF(ISNUMBER($F15),AND(BU$2&gt;=$F15,BU$2&lt;=IF(ISNUMBER($G15),$G15,$F15+$E15-$D15)),FALSE()),2,IF(AND(BU$2&gt;=$D15,BU$2&lt;=$E15),1,"")))</f>
        <v/>
      </c>
      <c r="BV15" s="55" t="str">
        <f aca="false">IF(OR(BV$2="",$D15=""),"",IF(IF(ISNUMBER($F15),AND(BV$2&gt;=$F15,BV$2&lt;=IF(ISNUMBER($G15),$G15,$F15+$E15-$D15)),FALSE()),2,IF(AND(BV$2&gt;=$D15,BV$2&lt;=$E15),1,"")))</f>
        <v/>
      </c>
      <c r="BW15" s="55" t="str">
        <f aca="false">IF(OR(BW$2="",$D15=""),"",IF(IF(ISNUMBER($F15),AND(BW$2&gt;=$F15,BW$2&lt;=IF(ISNUMBER($G15),$G15,$F15+$E15-$D15)),FALSE()),2,IF(AND(BW$2&gt;=$D15,BW$2&lt;=$E15),1,"")))</f>
        <v/>
      </c>
      <c r="BX15" s="55" t="str">
        <f aca="false">IF(OR(BX$2="",$D15=""),"",IF(IF(ISNUMBER($F15),AND(BX$2&gt;=$F15,BX$2&lt;=IF(ISNUMBER($G15),$G15,$F15+$E15-$D15)),FALSE()),2,IF(AND(BX$2&gt;=$D15,BX$2&lt;=$E15),1,"")))</f>
        <v/>
      </c>
      <c r="BY15" s="55" t="str">
        <f aca="false">IF(OR(BY$2="",$D15=""),"",IF(IF(ISNUMBER($F15),AND(BY$2&gt;=$F15,BY$2&lt;=IF(ISNUMBER($G15),$G15,$F15+$E15-$D15)),FALSE()),2,IF(AND(BY$2&gt;=$D15,BY$2&lt;=$E15),1,"")))</f>
        <v/>
      </c>
      <c r="BZ15" s="55" t="str">
        <f aca="false">IF(OR(BZ$2="",$D15=""),"",IF(IF(ISNUMBER($F15),AND(BZ$2&gt;=$F15,BZ$2&lt;=IF(ISNUMBER($G15),$G15,$F15+$E15-$D15)),FALSE()),2,IF(AND(BZ$2&gt;=$D15,BZ$2&lt;=$E15),1,"")))</f>
        <v/>
      </c>
      <c r="CA15" s="55" t="str">
        <f aca="false">IF(OR(CA$2="",$D15=""),"",IF(IF(ISNUMBER($F15),AND(CA$2&gt;=$F15,CA$2&lt;=IF(ISNUMBER($G15),$G15,$F15+$E15-$D15)),FALSE()),2,IF(AND(CA$2&gt;=$D15,CA$2&lt;=$E15),1,"")))</f>
        <v/>
      </c>
      <c r="CB15" s="55" t="str">
        <f aca="false">IF(OR(CB$2="",$D15=""),"",IF(IF(ISNUMBER($F15),AND(CB$2&gt;=$F15,CB$2&lt;=IF(ISNUMBER($G15),$G15,$F15+$E15-$D15)),FALSE()),2,IF(AND(CB$2&gt;=$D15,CB$2&lt;=$E15),1,"")))</f>
        <v/>
      </c>
      <c r="CC15" s="55" t="str">
        <f aca="false">IF(OR(CC$2="",$D15=""),"",IF(IF(ISNUMBER($F15),AND(CC$2&gt;=$F15,CC$2&lt;=IF(ISNUMBER($G15),$G15,$F15+$E15-$D15)),FALSE()),2,IF(AND(CC$2&gt;=$D15,CC$2&lt;=$E15),1,"")))</f>
        <v/>
      </c>
      <c r="CD15" s="55" t="str">
        <f aca="false">IF(OR(CD$2="",$D15=""),"",IF(IF(ISNUMBER($F15),AND(CD$2&gt;=$F15,CD$2&lt;=IF(ISNUMBER($G15),$G15,$F15+$E15-$D15)),FALSE()),2,IF(AND(CD$2&gt;=$D15,CD$2&lt;=$E15),1,"")))</f>
        <v/>
      </c>
      <c r="CE15" s="55" t="str">
        <f aca="false">IF(OR(CE$2="",$D15=""),"",IF(IF(ISNUMBER($F15),AND(CE$2&gt;=$F15,CE$2&lt;=IF(ISNUMBER($G15),$G15,$F15+$E15-$D15)),FALSE()),2,IF(AND(CE$2&gt;=$D15,CE$2&lt;=$E15),1,"")))</f>
        <v/>
      </c>
      <c r="CF15" s="55" t="str">
        <f aca="false">IF(OR(CF$2="",$D15=""),"",IF(IF(ISNUMBER($F15),AND(CF$2&gt;=$F15,CF$2&lt;=IF(ISNUMBER($G15),$G15,$F15+$E15-$D15)),FALSE()),2,IF(AND(CF$2&gt;=$D15,CF$2&lt;=$E15),1,"")))</f>
        <v/>
      </c>
      <c r="CG15" s="55" t="str">
        <f aca="false">IF(OR(CG$2="",$D15=""),"",IF(IF(ISNUMBER($F15),AND(CG$2&gt;=$F15,CG$2&lt;=IF(ISNUMBER($G15),$G15,$F15+$E15-$D15)),FALSE()),2,IF(AND(CG$2&gt;=$D15,CG$2&lt;=$E15),1,"")))</f>
        <v/>
      </c>
      <c r="CH15" s="55" t="str">
        <f aca="false">IF(OR(CH$2="",$D15=""),"",IF(IF(ISNUMBER($F15),AND(CH$2&gt;=$F15,CH$2&lt;=IF(ISNUMBER($G15),$G15,$F15+$E15-$D15)),FALSE()),2,IF(AND(CH$2&gt;=$D15,CH$2&lt;=$E15),1,"")))</f>
        <v/>
      </c>
      <c r="CI15" s="55" t="str">
        <f aca="false">IF(OR(CI$2="",$D15=""),"",IF(IF(ISNUMBER($F15),AND(CI$2&gt;=$F15,CI$2&lt;=IF(ISNUMBER($G15),$G15,$F15+$E15-$D15)),FALSE()),2,IF(AND(CI$2&gt;=$D15,CI$2&lt;=$E15),1,"")))</f>
        <v/>
      </c>
      <c r="CJ15" s="55" t="str">
        <f aca="false">IF(OR(CJ$2="",$D15=""),"",IF(IF(ISNUMBER($F15),AND(CJ$2&gt;=$F15,CJ$2&lt;=IF(ISNUMBER($G15),$G15,$F15+$E15-$D15)),FALSE()),2,IF(AND(CJ$2&gt;=$D15,CJ$2&lt;=$E15),1,"")))</f>
        <v/>
      </c>
      <c r="CK15" s="55" t="str">
        <f aca="false">IF(OR(CK$2="",$D15=""),"",IF(IF(ISNUMBER($F15),AND(CK$2&gt;=$F15,CK$2&lt;=IF(ISNUMBER($G15),$G15,$F15+$E15-$D15)),FALSE()),2,IF(AND(CK$2&gt;=$D15,CK$2&lt;=$E15),1,"")))</f>
        <v/>
      </c>
      <c r="CL15" s="55" t="str">
        <f aca="false">IF(OR(CL$2="",$D15=""),"",IF(IF(ISNUMBER($F15),AND(CL$2&gt;=$F15,CL$2&lt;=IF(ISNUMBER($G15),$G15,$F15+$E15-$D15)),FALSE()),2,IF(AND(CL$2&gt;=$D15,CL$2&lt;=$E15),1,"")))</f>
        <v/>
      </c>
      <c r="CM15" s="55" t="str">
        <f aca="false">IF(OR(CM$2="",$D15=""),"",IF(IF(ISNUMBER($F15),AND(CM$2&gt;=$F15,CM$2&lt;=IF(ISNUMBER($G15),$G15,$F15+$E15-$D15)),FALSE()),2,IF(AND(CM$2&gt;=$D15,CM$2&lt;=$E15),1,"")))</f>
        <v/>
      </c>
      <c r="CN15" s="55" t="str">
        <f aca="false">IF(OR(CN$2="",$D15=""),"",IF(IF(ISNUMBER($F15),AND(CN$2&gt;=$F15,CN$2&lt;=IF(ISNUMBER($G15),$G15,$F15+$E15-$D15)),FALSE()),2,IF(AND(CN$2&gt;=$D15,CN$2&lt;=$E15),1,"")))</f>
        <v/>
      </c>
      <c r="CO15" s="55" t="str">
        <f aca="false">IF(OR(CO$2="",$D15=""),"",IF(IF(ISNUMBER($F15),AND(CO$2&gt;=$F15,CO$2&lt;=IF(ISNUMBER($G15),$G15,$F15+$E15-$D15)),FALSE()),2,IF(AND(CO$2&gt;=$D15,CO$2&lt;=$E15),1,"")))</f>
        <v/>
      </c>
      <c r="CP15" s="55" t="str">
        <f aca="false">IF(OR(CP$2="",$D15=""),"",IF(IF(ISNUMBER($F15),AND(CP$2&gt;=$F15,CP$2&lt;=IF(ISNUMBER($G15),$G15,$F15+$E15-$D15)),FALSE()),2,IF(AND(CP$2&gt;=$D15,CP$2&lt;=$E15),1,"")))</f>
        <v/>
      </c>
      <c r="CQ15" s="55" t="str">
        <f aca="false">IF(OR(CQ$2="",$D15=""),"",IF(IF(ISNUMBER($F15),AND(CQ$2&gt;=$F15,CQ$2&lt;=IF(ISNUMBER($G15),$G15,$F15+$E15-$D15)),FALSE()),2,IF(AND(CQ$2&gt;=$D15,CQ$2&lt;=$E15),1,"")))</f>
        <v/>
      </c>
      <c r="CR15" s="55" t="str">
        <f aca="false">IF(OR(CR$2="",$D15=""),"",IF(IF(ISNUMBER($F15),AND(CR$2&gt;=$F15,CR$2&lt;=IF(ISNUMBER($G15),$G15,$F15+$E15-$D15)),FALSE()),2,IF(AND(CR$2&gt;=$D15,CR$2&lt;=$E15),1,"")))</f>
        <v/>
      </c>
      <c r="CS15" s="55" t="str">
        <f aca="false">IF(OR(CS$2="",$D15=""),"",IF(IF(ISNUMBER($F15),AND(CS$2&gt;=$F15,CS$2&lt;=IF(ISNUMBER($G15),$G15,$F15+$E15-$D15)),FALSE()),2,IF(AND(CS$2&gt;=$D15,CS$2&lt;=$E15),1,"")))</f>
        <v/>
      </c>
      <c r="CT15" s="55" t="str">
        <f aca="false">IF(OR(CT$2="",$D15=""),"",IF(IF(ISNUMBER($F15),AND(CT$2&gt;=$F15,CT$2&lt;=IF(ISNUMBER($G15),$G15,$F15+$E15-$D15)),FALSE()),2,IF(AND(CT$2&gt;=$D15,CT$2&lt;=$E15),1,"")))</f>
        <v/>
      </c>
      <c r="CU15" s="55" t="str">
        <f aca="false">IF(OR(CU$2="",$D15=""),"",IF(IF(ISNUMBER($F15),AND(CU$2&gt;=$F15,CU$2&lt;=IF(ISNUMBER($G15),$G15,$F15+$E15-$D15)),FALSE()),2,IF(AND(CU$2&gt;=$D15,CU$2&lt;=$E15),1,"")))</f>
        <v/>
      </c>
      <c r="CV15" s="55" t="str">
        <f aca="false">IF(OR(CV$2="",$D15=""),"",IF(IF(ISNUMBER($F15),AND(CV$2&gt;=$F15,CV$2&lt;=IF(ISNUMBER($G15),$G15,$F15+$E15-$D15)),FALSE()),2,IF(AND(CV$2&gt;=$D15,CV$2&lt;=$E15),1,"")))</f>
        <v/>
      </c>
      <c r="CW15" s="55" t="str">
        <f aca="false">IF(OR(CW$2="",$D15=""),"",IF(IF(ISNUMBER($F15),AND(CW$2&gt;=$F15,CW$2&lt;=IF(ISNUMBER($G15),$G15,$F15+$E15-$D15)),FALSE()),2,IF(AND(CW$2&gt;=$D15,CW$2&lt;=$E15),1,"")))</f>
        <v/>
      </c>
      <c r="CX15" s="55" t="str">
        <f aca="false">IF(OR(CX$2="",$D15=""),"",IF(IF(ISNUMBER($F15),AND(CX$2&gt;=$F15,CX$2&lt;=IF(ISNUMBER($G15),$G15,$F15+$E15-$D15)),FALSE()),2,IF(AND(CX$2&gt;=$D15,CX$2&lt;=$E15),1,"")))</f>
        <v/>
      </c>
      <c r="CY15" s="55" t="str">
        <f aca="false">IF(OR(CY$2="",$D15=""),"",IF(IF(ISNUMBER($F15),AND(CY$2&gt;=$F15,CY$2&lt;=IF(ISNUMBER($G15),$G15,$F15+$E15-$D15)),FALSE()),2,IF(AND(CY$2&gt;=$D15,CY$2&lt;=$E15),1,"")))</f>
        <v/>
      </c>
      <c r="CZ15" s="55" t="str">
        <f aca="false">IF(OR(CZ$2="",$D15=""),"",IF(IF(ISNUMBER($F15),AND(CZ$2&gt;=$F15,CZ$2&lt;=IF(ISNUMBER($G15),$G15,$F15+$E15-$D15)),FALSE()),2,IF(AND(CZ$2&gt;=$D15,CZ$2&lt;=$E15),1,"")))</f>
        <v/>
      </c>
      <c r="DA15" s="55" t="str">
        <f aca="false">IF(OR(DA$2="",$D15=""),"",IF(IF(ISNUMBER($F15),AND(DA$2&gt;=$F15,DA$2&lt;=IF(ISNUMBER($G15),$G15,$F15+$E15-$D15)),FALSE()),2,IF(AND(DA$2&gt;=$D15,DA$2&lt;=$E15),1,"")))</f>
        <v/>
      </c>
      <c r="DB15" s="55" t="str">
        <f aca="false">IF(OR(DB$2="",$D15=""),"",IF(IF(ISNUMBER($F15),AND(DB$2&gt;=$F15,DB$2&lt;=IF(ISNUMBER($G15),$G15,$F15+$E15-$D15)),FALSE()),2,IF(AND(DB$2&gt;=$D15,DB$2&lt;=$E15),1,"")))</f>
        <v/>
      </c>
      <c r="DC15" s="55" t="str">
        <f aca="false">IF(OR(DC$2="",$D15=""),"",IF(IF(ISNUMBER($F15),AND(DC$2&gt;=$F15,DC$2&lt;=IF(ISNUMBER($G15),$G15,$F15+$E15-$D15)),FALSE()),2,IF(AND(DC$2&gt;=$D15,DC$2&lt;=$E15),1,"")))</f>
        <v/>
      </c>
      <c r="DD15" s="55" t="str">
        <f aca="false">IF(OR(DD$2="",$D15=""),"",IF(IF(ISNUMBER($F15),AND(DD$2&gt;=$F15,DD$2&lt;=IF(ISNUMBER($G15),$G15,$F15+$E15-$D15)),FALSE()),2,IF(AND(DD$2&gt;=$D15,DD$2&lt;=$E15),1,"")))</f>
        <v/>
      </c>
      <c r="DE15" s="55" t="str">
        <f aca="false">IF(OR(DE$2="",$D15=""),"",IF(IF(ISNUMBER($F15),AND(DE$2&gt;=$F15,DE$2&lt;=IF(ISNUMBER($G15),$G15,$F15+$E15-$D15)),FALSE()),2,IF(AND(DE$2&gt;=$D15,DE$2&lt;=$E15),1,"")))</f>
        <v/>
      </c>
      <c r="DF15" s="55" t="str">
        <f aca="false">IF(OR(DF$2="",$D15=""),"",IF(IF(ISNUMBER($F15),AND(DF$2&gt;=$F15,DF$2&lt;=IF(ISNUMBER($G15),$G15,$F15+$E15-$D15)),FALSE()),2,IF(AND(DF$2&gt;=$D15,DF$2&lt;=$E15),1,"")))</f>
        <v/>
      </c>
      <c r="DG15" s="55" t="str">
        <f aca="false">IF(OR(DG$2="",$D15=""),"",IF(IF(ISNUMBER($F15),AND(DG$2&gt;=$F15,DG$2&lt;=IF(ISNUMBER($G15),$G15,$F15+$E15-$D15)),FALSE()),2,IF(AND(DG$2&gt;=$D15,DG$2&lt;=$E15),1,"")))</f>
        <v/>
      </c>
      <c r="DH15" s="55" t="str">
        <f aca="false">IF(OR(DH$2="",$D15=""),"",IF(IF(ISNUMBER($F15),AND(DH$2&gt;=$F15,DH$2&lt;=IF(ISNUMBER($G15),$G15,$F15+$E15-$D15)),FALSE()),2,IF(AND(DH$2&gt;=$D15,DH$2&lt;=$E15),1,"")))</f>
        <v/>
      </c>
      <c r="DI15" s="55" t="str">
        <f aca="false">IF(OR(DI$2="",$D15=""),"",IF(IF(ISNUMBER($F15),AND(DI$2&gt;=$F15,DI$2&lt;=IF(ISNUMBER($G15),$G15,$F15+$E15-$D15)),FALSE()),2,IF(AND(DI$2&gt;=$D15,DI$2&lt;=$E15),1,"")))</f>
        <v/>
      </c>
      <c r="DJ15" s="55" t="str">
        <f aca="false">IF(OR(DJ$2="",$D15=""),"",IF(IF(ISNUMBER($F15),AND(DJ$2&gt;=$F15,DJ$2&lt;=IF(ISNUMBER($G15),$G15,$F15+$E15-$D15)),FALSE()),2,IF(AND(DJ$2&gt;=$D15,DJ$2&lt;=$E15),1,"")))</f>
        <v/>
      </c>
      <c r="DK15" s="55" t="str">
        <f aca="false">IF(OR(DK$2="",$D15=""),"",IF(IF(ISNUMBER($F15),AND(DK$2&gt;=$F15,DK$2&lt;=IF(ISNUMBER($G15),$G15,$F15+$E15-$D15)),FALSE()),2,IF(AND(DK$2&gt;=$D15,DK$2&lt;=$E15),1,"")))</f>
        <v/>
      </c>
      <c r="DL15" s="55" t="n">
        <f aca="false">IF(OR(DL$2="",$D15=""),"",IF(IF(ISNUMBER($F15),AND(DL$2&gt;=$F15,DL$2&lt;=IF(ISNUMBER($G15),$G15,$F15+$E15-$D15)),FALSE()),2,IF(AND(DL$2&gt;=$D15,DL$2&lt;=$E15),1,"")))</f>
        <v>1</v>
      </c>
      <c r="DM15" s="55" t="n">
        <f aca="false">IF(OR(DM$2="",$D15=""),"",IF(IF(ISNUMBER($F15),AND(DM$2&gt;=$F15,DM$2&lt;=IF(ISNUMBER($G15),$G15,$F15+$E15-$D15)),FALSE()),2,IF(AND(DM$2&gt;=$D15,DM$2&lt;=$E15),1,"")))</f>
        <v>1</v>
      </c>
      <c r="DN15" s="55" t="n">
        <f aca="false">IF(OR(DN$2="",$D15=""),"",IF(IF(ISNUMBER($F15),AND(DN$2&gt;=$F15,DN$2&lt;=IF(ISNUMBER($G15),$G15,$F15+$E15-$D15)),FALSE()),2,IF(AND(DN$2&gt;=$D15,DN$2&lt;=$E15),1,"")))</f>
        <v>1</v>
      </c>
      <c r="DO15" s="55" t="n">
        <f aca="false">IF(OR(DO$2="",$D15=""),"",IF(IF(ISNUMBER($F15),AND(DO$2&gt;=$F15,DO$2&lt;=IF(ISNUMBER($G15),$G15,$F15+$E15-$D15)),FALSE()),2,IF(AND(DO$2&gt;=$D15,DO$2&lt;=$E15),1,"")))</f>
        <v>1</v>
      </c>
      <c r="DP15" s="55" t="n">
        <f aca="false">IF(OR(DP$2="",$D15=""),"",IF(IF(ISNUMBER($F15),AND(DP$2&gt;=$F15,DP$2&lt;=IF(ISNUMBER($G15),$G15,$F15+$E15-$D15)),FALSE()),2,IF(AND(DP$2&gt;=$D15,DP$2&lt;=$E15),1,"")))</f>
        <v>1</v>
      </c>
      <c r="DQ15" s="55" t="str">
        <f aca="false">IF(OR(DQ$2="",$D15=""),"",IF(IF(ISNUMBER($F15),AND(DQ$2&gt;=$F15,DQ$2&lt;=IF(ISNUMBER($G15),$G15,$F15+$E15-$D15)),FALSE()),2,IF(AND(DQ$2&gt;=$D15,DQ$2&lt;=$E15),1,"")))</f>
        <v/>
      </c>
      <c r="DR15" s="55" t="str">
        <f aca="false">IF(OR(DR$2="",$D15=""),"",IF(IF(ISNUMBER($F15),AND(DR$2&gt;=$F15,DR$2&lt;=IF(ISNUMBER($G15),$G15,$F15+$E15-$D15)),FALSE()),2,IF(AND(DR$2&gt;=$D15,DR$2&lt;=$E15),1,"")))</f>
        <v/>
      </c>
      <c r="DS15" s="55" t="str">
        <f aca="false">IF(OR(DS$2="",$D15=""),"",IF(IF(ISNUMBER($F15),AND(DS$2&gt;=$F15,DS$2&lt;=IF(ISNUMBER($G15),$G15,$F15+$E15-$D15)),FALSE()),2,IF(AND(DS$2&gt;=$D15,DS$2&lt;=$E15),1,"")))</f>
        <v/>
      </c>
      <c r="DT15" s="55" t="str">
        <f aca="false">IF(OR(DT$2="",$D15=""),"",IF(IF(ISNUMBER($F15),AND(DT$2&gt;=$F15,DT$2&lt;=IF(ISNUMBER($G15),$G15,$F15+$E15-$D15)),FALSE()),2,IF(AND(DT$2&gt;=$D15,DT$2&lt;=$E15),1,"")))</f>
        <v/>
      </c>
      <c r="DU15" s="55" t="str">
        <f aca="false">IF(OR(DU$2="",$D15=""),"",IF(IF(ISNUMBER($F15),AND(DU$2&gt;=$F15,DU$2&lt;=IF(ISNUMBER($G15),$G15,$F15+$E15-$D15)),FALSE()),2,IF(AND(DU$2&gt;=$D15,DU$2&lt;=$E15),1,"")))</f>
        <v/>
      </c>
      <c r="DV15" s="55" t="str">
        <f aca="false">IF(OR(DV$2="",$D15=""),"",IF(IF(ISNUMBER($F15),AND(DV$2&gt;=$F15,DV$2&lt;=IF(ISNUMBER($G15),$G15,$F15+$E15-$D15)),FALSE()),2,IF(AND(DV$2&gt;=$D15,DV$2&lt;=$E15),1,"")))</f>
        <v/>
      </c>
      <c r="DW15" s="55" t="str">
        <f aca="false">IF(OR(DW$2="",$D15=""),"",IF(IF(ISNUMBER($F15),AND(DW$2&gt;=$F15,DW$2&lt;=IF(ISNUMBER($G15),$G15,$F15+$E15-$D15)),FALSE()),2,IF(AND(DW$2&gt;=$D15,DW$2&lt;=$E15),1,"")))</f>
        <v/>
      </c>
      <c r="DX15" s="55" t="str">
        <f aca="false">IF(OR(DX$2="",$D15=""),"",IF(IF(ISNUMBER($F15),AND(DX$2&gt;=$F15,DX$2&lt;=IF(ISNUMBER($G15),$G15,$F15+$E15-$D15)),FALSE()),2,IF(AND(DX$2&gt;=$D15,DX$2&lt;=$E15),1,"")))</f>
        <v/>
      </c>
      <c r="DY15" s="55" t="str">
        <f aca="false">IF(OR(DY$2="",$D15=""),"",IF(IF(ISNUMBER($F15),AND(DY$2&gt;=$F15,DY$2&lt;=IF(ISNUMBER($G15),$G15,$F15+$E15-$D15)),FALSE()),2,IF(AND(DY$2&gt;=$D15,DY$2&lt;=$E15),1,"")))</f>
        <v/>
      </c>
      <c r="DZ15" s="55" t="str">
        <f aca="false">IF(OR(DZ$2="",$D15=""),"",IF(IF(ISNUMBER($F15),AND(DZ$2&gt;=$F15,DZ$2&lt;=IF(ISNUMBER($G15),$G15,$F15+$E15-$D15)),FALSE()),2,IF(AND(DZ$2&gt;=$D15,DZ$2&lt;=$E15),1,"")))</f>
        <v/>
      </c>
      <c r="EA15" s="55" t="str">
        <f aca="false">IF(OR(EA$2="",$D15=""),"",IF(IF(ISNUMBER($F15),AND(EA$2&gt;=$F15,EA$2&lt;=IF(ISNUMBER($G15),$G15,$F15+$E15-$D15)),FALSE()),2,IF(AND(EA$2&gt;=$D15,EA$2&lt;=$E15),1,"")))</f>
        <v/>
      </c>
      <c r="EB15" s="55" t="str">
        <f aca="false">IF(OR(EB$2="",$D15=""),"",IF(IF(ISNUMBER($F15),AND(EB$2&gt;=$F15,EB$2&lt;=IF(ISNUMBER($G15),$G15,$F15+$E15-$D15)),FALSE()),2,IF(AND(EB$2&gt;=$D15,EB$2&lt;=$E15),1,"")))</f>
        <v/>
      </c>
      <c r="EC15" s="55" t="str">
        <f aca="false">IF(OR(EC$2="",$D15=""),"",IF(IF(ISNUMBER($F15),AND(EC$2&gt;=$F15,EC$2&lt;=IF(ISNUMBER($G15),$G15,$F15+$E15-$D15)),FALSE()),2,IF(AND(EC$2&gt;=$D15,EC$2&lt;=$E15),1,"")))</f>
        <v/>
      </c>
      <c r="ED15" s="55" t="str">
        <f aca="false">IF(OR(ED$2="",$D15=""),"",IF(IF(ISNUMBER($F15),AND(ED$2&gt;=$F15,ED$2&lt;=IF(ISNUMBER($G15),$G15,$F15+$E15-$D15)),FALSE()),2,IF(AND(ED$2&gt;=$D15,ED$2&lt;=$E15),1,"")))</f>
        <v/>
      </c>
      <c r="EE15" s="55" t="str">
        <f aca="false">IF(OR(EE$2="",$D15=""),"",IF(IF(ISNUMBER($F15),AND(EE$2&gt;=$F15,EE$2&lt;=IF(ISNUMBER($G15),$G15,$F15+$E15-$D15)),FALSE()),2,IF(AND(EE$2&gt;=$D15,EE$2&lt;=$E15),1,"")))</f>
        <v/>
      </c>
      <c r="EF15" s="55" t="str">
        <f aca="false">IF(OR(EF$2="",$D15=""),"",IF(IF(ISNUMBER($F15),AND(EF$2&gt;=$F15,EF$2&lt;=IF(ISNUMBER($G15),$G15,$F15+$E15-$D15)),FALSE()),2,IF(AND(EF$2&gt;=$D15,EF$2&lt;=$E15),1,"")))</f>
        <v/>
      </c>
      <c r="EG15" s="55" t="str">
        <f aca="false">IF(OR(EG$2="",$D15=""),"",IF(IF(ISNUMBER($F15),AND(EG$2&gt;=$F15,EG$2&lt;=IF(ISNUMBER($G15),$G15,$F15+$E15-$D15)),FALSE()),2,IF(AND(EG$2&gt;=$D15,EG$2&lt;=$E15),1,"")))</f>
        <v/>
      </c>
      <c r="EH15" s="55" t="str">
        <f aca="false">IF(OR(EH$2="",$D15=""),"",IF(IF(ISNUMBER($F15),AND(EH$2&gt;=$F15,EH$2&lt;=IF(ISNUMBER($G15),$G15,$F15+$E15-$D15)),FALSE()),2,IF(AND(EH$2&gt;=$D15,EH$2&lt;=$E15),1,"")))</f>
        <v/>
      </c>
      <c r="EI15" s="55" t="str">
        <f aca="false">IF(OR(EI$2="",$D15=""),"",IF(IF(ISNUMBER($F15),AND(EI$2&gt;=$F15,EI$2&lt;=IF(ISNUMBER($G15),$G15,$F15+$E15-$D15)),FALSE()),2,IF(AND(EI$2&gt;=$D15,EI$2&lt;=$E15),1,"")))</f>
        <v/>
      </c>
      <c r="EJ15" s="55" t="str">
        <f aca="false">IF(OR(EJ$2="",$D15=""),"",IF(IF(ISNUMBER($F15),AND(EJ$2&gt;=$F15,EJ$2&lt;=IF(ISNUMBER($G15),$G15,$F15+$E15-$D15)),FALSE()),2,IF(AND(EJ$2&gt;=$D15,EJ$2&lt;=$E15),1,"")))</f>
        <v/>
      </c>
      <c r="EK15" s="55" t="str">
        <f aca="false">IF(OR(EK$2="",$D15=""),"",IF(IF(ISNUMBER($F15),AND(EK$2&gt;=$F15,EK$2&lt;=IF(ISNUMBER($G15),$G15,$F15+$E15-$D15)),FALSE()),2,IF(AND(EK$2&gt;=$D15,EK$2&lt;=$E15),1,"")))</f>
        <v/>
      </c>
      <c r="EL15" s="55" t="str">
        <f aca="false">IF(OR(EL$2="",$D15=""),"",IF(IF(ISNUMBER($F15),AND(EL$2&gt;=$F15,EL$2&lt;=IF(ISNUMBER($G15),$G15,$F15+$E15-$D15)),FALSE()),2,IF(AND(EL$2&gt;=$D15,EL$2&lt;=$E15),1,"")))</f>
        <v/>
      </c>
      <c r="EM15" s="55" t="str">
        <f aca="false">IF(OR(EM$2="",$D15=""),"",IF(IF(ISNUMBER($F15),AND(EM$2&gt;=$F15,EM$2&lt;=IF(ISNUMBER($G15),$G15,$F15+$E15-$D15)),FALSE()),2,IF(AND(EM$2&gt;=$D15,EM$2&lt;=$E15),1,"")))</f>
        <v/>
      </c>
      <c r="EN15" s="55" t="str">
        <f aca="false">IF(OR(EN$2="",$D15=""),"",IF(IF(ISNUMBER($F15),AND(EN$2&gt;=$F15,EN$2&lt;=IF(ISNUMBER($G15),$G15,$F15+$E15-$D15)),FALSE()),2,IF(AND(EN$2&gt;=$D15,EN$2&lt;=$E15),1,"")))</f>
        <v/>
      </c>
      <c r="EO15" s="55" t="str">
        <f aca="false">IF(OR(EO$2="",$D15=""),"",IF(IF(ISNUMBER($F15),AND(EO$2&gt;=$F15,EO$2&lt;=IF(ISNUMBER($G15),$G15,$F15+$E15-$D15)),FALSE()),2,IF(AND(EO$2&gt;=$D15,EO$2&lt;=$E15),1,"")))</f>
        <v/>
      </c>
      <c r="EP15" s="55" t="str">
        <f aca="false">IF(OR(EP$2="",$D15=""),"",IF(IF(ISNUMBER($F15),AND(EP$2&gt;=$F15,EP$2&lt;=IF(ISNUMBER($G15),$G15,$F15+$E15-$D15)),FALSE()),2,IF(AND(EP$2&gt;=$D15,EP$2&lt;=$E15),1,"")))</f>
        <v/>
      </c>
      <c r="EQ15" s="55" t="str">
        <f aca="false">IF(OR(EQ$2="",$D15=""),"",IF(IF(ISNUMBER($F15),AND(EQ$2&gt;=$F15,EQ$2&lt;=IF(ISNUMBER($G15),$G15,$F15+$E15-$D15)),FALSE()),2,IF(AND(EQ$2&gt;=$D15,EQ$2&lt;=$E15),1,"")))</f>
        <v/>
      </c>
      <c r="ER15" s="55" t="str">
        <f aca="false">IF(OR(ER$2="",$D15=""),"",IF(IF(ISNUMBER($F15),AND(ER$2&gt;=$F15,ER$2&lt;=IF(ISNUMBER($G15),$G15,$F15+$E15-$D15)),FALSE()),2,IF(AND(ER$2&gt;=$D15,ER$2&lt;=$E15),1,"")))</f>
        <v/>
      </c>
      <c r="ES15" s="55" t="str">
        <f aca="false">IF(OR(ES$2="",$D15=""),"",IF(IF(ISNUMBER($F15),AND(ES$2&gt;=$F15,ES$2&lt;=IF(ISNUMBER($G15),$G15,$F15+$E15-$D15)),FALSE()),2,IF(AND(ES$2&gt;=$D15,ES$2&lt;=$E15),1,"")))</f>
        <v/>
      </c>
      <c r="ET15" s="55" t="str">
        <f aca="false">IF(OR(ET$2="",$D15=""),"",IF(IF(ISNUMBER($F15),AND(ET$2&gt;=$F15,ET$2&lt;=IF(ISNUMBER($G15),$G15,$F15+$E15-$D15)),FALSE()),2,IF(AND(ET$2&gt;=$D15,ET$2&lt;=$E15),1,"")))</f>
        <v/>
      </c>
      <c r="EU15" s="55" t="str">
        <f aca="false">IF(OR(EU$2="",$D15=""),"",IF(IF(ISNUMBER($F15),AND(EU$2&gt;=$F15,EU$2&lt;=IF(ISNUMBER($G15),$G15,$F15+$E15-$D15)),FALSE()),2,IF(AND(EU$2&gt;=$D15,EU$2&lt;=$E15),1,"")))</f>
        <v/>
      </c>
      <c r="EV15" s="55" t="str">
        <f aca="false">IF(OR(EV$2="",$D15=""),"",IF(IF(ISNUMBER($F15),AND(EV$2&gt;=$F15,EV$2&lt;=IF(ISNUMBER($G15),$G15,$F15+$E15-$D15)),FALSE()),2,IF(AND(EV$2&gt;=$D15,EV$2&lt;=$E15),1,"")))</f>
        <v/>
      </c>
      <c r="EW15" s="55" t="str">
        <f aca="false">IF(OR(EW$2="",$D15=""),"",IF(IF(ISNUMBER($F15),AND(EW$2&gt;=$F15,EW$2&lt;=IF(ISNUMBER($G15),$G15,$F15+$E15-$D15)),FALSE()),2,IF(AND(EW$2&gt;=$D15,EW$2&lt;=$E15),1,"")))</f>
        <v/>
      </c>
      <c r="EX15" s="55" t="str">
        <f aca="false">IF(OR(EX$2="",$D15=""),"",IF(IF(ISNUMBER($F15),AND(EX$2&gt;=$F15,EX$2&lt;=IF(ISNUMBER($G15),$G15,$F15+$E15-$D15)),FALSE()),2,IF(AND(EX$2&gt;=$D15,EX$2&lt;=$E15),1,"")))</f>
        <v/>
      </c>
      <c r="EY15" s="55" t="str">
        <f aca="false">IF(OR(EY$2="",$D15=""),"",IF(IF(ISNUMBER($F15),AND(EY$2&gt;=$F15,EY$2&lt;=IF(ISNUMBER($G15),$G15,$F15+$E15-$D15)),FALSE()),2,IF(AND(EY$2&gt;=$D15,EY$2&lt;=$E15),1,"")))</f>
        <v/>
      </c>
      <c r="EZ15" s="55" t="str">
        <f aca="false">IF(OR(EZ$2="",$D15=""),"",IF(IF(ISNUMBER($F15),AND(EZ$2&gt;=$F15,EZ$2&lt;=IF(ISNUMBER($G15),$G15,$F15+$E15-$D15)),FALSE()),2,IF(AND(EZ$2&gt;=$D15,EZ$2&lt;=$E15),1,"")))</f>
        <v/>
      </c>
      <c r="FA15" s="55" t="str">
        <f aca="false">IF(OR(FA$2="",$D15=""),"",IF(IF(ISNUMBER($F15),AND(FA$2&gt;=$F15,FA$2&lt;=IF(ISNUMBER($G15),$G15,$F15+$E15-$D15)),FALSE()),2,IF(AND(FA$2&gt;=$D15,FA$2&lt;=$E15),1,"")))</f>
        <v/>
      </c>
      <c r="FB15" s="55" t="str">
        <f aca="false">IF(OR(FB$2="",$D15=""),"",IF(IF(ISNUMBER($F15),AND(FB$2&gt;=$F15,FB$2&lt;=IF(ISNUMBER($G15),$G15,$F15+$E15-$D15)),FALSE()),2,IF(AND(FB$2&gt;=$D15,FB$2&lt;=$E15),1,"")))</f>
        <v/>
      </c>
      <c r="FC15" s="55" t="str">
        <f aca="false">IF(OR(FC$2="",$D15=""),"",IF(IF(ISNUMBER($F15),AND(FC$2&gt;=$F15,FC$2&lt;=IF(ISNUMBER($G15),$G15,$F15+$E15-$D15)),FALSE()),2,IF(AND(FC$2&gt;=$D15,FC$2&lt;=$E15),1,"")))</f>
        <v/>
      </c>
      <c r="FD15" s="55" t="str">
        <f aca="false">IF(OR(FD$2="",$D15=""),"",IF(IF(ISNUMBER($F15),AND(FD$2&gt;=$F15,FD$2&lt;=IF(ISNUMBER($G15),$G15,$F15+$E15-$D15)),FALSE()),2,IF(AND(FD$2&gt;=$D15,FD$2&lt;=$E15),1,"")))</f>
        <v/>
      </c>
      <c r="FE15" s="55" t="str">
        <f aca="false">IF(OR(FE$2="",$D15=""),"",IF(IF(ISNUMBER($F15),AND(FE$2&gt;=$F15,FE$2&lt;=IF(ISNUMBER($G15),$G15,$F15+$E15-$D15)),FALSE()),2,IF(AND(FE$2&gt;=$D15,FE$2&lt;=$E15),1,"")))</f>
        <v/>
      </c>
      <c r="FF15" s="55" t="str">
        <f aca="false">IF(OR(FF$2="",$D15=""),"",IF(IF(ISNUMBER($F15),AND(FF$2&gt;=$F15,FF$2&lt;=IF(ISNUMBER($G15),$G15,$F15+$E15-$D15)),FALSE()),2,IF(AND(FF$2&gt;=$D15,FF$2&lt;=$E15),1,"")))</f>
        <v/>
      </c>
      <c r="FG15" s="55" t="str">
        <f aca="false">IF(OR(FG$2="",$D15=""),"",IF(IF(ISNUMBER($F15),AND(FG$2&gt;=$F15,FG$2&lt;=IF(ISNUMBER($G15),$G15,$F15+$E15-$D15)),FALSE()),2,IF(AND(FG$2&gt;=$D15,FG$2&lt;=$E15),1,"")))</f>
        <v/>
      </c>
      <c r="FH15" s="55" t="str">
        <f aca="false">IF(OR(FH$2="",$D15=""),"",IF(IF(ISNUMBER($F15),AND(FH$2&gt;=$F15,FH$2&lt;=IF(ISNUMBER($G15),$G15,$F15+$E15-$D15)),FALSE()),2,IF(AND(FH$2&gt;=$D15,FH$2&lt;=$E15),1,"")))</f>
        <v/>
      </c>
      <c r="FI15" s="55" t="str">
        <f aca="false">IF(OR(FI$2="",$D15=""),"",IF(IF(ISNUMBER($F15),AND(FI$2&gt;=$F15,FI$2&lt;=IF(ISNUMBER($G15),$G15,$F15+$E15-$D15)),FALSE()),2,IF(AND(FI$2&gt;=$D15,FI$2&lt;=$E15),1,"")))</f>
        <v/>
      </c>
      <c r="FJ15" s="55" t="str">
        <f aca="false">IF(OR(FJ$2="",$D15=""),"",IF(IF(ISNUMBER($F15),AND(FJ$2&gt;=$F15,FJ$2&lt;=IF(ISNUMBER($G15),$G15,$F15+$E15-$D15)),FALSE()),2,IF(AND(FJ$2&gt;=$D15,FJ$2&lt;=$E15),1,"")))</f>
        <v/>
      </c>
      <c r="FK15" s="55" t="str">
        <f aca="false">IF(OR(FK$2="",$D15=""),"",IF(IF(ISNUMBER($F15),AND(FK$2&gt;=$F15,FK$2&lt;=IF(ISNUMBER($G15),$G15,$F15+$E15-$D15)),FALSE()),2,IF(AND(FK$2&gt;=$D15,FK$2&lt;=$E15),1,"")))</f>
        <v/>
      </c>
      <c r="FL15" s="55" t="str">
        <f aca="false">IF(OR(FL$2="",$D15=""),"",IF(IF(ISNUMBER($F15),AND(FL$2&gt;=$F15,FL$2&lt;=IF(ISNUMBER($G15),$G15,$F15+$E15-$D15)),FALSE()),2,IF(AND(FL$2&gt;=$D15,FL$2&lt;=$E15),1,"")))</f>
        <v/>
      </c>
      <c r="FM15" s="55" t="str">
        <f aca="false">IF(OR(FM$2="",$D15=""),"",IF(IF(ISNUMBER($F15),AND(FM$2&gt;=$F15,FM$2&lt;=IF(ISNUMBER($G15),$G15,$F15+$E15-$D15)),FALSE()),2,IF(AND(FM$2&gt;=$D15,FM$2&lt;=$E15),1,"")))</f>
        <v/>
      </c>
      <c r="FN15" s="55" t="str">
        <f aca="false">IF(OR(FN$2="",$D15=""),"",IF(IF(ISNUMBER($F15),AND(FN$2&gt;=$F15,FN$2&lt;=IF(ISNUMBER($G15),$G15,$F15+$E15-$D15)),FALSE()),2,IF(AND(FN$2&gt;=$D15,FN$2&lt;=$E15),1,"")))</f>
        <v/>
      </c>
      <c r="FO15" s="55" t="str">
        <f aca="false">IF(OR(FO$2="",$D15=""),"",IF(IF(ISNUMBER($F15),AND(FO$2&gt;=$F15,FO$2&lt;=IF(ISNUMBER($G15),$G15,$F15+$E15-$D15)),FALSE()),2,IF(AND(FO$2&gt;=$D15,FO$2&lt;=$E15),1,"")))</f>
        <v/>
      </c>
      <c r="FP15" s="55" t="str">
        <f aca="false">IF(OR(FP$2="",$D15=""),"",IF(IF(ISNUMBER($F15),AND(FP$2&gt;=$F15,FP$2&lt;=IF(ISNUMBER($G15),$G15,$F15+$E15-$D15)),FALSE()),2,IF(AND(FP$2&gt;=$D15,FP$2&lt;=$E15),1,"")))</f>
        <v/>
      </c>
      <c r="FQ15" s="55" t="str">
        <f aca="false">IF(OR(FQ$2="",$D15=""),"",IF(IF(ISNUMBER($F15),AND(FQ$2&gt;=$F15,FQ$2&lt;=IF(ISNUMBER($G15),$G15,$F15+$E15-$D15)),FALSE()),2,IF(AND(FQ$2&gt;=$D15,FQ$2&lt;=$E15),1,"")))</f>
        <v/>
      </c>
      <c r="FR15" s="55" t="str">
        <f aca="false">IF(OR(FR$2="",$D15=""),"",IF(IF(ISNUMBER($F15),AND(FR$2&gt;=$F15,FR$2&lt;=IF(ISNUMBER($G15),$G15,$F15+$E15-$D15)),FALSE()),2,IF(AND(FR$2&gt;=$D15,FR$2&lt;=$E15),1,"")))</f>
        <v/>
      </c>
      <c r="FS15" s="55" t="str">
        <f aca="false">IF(OR(FS$2="",$D15=""),"",IF(IF(ISNUMBER($F15),AND(FS$2&gt;=$F15,FS$2&lt;=IF(ISNUMBER($G15),$G15,$F15+$E15-$D15)),FALSE()),2,IF(AND(FS$2&gt;=$D15,FS$2&lt;=$E15),1,"")))</f>
        <v/>
      </c>
      <c r="FT15" s="55" t="str">
        <f aca="false">IF(OR(FT$2="",$D15=""),"",IF(IF(ISNUMBER($F15),AND(FT$2&gt;=$F15,FT$2&lt;=IF(ISNUMBER($G15),$G15,$F15+$E15-$D15)),FALSE()),2,IF(AND(FT$2&gt;=$D15,FT$2&lt;=$E15),1,"")))</f>
        <v/>
      </c>
      <c r="FU15" s="55" t="str">
        <f aca="false">IF(OR(FU$2="",$D15=""),"",IF(IF(ISNUMBER($F15),AND(FU$2&gt;=$F15,FU$2&lt;=IF(ISNUMBER($G15),$G15,$F15+$E15-$D15)),FALSE()),2,IF(AND(FU$2&gt;=$D15,FU$2&lt;=$E15),1,"")))</f>
        <v/>
      </c>
      <c r="FV15" s="55" t="str">
        <f aca="false">IF(OR(FV$2="",$D15=""),"",IF(IF(ISNUMBER($F15),AND(FV$2&gt;=$F15,FV$2&lt;=IF(ISNUMBER($G15),$G15,$F15+$E15-$D15)),FALSE()),2,IF(AND(FV$2&gt;=$D15,FV$2&lt;=$E15),1,"")))</f>
        <v/>
      </c>
      <c r="FW15" s="55" t="str">
        <f aca="false">IF(OR(FW$2="",$D15=""),"",IF(IF(ISNUMBER($F15),AND(FW$2&gt;=$F15,FW$2&lt;=IF(ISNUMBER($G15),$G15,$F15+$E15-$D15)),FALSE()),2,IF(AND(FW$2&gt;=$D15,FW$2&lt;=$E15),1,"")))</f>
        <v/>
      </c>
      <c r="FX15" s="55" t="str">
        <f aca="false">IF(OR(FX$2="",$D15=""),"",IF(IF(ISNUMBER($F15),AND(FX$2&gt;=$F15,FX$2&lt;=IF(ISNUMBER($G15),$G15,$F15+$E15-$D15)),FALSE()),2,IF(AND(FX$2&gt;=$D15,FX$2&lt;=$E15),1,"")))</f>
        <v/>
      </c>
      <c r="FY15" s="55" t="str">
        <f aca="false">IF(OR(FY$2="",$D15=""),"",IF(IF(ISNUMBER($F15),AND(FY$2&gt;=$F15,FY$2&lt;=IF(ISNUMBER($G15),$G15,$F15+$E15-$D15)),FALSE()),2,IF(AND(FY$2&gt;=$D15,FY$2&lt;=$E15),1,"")))</f>
        <v/>
      </c>
      <c r="FZ15" s="55" t="str">
        <f aca="false">IF(OR(FZ$2="",$D15=""),"",IF(IF(ISNUMBER($F15),AND(FZ$2&gt;=$F15,FZ$2&lt;=IF(ISNUMBER($G15),$G15,$F15+$E15-$D15)),FALSE()),2,IF(AND(FZ$2&gt;=$D15,FZ$2&lt;=$E15),1,"")))</f>
        <v/>
      </c>
      <c r="GA15" s="55" t="str">
        <f aca="false">IF(OR(GA$2="",$D15=""),"",IF(IF(ISNUMBER($F15),AND(GA$2&gt;=$F15,GA$2&lt;=IF(ISNUMBER($G15),$G15,$F15+$E15-$D15)),FALSE()),2,IF(AND(GA$2&gt;=$D15,GA$2&lt;=$E15),1,"")))</f>
        <v/>
      </c>
      <c r="GB15" s="55" t="str">
        <f aca="false">IF(OR(GB$2="",$D15=""),"",IF(IF(ISNUMBER($F15),AND(GB$2&gt;=$F15,GB$2&lt;=IF(ISNUMBER($G15),$G15,$F15+$E15-$D15)),FALSE()),2,IF(AND(GB$2&gt;=$D15,GB$2&lt;=$E15),1,"")))</f>
        <v/>
      </c>
      <c r="GC15" s="55" t="str">
        <f aca="false">IF(OR(GC$2="",$D15=""),"",IF(IF(ISNUMBER($F15),AND(GC$2&gt;=$F15,GC$2&lt;=IF(ISNUMBER($G15),$G15,$F15+$E15-$D15)),FALSE()),2,IF(AND(GC$2&gt;=$D15,GC$2&lt;=$E15),1,"")))</f>
        <v/>
      </c>
      <c r="GD15" s="55" t="str">
        <f aca="false">IF(OR(GD$2="",$D15=""),"",IF(IF(ISNUMBER($F15),AND(GD$2&gt;=$F15,GD$2&lt;=IF(ISNUMBER($G15),$G15,$F15+$E15-$D15)),FALSE()),2,IF(AND(GD$2&gt;=$D15,GD$2&lt;=$E15),1,"")))</f>
        <v/>
      </c>
      <c r="GE15" s="55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false" outlineLevel="0" collapsed="false">
      <c r="A16" s="54" t="s">
        <v>379</v>
      </c>
      <c r="B16" s="21" t="s">
        <v>380</v>
      </c>
      <c r="C16" s="21" t="s">
        <v>83</v>
      </c>
      <c r="D16" s="51" t="n">
        <f aca="false">IF(Day_0="","",Day_0+cfg_6-cfg_8+cfg_13*0)</f>
        <v>46093</v>
      </c>
      <c r="E16" s="51" t="n">
        <f aca="false">IF(Day_0="","",Day_0+cfg_6-cfg_8+cfg_13*1)</f>
        <v>46100</v>
      </c>
      <c r="F16" s="51" t="str">
        <f aca="false">IF(_xlfn.MINIFS(2_Daily_input!$D$1:$FQ$1,2_Daily_input!$D$71:$FQ$71,"3F4D-1 start")+_xlfn.MINIFS(2_Daily_input!$D$1:$FQ$1,2_Daily_input!$D$72:$FQ$72,"3F4D-1 start")=0,"",IF(_xlfn.MINIFS(2_Daily_input!$D$1:$FQ$1,2_Daily_input!$D$71:$FQ$71,"3F4D-1 start")=0,_xlfn.MINIFS(2_Daily_input!$D$1:$FQ$1,2_Daily_input!$D$72:$FQ$72,"3F4D-1 start"),IF(_xlfn.MINIFS(2_Daily_input!$D$1:$FQ$1,2_Daily_input!$D$72:$FQ$72,"3F4D-1 start")=0,_xlfn.MINIFS(2_Daily_input!$D$1:$FQ$1,2_Daily_input!$D$71:$FQ$71,"3F4D-1 start"),MIN(_xlfn.MINIFS(2_Daily_input!$D$1:$FQ$1,2_Daily_input!$D$71:$FQ$71,"3F4D-1 start"),_xlfn.MINIFS(2_Daily_input!$D$1:$FQ$1,2_Daily_input!$D$72:$FQ$72,"3F4D-1 start")))))</f>
        <v/>
      </c>
      <c r="G16" s="51" t="str">
        <f aca="false">""</f>
        <v/>
      </c>
      <c r="H16" s="50" t="str">
        <f aca="true">IF(D16="","no plan",IF(F16&lt;&gt;"",IF(F16-D16&gt;=2,"LATE","OK"),IF(TODAY()&gt;D16+2,"OVERDUE","upcoming")))</f>
        <v>OVERDUE</v>
      </c>
      <c r="I16" s="50" t="str">
        <f aca="false">IF(AND(D16&lt;&gt;"",F16&lt;&gt;""),F16-D16,"")</f>
        <v/>
      </c>
      <c r="J16" s="51" t="n">
        <f aca="false">IF(F16&lt;&gt;"",F16,D16)</f>
        <v>46093</v>
      </c>
      <c r="K16" s="51" t="n">
        <f aca="false">IF(G16&lt;&gt;"",G16,IF(AND(F16&lt;&gt;"",E16=D16),F16,E16))</f>
        <v>46100</v>
      </c>
      <c r="L16" s="50" t="str">
        <f aca="true">IF(AND(D16&lt;&gt;"",F16="",D16&gt;=TODAY()),D16+ROW()/1000,"")</f>
        <v/>
      </c>
      <c r="M16" s="55" t="str">
        <f aca="false">IF(OR(M$2="",$D16=""),"",IF(IF(ISNUMBER($F16),AND(M$2&gt;=$F16,M$2&lt;=IF(ISNUMBER($G16),$G16,$F16+$E16-$D16)),FALSE()),2,IF(AND(M$2&gt;=$D16,M$2&lt;=$E16),1,"")))</f>
        <v/>
      </c>
      <c r="N16" s="55" t="str">
        <f aca="false">IF(OR(N$2="",$D16=""),"",IF(IF(ISNUMBER($F16),AND(N$2&gt;=$F16,N$2&lt;=IF(ISNUMBER($G16),$G16,$F16+$E16-$D16)),FALSE()),2,IF(AND(N$2&gt;=$D16,N$2&lt;=$E16),1,"")))</f>
        <v/>
      </c>
      <c r="O16" s="55" t="str">
        <f aca="false">IF(OR(O$2="",$D16=""),"",IF(IF(ISNUMBER($F16),AND(O$2&gt;=$F16,O$2&lt;=IF(ISNUMBER($G16),$G16,$F16+$E16-$D16)),FALSE()),2,IF(AND(O$2&gt;=$D16,O$2&lt;=$E16),1,"")))</f>
        <v/>
      </c>
      <c r="P16" s="55" t="str">
        <f aca="false">IF(OR(P$2="",$D16=""),"",IF(IF(ISNUMBER($F16),AND(P$2&gt;=$F16,P$2&lt;=IF(ISNUMBER($G16),$G16,$F16+$E16-$D16)),FALSE()),2,IF(AND(P$2&gt;=$D16,P$2&lt;=$E16),1,"")))</f>
        <v/>
      </c>
      <c r="Q16" s="55" t="str">
        <f aca="false">IF(OR(Q$2="",$D16=""),"",IF(IF(ISNUMBER($F16),AND(Q$2&gt;=$F16,Q$2&lt;=IF(ISNUMBER($G16),$G16,$F16+$E16-$D16)),FALSE()),2,IF(AND(Q$2&gt;=$D16,Q$2&lt;=$E16),1,"")))</f>
        <v/>
      </c>
      <c r="R16" s="55" t="str">
        <f aca="false">IF(OR(R$2="",$D16=""),"",IF(IF(ISNUMBER($F16),AND(R$2&gt;=$F16,R$2&lt;=IF(ISNUMBER($G16),$G16,$F16+$E16-$D16)),FALSE()),2,IF(AND(R$2&gt;=$D16,R$2&lt;=$E16),1,"")))</f>
        <v/>
      </c>
      <c r="S16" s="55" t="str">
        <f aca="false">IF(OR(S$2="",$D16=""),"",IF(IF(ISNUMBER($F16),AND(S$2&gt;=$F16,S$2&lt;=IF(ISNUMBER($G16),$G16,$F16+$E16-$D16)),FALSE()),2,IF(AND(S$2&gt;=$D16,S$2&lt;=$E16),1,"")))</f>
        <v/>
      </c>
      <c r="T16" s="55" t="str">
        <f aca="false">IF(OR(T$2="",$D16=""),"",IF(IF(ISNUMBER($F16),AND(T$2&gt;=$F16,T$2&lt;=IF(ISNUMBER($G16),$G16,$F16+$E16-$D16)),FALSE()),2,IF(AND(T$2&gt;=$D16,T$2&lt;=$E16),1,"")))</f>
        <v/>
      </c>
      <c r="U16" s="55" t="str">
        <f aca="false">IF(OR(U$2="",$D16=""),"",IF(IF(ISNUMBER($F16),AND(U$2&gt;=$F16,U$2&lt;=IF(ISNUMBER($G16),$G16,$F16+$E16-$D16)),FALSE()),2,IF(AND(U$2&gt;=$D16,U$2&lt;=$E16),1,"")))</f>
        <v/>
      </c>
      <c r="V16" s="55" t="str">
        <f aca="false">IF(OR(V$2="",$D16=""),"",IF(IF(ISNUMBER($F16),AND(V$2&gt;=$F16,V$2&lt;=IF(ISNUMBER($G16),$G16,$F16+$E16-$D16)),FALSE()),2,IF(AND(V$2&gt;=$D16,V$2&lt;=$E16),1,"")))</f>
        <v/>
      </c>
      <c r="W16" s="55" t="str">
        <f aca="false">IF(OR(W$2="",$D16=""),"",IF(IF(ISNUMBER($F16),AND(W$2&gt;=$F16,W$2&lt;=IF(ISNUMBER($G16),$G16,$F16+$E16-$D16)),FALSE()),2,IF(AND(W$2&gt;=$D16,W$2&lt;=$E16),1,"")))</f>
        <v/>
      </c>
      <c r="X16" s="55" t="str">
        <f aca="false">IF(OR(X$2="",$D16=""),"",IF(IF(ISNUMBER($F16),AND(X$2&gt;=$F16,X$2&lt;=IF(ISNUMBER($G16),$G16,$F16+$E16-$D16)),FALSE()),2,IF(AND(X$2&gt;=$D16,X$2&lt;=$E16),1,"")))</f>
        <v/>
      </c>
      <c r="Y16" s="55" t="str">
        <f aca="false">IF(OR(Y$2="",$D16=""),"",IF(IF(ISNUMBER($F16),AND(Y$2&gt;=$F16,Y$2&lt;=IF(ISNUMBER($G16),$G16,$F16+$E16-$D16)),FALSE()),2,IF(AND(Y$2&gt;=$D16,Y$2&lt;=$E16),1,"")))</f>
        <v/>
      </c>
      <c r="Z16" s="55" t="str">
        <f aca="false">IF(OR(Z$2="",$D16=""),"",IF(IF(ISNUMBER($F16),AND(Z$2&gt;=$F16,Z$2&lt;=IF(ISNUMBER($G16),$G16,$F16+$E16-$D16)),FALSE()),2,IF(AND(Z$2&gt;=$D16,Z$2&lt;=$E16),1,"")))</f>
        <v/>
      </c>
      <c r="AA16" s="55" t="str">
        <f aca="false">IF(OR(AA$2="",$D16=""),"",IF(IF(ISNUMBER($F16),AND(AA$2&gt;=$F16,AA$2&lt;=IF(ISNUMBER($G16),$G16,$F16+$E16-$D16)),FALSE()),2,IF(AND(AA$2&gt;=$D16,AA$2&lt;=$E16),1,"")))</f>
        <v/>
      </c>
      <c r="AB16" s="55" t="str">
        <f aca="false">IF(OR(AB$2="",$D16=""),"",IF(IF(ISNUMBER($F16),AND(AB$2&gt;=$F16,AB$2&lt;=IF(ISNUMBER($G16),$G16,$F16+$E16-$D16)),FALSE()),2,IF(AND(AB$2&gt;=$D16,AB$2&lt;=$E16),1,"")))</f>
        <v/>
      </c>
      <c r="AC16" s="55" t="str">
        <f aca="false">IF(OR(AC$2="",$D16=""),"",IF(IF(ISNUMBER($F16),AND(AC$2&gt;=$F16,AC$2&lt;=IF(ISNUMBER($G16),$G16,$F16+$E16-$D16)),FALSE()),2,IF(AND(AC$2&gt;=$D16,AC$2&lt;=$E16),1,"")))</f>
        <v/>
      </c>
      <c r="AD16" s="55" t="str">
        <f aca="false">IF(OR(AD$2="",$D16=""),"",IF(IF(ISNUMBER($F16),AND(AD$2&gt;=$F16,AD$2&lt;=IF(ISNUMBER($G16),$G16,$F16+$E16-$D16)),FALSE()),2,IF(AND(AD$2&gt;=$D16,AD$2&lt;=$E16),1,"")))</f>
        <v/>
      </c>
      <c r="AE16" s="55" t="str">
        <f aca="false">IF(OR(AE$2="",$D16=""),"",IF(IF(ISNUMBER($F16),AND(AE$2&gt;=$F16,AE$2&lt;=IF(ISNUMBER($G16),$G16,$F16+$E16-$D16)),FALSE()),2,IF(AND(AE$2&gt;=$D16,AE$2&lt;=$E16),1,"")))</f>
        <v/>
      </c>
      <c r="AF16" s="55" t="str">
        <f aca="false">IF(OR(AF$2="",$D16=""),"",IF(IF(ISNUMBER($F16),AND(AF$2&gt;=$F16,AF$2&lt;=IF(ISNUMBER($G16),$G16,$F16+$E16-$D16)),FALSE()),2,IF(AND(AF$2&gt;=$D16,AF$2&lt;=$E16),1,"")))</f>
        <v/>
      </c>
      <c r="AG16" s="55" t="str">
        <f aca="false">IF(OR(AG$2="",$D16=""),"",IF(IF(ISNUMBER($F16),AND(AG$2&gt;=$F16,AG$2&lt;=IF(ISNUMBER($G16),$G16,$F16+$E16-$D16)),FALSE()),2,IF(AND(AG$2&gt;=$D16,AG$2&lt;=$E16),1,"")))</f>
        <v/>
      </c>
      <c r="AH16" s="55" t="str">
        <f aca="false">IF(OR(AH$2="",$D16=""),"",IF(IF(ISNUMBER($F16),AND(AH$2&gt;=$F16,AH$2&lt;=IF(ISNUMBER($G16),$G16,$F16+$E16-$D16)),FALSE()),2,IF(AND(AH$2&gt;=$D16,AH$2&lt;=$E16),1,"")))</f>
        <v/>
      </c>
      <c r="AI16" s="55" t="str">
        <f aca="false">IF(OR(AI$2="",$D16=""),"",IF(IF(ISNUMBER($F16),AND(AI$2&gt;=$F16,AI$2&lt;=IF(ISNUMBER($G16),$G16,$F16+$E16-$D16)),FALSE()),2,IF(AND(AI$2&gt;=$D16,AI$2&lt;=$E16),1,"")))</f>
        <v/>
      </c>
      <c r="AJ16" s="55" t="str">
        <f aca="false">IF(OR(AJ$2="",$D16=""),"",IF(IF(ISNUMBER($F16),AND(AJ$2&gt;=$F16,AJ$2&lt;=IF(ISNUMBER($G16),$G16,$F16+$E16-$D16)),FALSE()),2,IF(AND(AJ$2&gt;=$D16,AJ$2&lt;=$E16),1,"")))</f>
        <v/>
      </c>
      <c r="AK16" s="55" t="str">
        <f aca="false">IF(OR(AK$2="",$D16=""),"",IF(IF(ISNUMBER($F16),AND(AK$2&gt;=$F16,AK$2&lt;=IF(ISNUMBER($G16),$G16,$F16+$E16-$D16)),FALSE()),2,IF(AND(AK$2&gt;=$D16,AK$2&lt;=$E16),1,"")))</f>
        <v/>
      </c>
      <c r="AL16" s="55" t="str">
        <f aca="false">IF(OR(AL$2="",$D16=""),"",IF(IF(ISNUMBER($F16),AND(AL$2&gt;=$F16,AL$2&lt;=IF(ISNUMBER($G16),$G16,$F16+$E16-$D16)),FALSE()),2,IF(AND(AL$2&gt;=$D16,AL$2&lt;=$E16),1,"")))</f>
        <v/>
      </c>
      <c r="AM16" s="55" t="str">
        <f aca="false">IF(OR(AM$2="",$D16=""),"",IF(IF(ISNUMBER($F16),AND(AM$2&gt;=$F16,AM$2&lt;=IF(ISNUMBER($G16),$G16,$F16+$E16-$D16)),FALSE()),2,IF(AND(AM$2&gt;=$D16,AM$2&lt;=$E16),1,"")))</f>
        <v/>
      </c>
      <c r="AN16" s="55" t="str">
        <f aca="false">IF(OR(AN$2="",$D16=""),"",IF(IF(ISNUMBER($F16),AND(AN$2&gt;=$F16,AN$2&lt;=IF(ISNUMBER($G16),$G16,$F16+$E16-$D16)),FALSE()),2,IF(AND(AN$2&gt;=$D16,AN$2&lt;=$E16),1,"")))</f>
        <v/>
      </c>
      <c r="AO16" s="55" t="str">
        <f aca="false">IF(OR(AO$2="",$D16=""),"",IF(IF(ISNUMBER($F16),AND(AO$2&gt;=$F16,AO$2&lt;=IF(ISNUMBER($G16),$G16,$F16+$E16-$D16)),FALSE()),2,IF(AND(AO$2&gt;=$D16,AO$2&lt;=$E16),1,"")))</f>
        <v/>
      </c>
      <c r="AP16" s="55" t="str">
        <f aca="false">IF(OR(AP$2="",$D16=""),"",IF(IF(ISNUMBER($F16),AND(AP$2&gt;=$F16,AP$2&lt;=IF(ISNUMBER($G16),$G16,$F16+$E16-$D16)),FALSE()),2,IF(AND(AP$2&gt;=$D16,AP$2&lt;=$E16),1,"")))</f>
        <v/>
      </c>
      <c r="AQ16" s="55" t="str">
        <f aca="false">IF(OR(AQ$2="",$D16=""),"",IF(IF(ISNUMBER($F16),AND(AQ$2&gt;=$F16,AQ$2&lt;=IF(ISNUMBER($G16),$G16,$F16+$E16-$D16)),FALSE()),2,IF(AND(AQ$2&gt;=$D16,AQ$2&lt;=$E16),1,"")))</f>
        <v/>
      </c>
      <c r="AR16" s="55" t="str">
        <f aca="false">IF(OR(AR$2="",$D16=""),"",IF(IF(ISNUMBER($F16),AND(AR$2&gt;=$F16,AR$2&lt;=IF(ISNUMBER($G16),$G16,$F16+$E16-$D16)),FALSE()),2,IF(AND(AR$2&gt;=$D16,AR$2&lt;=$E16),1,"")))</f>
        <v/>
      </c>
      <c r="AS16" s="55" t="str">
        <f aca="false">IF(OR(AS$2="",$D16=""),"",IF(IF(ISNUMBER($F16),AND(AS$2&gt;=$F16,AS$2&lt;=IF(ISNUMBER($G16),$G16,$F16+$E16-$D16)),FALSE()),2,IF(AND(AS$2&gt;=$D16,AS$2&lt;=$E16),1,"")))</f>
        <v/>
      </c>
      <c r="AT16" s="55" t="str">
        <f aca="false">IF(OR(AT$2="",$D16=""),"",IF(IF(ISNUMBER($F16),AND(AT$2&gt;=$F16,AT$2&lt;=IF(ISNUMBER($G16),$G16,$F16+$E16-$D16)),FALSE()),2,IF(AND(AT$2&gt;=$D16,AT$2&lt;=$E16),1,"")))</f>
        <v/>
      </c>
      <c r="AU16" s="55" t="str">
        <f aca="false">IF(OR(AU$2="",$D16=""),"",IF(IF(ISNUMBER($F16),AND(AU$2&gt;=$F16,AU$2&lt;=IF(ISNUMBER($G16),$G16,$F16+$E16-$D16)),FALSE()),2,IF(AND(AU$2&gt;=$D16,AU$2&lt;=$E16),1,"")))</f>
        <v/>
      </c>
      <c r="AV16" s="55" t="str">
        <f aca="false">IF(OR(AV$2="",$D16=""),"",IF(IF(ISNUMBER($F16),AND(AV$2&gt;=$F16,AV$2&lt;=IF(ISNUMBER($G16),$G16,$F16+$E16-$D16)),FALSE()),2,IF(AND(AV$2&gt;=$D16,AV$2&lt;=$E16),1,"")))</f>
        <v/>
      </c>
      <c r="AW16" s="55" t="str">
        <f aca="false">IF(OR(AW$2="",$D16=""),"",IF(IF(ISNUMBER($F16),AND(AW$2&gt;=$F16,AW$2&lt;=IF(ISNUMBER($G16),$G16,$F16+$E16-$D16)),FALSE()),2,IF(AND(AW$2&gt;=$D16,AW$2&lt;=$E16),1,"")))</f>
        <v/>
      </c>
      <c r="AX16" s="55" t="str">
        <f aca="false">IF(OR(AX$2="",$D16=""),"",IF(IF(ISNUMBER($F16),AND(AX$2&gt;=$F16,AX$2&lt;=IF(ISNUMBER($G16),$G16,$F16+$E16-$D16)),FALSE()),2,IF(AND(AX$2&gt;=$D16,AX$2&lt;=$E16),1,"")))</f>
        <v/>
      </c>
      <c r="AY16" s="55" t="str">
        <f aca="false">IF(OR(AY$2="",$D16=""),"",IF(IF(ISNUMBER($F16),AND(AY$2&gt;=$F16,AY$2&lt;=IF(ISNUMBER($G16),$G16,$F16+$E16-$D16)),FALSE()),2,IF(AND(AY$2&gt;=$D16,AY$2&lt;=$E16),1,"")))</f>
        <v/>
      </c>
      <c r="AZ16" s="55" t="str">
        <f aca="false">IF(OR(AZ$2="",$D16=""),"",IF(IF(ISNUMBER($F16),AND(AZ$2&gt;=$F16,AZ$2&lt;=IF(ISNUMBER($G16),$G16,$F16+$E16-$D16)),FALSE()),2,IF(AND(AZ$2&gt;=$D16,AZ$2&lt;=$E16),1,"")))</f>
        <v/>
      </c>
      <c r="BA16" s="55" t="str">
        <f aca="false">IF(OR(BA$2="",$D16=""),"",IF(IF(ISNUMBER($F16),AND(BA$2&gt;=$F16,BA$2&lt;=IF(ISNUMBER($G16),$G16,$F16+$E16-$D16)),FALSE()),2,IF(AND(BA$2&gt;=$D16,BA$2&lt;=$E16),1,"")))</f>
        <v/>
      </c>
      <c r="BB16" s="55" t="str">
        <f aca="false">IF(OR(BB$2="",$D16=""),"",IF(IF(ISNUMBER($F16),AND(BB$2&gt;=$F16,BB$2&lt;=IF(ISNUMBER($G16),$G16,$F16+$E16-$D16)),FALSE()),2,IF(AND(BB$2&gt;=$D16,BB$2&lt;=$E16),1,"")))</f>
        <v/>
      </c>
      <c r="BC16" s="55" t="str">
        <f aca="false">IF(OR(BC$2="",$D16=""),"",IF(IF(ISNUMBER($F16),AND(BC$2&gt;=$F16,BC$2&lt;=IF(ISNUMBER($G16),$G16,$F16+$E16-$D16)),FALSE()),2,IF(AND(BC$2&gt;=$D16,BC$2&lt;=$E16),1,"")))</f>
        <v/>
      </c>
      <c r="BD16" s="55" t="str">
        <f aca="false">IF(OR(BD$2="",$D16=""),"",IF(IF(ISNUMBER($F16),AND(BD$2&gt;=$F16,BD$2&lt;=IF(ISNUMBER($G16),$G16,$F16+$E16-$D16)),FALSE()),2,IF(AND(BD$2&gt;=$D16,BD$2&lt;=$E16),1,"")))</f>
        <v/>
      </c>
      <c r="BE16" s="55" t="str">
        <f aca="false">IF(OR(BE$2="",$D16=""),"",IF(IF(ISNUMBER($F16),AND(BE$2&gt;=$F16,BE$2&lt;=IF(ISNUMBER($G16),$G16,$F16+$E16-$D16)),FALSE()),2,IF(AND(BE$2&gt;=$D16,BE$2&lt;=$E16),1,"")))</f>
        <v/>
      </c>
      <c r="BF16" s="55" t="str">
        <f aca="false">IF(OR(BF$2="",$D16=""),"",IF(IF(ISNUMBER($F16),AND(BF$2&gt;=$F16,BF$2&lt;=IF(ISNUMBER($G16),$G16,$F16+$E16-$D16)),FALSE()),2,IF(AND(BF$2&gt;=$D16,BF$2&lt;=$E16),1,"")))</f>
        <v/>
      </c>
      <c r="BG16" s="55" t="str">
        <f aca="false">IF(OR(BG$2="",$D16=""),"",IF(IF(ISNUMBER($F16),AND(BG$2&gt;=$F16,BG$2&lt;=IF(ISNUMBER($G16),$G16,$F16+$E16-$D16)),FALSE()),2,IF(AND(BG$2&gt;=$D16,BG$2&lt;=$E16),1,"")))</f>
        <v/>
      </c>
      <c r="BH16" s="55" t="str">
        <f aca="false">IF(OR(BH$2="",$D16=""),"",IF(IF(ISNUMBER($F16),AND(BH$2&gt;=$F16,BH$2&lt;=IF(ISNUMBER($G16),$G16,$F16+$E16-$D16)),FALSE()),2,IF(AND(BH$2&gt;=$D16,BH$2&lt;=$E16),1,"")))</f>
        <v/>
      </c>
      <c r="BI16" s="55" t="str">
        <f aca="false">IF(OR(BI$2="",$D16=""),"",IF(IF(ISNUMBER($F16),AND(BI$2&gt;=$F16,BI$2&lt;=IF(ISNUMBER($G16),$G16,$F16+$E16-$D16)),FALSE()),2,IF(AND(BI$2&gt;=$D16,BI$2&lt;=$E16),1,"")))</f>
        <v/>
      </c>
      <c r="BJ16" s="55" t="str">
        <f aca="false">IF(OR(BJ$2="",$D16=""),"",IF(IF(ISNUMBER($F16),AND(BJ$2&gt;=$F16,BJ$2&lt;=IF(ISNUMBER($G16),$G16,$F16+$E16-$D16)),FALSE()),2,IF(AND(BJ$2&gt;=$D16,BJ$2&lt;=$E16),1,"")))</f>
        <v/>
      </c>
      <c r="BK16" s="55" t="str">
        <f aca="false">IF(OR(BK$2="",$D16=""),"",IF(IF(ISNUMBER($F16),AND(BK$2&gt;=$F16,BK$2&lt;=IF(ISNUMBER($G16),$G16,$F16+$E16-$D16)),FALSE()),2,IF(AND(BK$2&gt;=$D16,BK$2&lt;=$E16),1,"")))</f>
        <v/>
      </c>
      <c r="BL16" s="55" t="str">
        <f aca="false">IF(OR(BL$2="",$D16=""),"",IF(IF(ISNUMBER($F16),AND(BL$2&gt;=$F16,BL$2&lt;=IF(ISNUMBER($G16),$G16,$F16+$E16-$D16)),FALSE()),2,IF(AND(BL$2&gt;=$D16,BL$2&lt;=$E16),1,"")))</f>
        <v/>
      </c>
      <c r="BM16" s="55" t="str">
        <f aca="false">IF(OR(BM$2="",$D16=""),"",IF(IF(ISNUMBER($F16),AND(BM$2&gt;=$F16,BM$2&lt;=IF(ISNUMBER($G16),$G16,$F16+$E16-$D16)),FALSE()),2,IF(AND(BM$2&gt;=$D16,BM$2&lt;=$E16),1,"")))</f>
        <v/>
      </c>
      <c r="BN16" s="55" t="str">
        <f aca="false">IF(OR(BN$2="",$D16=""),"",IF(IF(ISNUMBER($F16),AND(BN$2&gt;=$F16,BN$2&lt;=IF(ISNUMBER($G16),$G16,$F16+$E16-$D16)),FALSE()),2,IF(AND(BN$2&gt;=$D16,BN$2&lt;=$E16),1,"")))</f>
        <v/>
      </c>
      <c r="BO16" s="55" t="str">
        <f aca="false">IF(OR(BO$2="",$D16=""),"",IF(IF(ISNUMBER($F16),AND(BO$2&gt;=$F16,BO$2&lt;=IF(ISNUMBER($G16),$G16,$F16+$E16-$D16)),FALSE()),2,IF(AND(BO$2&gt;=$D16,BO$2&lt;=$E16),1,"")))</f>
        <v/>
      </c>
      <c r="BP16" s="55" t="str">
        <f aca="false">IF(OR(BP$2="",$D16=""),"",IF(IF(ISNUMBER($F16),AND(BP$2&gt;=$F16,BP$2&lt;=IF(ISNUMBER($G16),$G16,$F16+$E16-$D16)),FALSE()),2,IF(AND(BP$2&gt;=$D16,BP$2&lt;=$E16),1,"")))</f>
        <v/>
      </c>
      <c r="BQ16" s="55" t="str">
        <f aca="false">IF(OR(BQ$2="",$D16=""),"",IF(IF(ISNUMBER($F16),AND(BQ$2&gt;=$F16,BQ$2&lt;=IF(ISNUMBER($G16),$G16,$F16+$E16-$D16)),FALSE()),2,IF(AND(BQ$2&gt;=$D16,BQ$2&lt;=$E16),1,"")))</f>
        <v/>
      </c>
      <c r="BR16" s="55" t="str">
        <f aca="false">IF(OR(BR$2="",$D16=""),"",IF(IF(ISNUMBER($F16),AND(BR$2&gt;=$F16,BR$2&lt;=IF(ISNUMBER($G16),$G16,$F16+$E16-$D16)),FALSE()),2,IF(AND(BR$2&gt;=$D16,BR$2&lt;=$E16),1,"")))</f>
        <v/>
      </c>
      <c r="BS16" s="55" t="str">
        <f aca="false">IF(OR(BS$2="",$D16=""),"",IF(IF(ISNUMBER($F16),AND(BS$2&gt;=$F16,BS$2&lt;=IF(ISNUMBER($G16),$G16,$F16+$E16-$D16)),FALSE()),2,IF(AND(BS$2&gt;=$D16,BS$2&lt;=$E16),1,"")))</f>
        <v/>
      </c>
      <c r="BT16" s="55" t="str">
        <f aca="false">IF(OR(BT$2="",$D16=""),"",IF(IF(ISNUMBER($F16),AND(BT$2&gt;=$F16,BT$2&lt;=IF(ISNUMBER($G16),$G16,$F16+$E16-$D16)),FALSE()),2,IF(AND(BT$2&gt;=$D16,BT$2&lt;=$E16),1,"")))</f>
        <v/>
      </c>
      <c r="BU16" s="55" t="str">
        <f aca="false">IF(OR(BU$2="",$D16=""),"",IF(IF(ISNUMBER($F16),AND(BU$2&gt;=$F16,BU$2&lt;=IF(ISNUMBER($G16),$G16,$F16+$E16-$D16)),FALSE()),2,IF(AND(BU$2&gt;=$D16,BU$2&lt;=$E16),1,"")))</f>
        <v/>
      </c>
      <c r="BV16" s="55" t="str">
        <f aca="false">IF(OR(BV$2="",$D16=""),"",IF(IF(ISNUMBER($F16),AND(BV$2&gt;=$F16,BV$2&lt;=IF(ISNUMBER($G16),$G16,$F16+$E16-$D16)),FALSE()),2,IF(AND(BV$2&gt;=$D16,BV$2&lt;=$E16),1,"")))</f>
        <v/>
      </c>
      <c r="BW16" s="55" t="str">
        <f aca="false">IF(OR(BW$2="",$D16=""),"",IF(IF(ISNUMBER($F16),AND(BW$2&gt;=$F16,BW$2&lt;=IF(ISNUMBER($G16),$G16,$F16+$E16-$D16)),FALSE()),2,IF(AND(BW$2&gt;=$D16,BW$2&lt;=$E16),1,"")))</f>
        <v/>
      </c>
      <c r="BX16" s="55" t="str">
        <f aca="false">IF(OR(BX$2="",$D16=""),"",IF(IF(ISNUMBER($F16),AND(BX$2&gt;=$F16,BX$2&lt;=IF(ISNUMBER($G16),$G16,$F16+$E16-$D16)),FALSE()),2,IF(AND(BX$2&gt;=$D16,BX$2&lt;=$E16),1,"")))</f>
        <v/>
      </c>
      <c r="BY16" s="55" t="str">
        <f aca="false">IF(OR(BY$2="",$D16=""),"",IF(IF(ISNUMBER($F16),AND(BY$2&gt;=$F16,BY$2&lt;=IF(ISNUMBER($G16),$G16,$F16+$E16-$D16)),FALSE()),2,IF(AND(BY$2&gt;=$D16,BY$2&lt;=$E16),1,"")))</f>
        <v/>
      </c>
      <c r="BZ16" s="55" t="str">
        <f aca="false">IF(OR(BZ$2="",$D16=""),"",IF(IF(ISNUMBER($F16),AND(BZ$2&gt;=$F16,BZ$2&lt;=IF(ISNUMBER($G16),$G16,$F16+$E16-$D16)),FALSE()),2,IF(AND(BZ$2&gt;=$D16,BZ$2&lt;=$E16),1,"")))</f>
        <v/>
      </c>
      <c r="CA16" s="55" t="str">
        <f aca="false">IF(OR(CA$2="",$D16=""),"",IF(IF(ISNUMBER($F16),AND(CA$2&gt;=$F16,CA$2&lt;=IF(ISNUMBER($G16),$G16,$F16+$E16-$D16)),FALSE()),2,IF(AND(CA$2&gt;=$D16,CA$2&lt;=$E16),1,"")))</f>
        <v/>
      </c>
      <c r="CB16" s="55" t="str">
        <f aca="false">IF(OR(CB$2="",$D16=""),"",IF(IF(ISNUMBER($F16),AND(CB$2&gt;=$F16,CB$2&lt;=IF(ISNUMBER($G16),$G16,$F16+$E16-$D16)),FALSE()),2,IF(AND(CB$2&gt;=$D16,CB$2&lt;=$E16),1,"")))</f>
        <v/>
      </c>
      <c r="CC16" s="55" t="str">
        <f aca="false">IF(OR(CC$2="",$D16=""),"",IF(IF(ISNUMBER($F16),AND(CC$2&gt;=$F16,CC$2&lt;=IF(ISNUMBER($G16),$G16,$F16+$E16-$D16)),FALSE()),2,IF(AND(CC$2&gt;=$D16,CC$2&lt;=$E16),1,"")))</f>
        <v/>
      </c>
      <c r="CD16" s="55" t="str">
        <f aca="false">IF(OR(CD$2="",$D16=""),"",IF(IF(ISNUMBER($F16),AND(CD$2&gt;=$F16,CD$2&lt;=IF(ISNUMBER($G16),$G16,$F16+$E16-$D16)),FALSE()),2,IF(AND(CD$2&gt;=$D16,CD$2&lt;=$E16),1,"")))</f>
        <v/>
      </c>
      <c r="CE16" s="55" t="str">
        <f aca="false">IF(OR(CE$2="",$D16=""),"",IF(IF(ISNUMBER($F16),AND(CE$2&gt;=$F16,CE$2&lt;=IF(ISNUMBER($G16),$G16,$F16+$E16-$D16)),FALSE()),2,IF(AND(CE$2&gt;=$D16,CE$2&lt;=$E16),1,"")))</f>
        <v/>
      </c>
      <c r="CF16" s="55" t="str">
        <f aca="false">IF(OR(CF$2="",$D16=""),"",IF(IF(ISNUMBER($F16),AND(CF$2&gt;=$F16,CF$2&lt;=IF(ISNUMBER($G16),$G16,$F16+$E16-$D16)),FALSE()),2,IF(AND(CF$2&gt;=$D16,CF$2&lt;=$E16),1,"")))</f>
        <v/>
      </c>
      <c r="CG16" s="55" t="str">
        <f aca="false">IF(OR(CG$2="",$D16=""),"",IF(IF(ISNUMBER($F16),AND(CG$2&gt;=$F16,CG$2&lt;=IF(ISNUMBER($G16),$G16,$F16+$E16-$D16)),FALSE()),2,IF(AND(CG$2&gt;=$D16,CG$2&lt;=$E16),1,"")))</f>
        <v/>
      </c>
      <c r="CH16" s="55" t="str">
        <f aca="false">IF(OR(CH$2="",$D16=""),"",IF(IF(ISNUMBER($F16),AND(CH$2&gt;=$F16,CH$2&lt;=IF(ISNUMBER($G16),$G16,$F16+$E16-$D16)),FALSE()),2,IF(AND(CH$2&gt;=$D16,CH$2&lt;=$E16),1,"")))</f>
        <v/>
      </c>
      <c r="CI16" s="55" t="str">
        <f aca="false">IF(OR(CI$2="",$D16=""),"",IF(IF(ISNUMBER($F16),AND(CI$2&gt;=$F16,CI$2&lt;=IF(ISNUMBER($G16),$G16,$F16+$E16-$D16)),FALSE()),2,IF(AND(CI$2&gt;=$D16,CI$2&lt;=$E16),1,"")))</f>
        <v/>
      </c>
      <c r="CJ16" s="55" t="str">
        <f aca="false">IF(OR(CJ$2="",$D16=""),"",IF(IF(ISNUMBER($F16),AND(CJ$2&gt;=$F16,CJ$2&lt;=IF(ISNUMBER($G16),$G16,$F16+$E16-$D16)),FALSE()),2,IF(AND(CJ$2&gt;=$D16,CJ$2&lt;=$E16),1,"")))</f>
        <v/>
      </c>
      <c r="CK16" s="55" t="str">
        <f aca="false">IF(OR(CK$2="",$D16=""),"",IF(IF(ISNUMBER($F16),AND(CK$2&gt;=$F16,CK$2&lt;=IF(ISNUMBER($G16),$G16,$F16+$E16-$D16)),FALSE()),2,IF(AND(CK$2&gt;=$D16,CK$2&lt;=$E16),1,"")))</f>
        <v/>
      </c>
      <c r="CL16" s="55" t="str">
        <f aca="false">IF(OR(CL$2="",$D16=""),"",IF(IF(ISNUMBER($F16),AND(CL$2&gt;=$F16,CL$2&lt;=IF(ISNUMBER($G16),$G16,$F16+$E16-$D16)),FALSE()),2,IF(AND(CL$2&gt;=$D16,CL$2&lt;=$E16),1,"")))</f>
        <v/>
      </c>
      <c r="CM16" s="55" t="str">
        <f aca="false">IF(OR(CM$2="",$D16=""),"",IF(IF(ISNUMBER($F16),AND(CM$2&gt;=$F16,CM$2&lt;=IF(ISNUMBER($G16),$G16,$F16+$E16-$D16)),FALSE()),2,IF(AND(CM$2&gt;=$D16,CM$2&lt;=$E16),1,"")))</f>
        <v/>
      </c>
      <c r="CN16" s="55" t="str">
        <f aca="false">IF(OR(CN$2="",$D16=""),"",IF(IF(ISNUMBER($F16),AND(CN$2&gt;=$F16,CN$2&lt;=IF(ISNUMBER($G16),$G16,$F16+$E16-$D16)),FALSE()),2,IF(AND(CN$2&gt;=$D16,CN$2&lt;=$E16),1,"")))</f>
        <v/>
      </c>
      <c r="CO16" s="55" t="str">
        <f aca="false">IF(OR(CO$2="",$D16=""),"",IF(IF(ISNUMBER($F16),AND(CO$2&gt;=$F16,CO$2&lt;=IF(ISNUMBER($G16),$G16,$F16+$E16-$D16)),FALSE()),2,IF(AND(CO$2&gt;=$D16,CO$2&lt;=$E16),1,"")))</f>
        <v/>
      </c>
      <c r="CP16" s="55" t="str">
        <f aca="false">IF(OR(CP$2="",$D16=""),"",IF(IF(ISNUMBER($F16),AND(CP$2&gt;=$F16,CP$2&lt;=IF(ISNUMBER($G16),$G16,$F16+$E16-$D16)),FALSE()),2,IF(AND(CP$2&gt;=$D16,CP$2&lt;=$E16),1,"")))</f>
        <v/>
      </c>
      <c r="CQ16" s="55" t="str">
        <f aca="false">IF(OR(CQ$2="",$D16=""),"",IF(IF(ISNUMBER($F16),AND(CQ$2&gt;=$F16,CQ$2&lt;=IF(ISNUMBER($G16),$G16,$F16+$E16-$D16)),FALSE()),2,IF(AND(CQ$2&gt;=$D16,CQ$2&lt;=$E16),1,"")))</f>
        <v/>
      </c>
      <c r="CR16" s="55" t="str">
        <f aca="false">IF(OR(CR$2="",$D16=""),"",IF(IF(ISNUMBER($F16),AND(CR$2&gt;=$F16,CR$2&lt;=IF(ISNUMBER($G16),$G16,$F16+$E16-$D16)),FALSE()),2,IF(AND(CR$2&gt;=$D16,CR$2&lt;=$E16),1,"")))</f>
        <v/>
      </c>
      <c r="CS16" s="55" t="str">
        <f aca="false">IF(OR(CS$2="",$D16=""),"",IF(IF(ISNUMBER($F16),AND(CS$2&gt;=$F16,CS$2&lt;=IF(ISNUMBER($G16),$G16,$F16+$E16-$D16)),FALSE()),2,IF(AND(CS$2&gt;=$D16,CS$2&lt;=$E16),1,"")))</f>
        <v/>
      </c>
      <c r="CT16" s="55" t="str">
        <f aca="false">IF(OR(CT$2="",$D16=""),"",IF(IF(ISNUMBER($F16),AND(CT$2&gt;=$F16,CT$2&lt;=IF(ISNUMBER($G16),$G16,$F16+$E16-$D16)),FALSE()),2,IF(AND(CT$2&gt;=$D16,CT$2&lt;=$E16),1,"")))</f>
        <v/>
      </c>
      <c r="CU16" s="55" t="str">
        <f aca="false">IF(OR(CU$2="",$D16=""),"",IF(IF(ISNUMBER($F16),AND(CU$2&gt;=$F16,CU$2&lt;=IF(ISNUMBER($G16),$G16,$F16+$E16-$D16)),FALSE()),2,IF(AND(CU$2&gt;=$D16,CU$2&lt;=$E16),1,"")))</f>
        <v/>
      </c>
      <c r="CV16" s="55" t="str">
        <f aca="false">IF(OR(CV$2="",$D16=""),"",IF(IF(ISNUMBER($F16),AND(CV$2&gt;=$F16,CV$2&lt;=IF(ISNUMBER($G16),$G16,$F16+$E16-$D16)),FALSE()),2,IF(AND(CV$2&gt;=$D16,CV$2&lt;=$E16),1,"")))</f>
        <v/>
      </c>
      <c r="CW16" s="55" t="str">
        <f aca="false">IF(OR(CW$2="",$D16=""),"",IF(IF(ISNUMBER($F16),AND(CW$2&gt;=$F16,CW$2&lt;=IF(ISNUMBER($G16),$G16,$F16+$E16-$D16)),FALSE()),2,IF(AND(CW$2&gt;=$D16,CW$2&lt;=$E16),1,"")))</f>
        <v/>
      </c>
      <c r="CX16" s="55" t="str">
        <f aca="false">IF(OR(CX$2="",$D16=""),"",IF(IF(ISNUMBER($F16),AND(CX$2&gt;=$F16,CX$2&lt;=IF(ISNUMBER($G16),$G16,$F16+$E16-$D16)),FALSE()),2,IF(AND(CX$2&gt;=$D16,CX$2&lt;=$E16),1,"")))</f>
        <v/>
      </c>
      <c r="CY16" s="55" t="str">
        <f aca="false">IF(OR(CY$2="",$D16=""),"",IF(IF(ISNUMBER($F16),AND(CY$2&gt;=$F16,CY$2&lt;=IF(ISNUMBER($G16),$G16,$F16+$E16-$D16)),FALSE()),2,IF(AND(CY$2&gt;=$D16,CY$2&lt;=$E16),1,"")))</f>
        <v/>
      </c>
      <c r="CZ16" s="55" t="str">
        <f aca="false">IF(OR(CZ$2="",$D16=""),"",IF(IF(ISNUMBER($F16),AND(CZ$2&gt;=$F16,CZ$2&lt;=IF(ISNUMBER($G16),$G16,$F16+$E16-$D16)),FALSE()),2,IF(AND(CZ$2&gt;=$D16,CZ$2&lt;=$E16),1,"")))</f>
        <v/>
      </c>
      <c r="DA16" s="55" t="str">
        <f aca="false">IF(OR(DA$2="",$D16=""),"",IF(IF(ISNUMBER($F16),AND(DA$2&gt;=$F16,DA$2&lt;=IF(ISNUMBER($G16),$G16,$F16+$E16-$D16)),FALSE()),2,IF(AND(DA$2&gt;=$D16,DA$2&lt;=$E16),1,"")))</f>
        <v/>
      </c>
      <c r="DB16" s="55" t="str">
        <f aca="false">IF(OR(DB$2="",$D16=""),"",IF(IF(ISNUMBER($F16),AND(DB$2&gt;=$F16,DB$2&lt;=IF(ISNUMBER($G16),$G16,$F16+$E16-$D16)),FALSE()),2,IF(AND(DB$2&gt;=$D16,DB$2&lt;=$E16),1,"")))</f>
        <v/>
      </c>
      <c r="DC16" s="55" t="str">
        <f aca="false">IF(OR(DC$2="",$D16=""),"",IF(IF(ISNUMBER($F16),AND(DC$2&gt;=$F16,DC$2&lt;=IF(ISNUMBER($G16),$G16,$F16+$E16-$D16)),FALSE()),2,IF(AND(DC$2&gt;=$D16,DC$2&lt;=$E16),1,"")))</f>
        <v/>
      </c>
      <c r="DD16" s="55" t="str">
        <f aca="false">IF(OR(DD$2="",$D16=""),"",IF(IF(ISNUMBER($F16),AND(DD$2&gt;=$F16,DD$2&lt;=IF(ISNUMBER($G16),$G16,$F16+$E16-$D16)),FALSE()),2,IF(AND(DD$2&gt;=$D16,DD$2&lt;=$E16),1,"")))</f>
        <v/>
      </c>
      <c r="DE16" s="55" t="str">
        <f aca="false">IF(OR(DE$2="",$D16=""),"",IF(IF(ISNUMBER($F16),AND(DE$2&gt;=$F16,DE$2&lt;=IF(ISNUMBER($G16),$G16,$F16+$E16-$D16)),FALSE()),2,IF(AND(DE$2&gt;=$D16,DE$2&lt;=$E16),1,"")))</f>
        <v/>
      </c>
      <c r="DF16" s="55" t="str">
        <f aca="false">IF(OR(DF$2="",$D16=""),"",IF(IF(ISNUMBER($F16),AND(DF$2&gt;=$F16,DF$2&lt;=IF(ISNUMBER($G16),$G16,$F16+$E16-$D16)),FALSE()),2,IF(AND(DF$2&gt;=$D16,DF$2&lt;=$E16),1,"")))</f>
        <v/>
      </c>
      <c r="DG16" s="55" t="str">
        <f aca="false">IF(OR(DG$2="",$D16=""),"",IF(IF(ISNUMBER($F16),AND(DG$2&gt;=$F16,DG$2&lt;=IF(ISNUMBER($G16),$G16,$F16+$E16-$D16)),FALSE()),2,IF(AND(DG$2&gt;=$D16,DG$2&lt;=$E16),1,"")))</f>
        <v/>
      </c>
      <c r="DH16" s="55" t="str">
        <f aca="false">IF(OR(DH$2="",$D16=""),"",IF(IF(ISNUMBER($F16),AND(DH$2&gt;=$F16,DH$2&lt;=IF(ISNUMBER($G16),$G16,$F16+$E16-$D16)),FALSE()),2,IF(AND(DH$2&gt;=$D16,DH$2&lt;=$E16),1,"")))</f>
        <v/>
      </c>
      <c r="DI16" s="55" t="str">
        <f aca="false">IF(OR(DI$2="",$D16=""),"",IF(IF(ISNUMBER($F16),AND(DI$2&gt;=$F16,DI$2&lt;=IF(ISNUMBER($G16),$G16,$F16+$E16-$D16)),FALSE()),2,IF(AND(DI$2&gt;=$D16,DI$2&lt;=$E16),1,"")))</f>
        <v/>
      </c>
      <c r="DJ16" s="55" t="str">
        <f aca="false">IF(OR(DJ$2="",$D16=""),"",IF(IF(ISNUMBER($F16),AND(DJ$2&gt;=$F16,DJ$2&lt;=IF(ISNUMBER($G16),$G16,$F16+$E16-$D16)),FALSE()),2,IF(AND(DJ$2&gt;=$D16,DJ$2&lt;=$E16),1,"")))</f>
        <v/>
      </c>
      <c r="DK16" s="55" t="str">
        <f aca="false">IF(OR(DK$2="",$D16=""),"",IF(IF(ISNUMBER($F16),AND(DK$2&gt;=$F16,DK$2&lt;=IF(ISNUMBER($G16),$G16,$F16+$E16-$D16)),FALSE()),2,IF(AND(DK$2&gt;=$D16,DK$2&lt;=$E16),1,"")))</f>
        <v/>
      </c>
      <c r="DL16" s="55" t="str">
        <f aca="false">IF(OR(DL$2="",$D16=""),"",IF(IF(ISNUMBER($F16),AND(DL$2&gt;=$F16,DL$2&lt;=IF(ISNUMBER($G16),$G16,$F16+$E16-$D16)),FALSE()),2,IF(AND(DL$2&gt;=$D16,DL$2&lt;=$E16),1,"")))</f>
        <v/>
      </c>
      <c r="DM16" s="55" t="str">
        <f aca="false">IF(OR(DM$2="",$D16=""),"",IF(IF(ISNUMBER($F16),AND(DM$2&gt;=$F16,DM$2&lt;=IF(ISNUMBER($G16),$G16,$F16+$E16-$D16)),FALSE()),2,IF(AND(DM$2&gt;=$D16,DM$2&lt;=$E16),1,"")))</f>
        <v/>
      </c>
      <c r="DN16" s="55" t="str">
        <f aca="false">IF(OR(DN$2="",$D16=""),"",IF(IF(ISNUMBER($F16),AND(DN$2&gt;=$F16,DN$2&lt;=IF(ISNUMBER($G16),$G16,$F16+$E16-$D16)),FALSE()),2,IF(AND(DN$2&gt;=$D16,DN$2&lt;=$E16),1,"")))</f>
        <v/>
      </c>
      <c r="DO16" s="55" t="str">
        <f aca="false">IF(OR(DO$2="",$D16=""),"",IF(IF(ISNUMBER($F16),AND(DO$2&gt;=$F16,DO$2&lt;=IF(ISNUMBER($G16),$G16,$F16+$E16-$D16)),FALSE()),2,IF(AND(DO$2&gt;=$D16,DO$2&lt;=$E16),1,"")))</f>
        <v/>
      </c>
      <c r="DP16" s="55" t="n">
        <f aca="false">IF(OR(DP$2="",$D16=""),"",IF(IF(ISNUMBER($F16),AND(DP$2&gt;=$F16,DP$2&lt;=IF(ISNUMBER($G16),$G16,$F16+$E16-$D16)),FALSE()),2,IF(AND(DP$2&gt;=$D16,DP$2&lt;=$E16),1,"")))</f>
        <v>1</v>
      </c>
      <c r="DQ16" s="55" t="n">
        <f aca="false">IF(OR(DQ$2="",$D16=""),"",IF(IF(ISNUMBER($F16),AND(DQ$2&gt;=$F16,DQ$2&lt;=IF(ISNUMBER($G16),$G16,$F16+$E16-$D16)),FALSE()),2,IF(AND(DQ$2&gt;=$D16,DQ$2&lt;=$E16),1,"")))</f>
        <v>1</v>
      </c>
      <c r="DR16" s="55" t="n">
        <f aca="false">IF(OR(DR$2="",$D16=""),"",IF(IF(ISNUMBER($F16),AND(DR$2&gt;=$F16,DR$2&lt;=IF(ISNUMBER($G16),$G16,$F16+$E16-$D16)),FALSE()),2,IF(AND(DR$2&gt;=$D16,DR$2&lt;=$E16),1,"")))</f>
        <v>1</v>
      </c>
      <c r="DS16" s="55" t="n">
        <f aca="false">IF(OR(DS$2="",$D16=""),"",IF(IF(ISNUMBER($F16),AND(DS$2&gt;=$F16,DS$2&lt;=IF(ISNUMBER($G16),$G16,$F16+$E16-$D16)),FALSE()),2,IF(AND(DS$2&gt;=$D16,DS$2&lt;=$E16),1,"")))</f>
        <v>1</v>
      </c>
      <c r="DT16" s="55" t="n">
        <f aca="false">IF(OR(DT$2="",$D16=""),"",IF(IF(ISNUMBER($F16),AND(DT$2&gt;=$F16,DT$2&lt;=IF(ISNUMBER($G16),$G16,$F16+$E16-$D16)),FALSE()),2,IF(AND(DT$2&gt;=$D16,DT$2&lt;=$E16),1,"")))</f>
        <v>1</v>
      </c>
      <c r="DU16" s="55" t="n">
        <f aca="false">IF(OR(DU$2="",$D16=""),"",IF(IF(ISNUMBER($F16),AND(DU$2&gt;=$F16,DU$2&lt;=IF(ISNUMBER($G16),$G16,$F16+$E16-$D16)),FALSE()),2,IF(AND(DU$2&gt;=$D16,DU$2&lt;=$E16),1,"")))</f>
        <v>1</v>
      </c>
      <c r="DV16" s="55" t="n">
        <f aca="false">IF(OR(DV$2="",$D16=""),"",IF(IF(ISNUMBER($F16),AND(DV$2&gt;=$F16,DV$2&lt;=IF(ISNUMBER($G16),$G16,$F16+$E16-$D16)),FALSE()),2,IF(AND(DV$2&gt;=$D16,DV$2&lt;=$E16),1,"")))</f>
        <v>1</v>
      </c>
      <c r="DW16" s="55" t="n">
        <f aca="false">IF(OR(DW$2="",$D16=""),"",IF(IF(ISNUMBER($F16),AND(DW$2&gt;=$F16,DW$2&lt;=IF(ISNUMBER($G16),$G16,$F16+$E16-$D16)),FALSE()),2,IF(AND(DW$2&gt;=$D16,DW$2&lt;=$E16),1,"")))</f>
        <v>1</v>
      </c>
      <c r="DX16" s="55" t="str">
        <f aca="false">IF(OR(DX$2="",$D16=""),"",IF(IF(ISNUMBER($F16),AND(DX$2&gt;=$F16,DX$2&lt;=IF(ISNUMBER($G16),$G16,$F16+$E16-$D16)),FALSE()),2,IF(AND(DX$2&gt;=$D16,DX$2&lt;=$E16),1,"")))</f>
        <v/>
      </c>
      <c r="DY16" s="55" t="str">
        <f aca="false">IF(OR(DY$2="",$D16=""),"",IF(IF(ISNUMBER($F16),AND(DY$2&gt;=$F16,DY$2&lt;=IF(ISNUMBER($G16),$G16,$F16+$E16-$D16)),FALSE()),2,IF(AND(DY$2&gt;=$D16,DY$2&lt;=$E16),1,"")))</f>
        <v/>
      </c>
      <c r="DZ16" s="55" t="str">
        <f aca="false">IF(OR(DZ$2="",$D16=""),"",IF(IF(ISNUMBER($F16),AND(DZ$2&gt;=$F16,DZ$2&lt;=IF(ISNUMBER($G16),$G16,$F16+$E16-$D16)),FALSE()),2,IF(AND(DZ$2&gt;=$D16,DZ$2&lt;=$E16),1,"")))</f>
        <v/>
      </c>
      <c r="EA16" s="55" t="str">
        <f aca="false">IF(OR(EA$2="",$D16=""),"",IF(IF(ISNUMBER($F16),AND(EA$2&gt;=$F16,EA$2&lt;=IF(ISNUMBER($G16),$G16,$F16+$E16-$D16)),FALSE()),2,IF(AND(EA$2&gt;=$D16,EA$2&lt;=$E16),1,"")))</f>
        <v/>
      </c>
      <c r="EB16" s="55" t="str">
        <f aca="false">IF(OR(EB$2="",$D16=""),"",IF(IF(ISNUMBER($F16),AND(EB$2&gt;=$F16,EB$2&lt;=IF(ISNUMBER($G16),$G16,$F16+$E16-$D16)),FALSE()),2,IF(AND(EB$2&gt;=$D16,EB$2&lt;=$E16),1,"")))</f>
        <v/>
      </c>
      <c r="EC16" s="55" t="str">
        <f aca="false">IF(OR(EC$2="",$D16=""),"",IF(IF(ISNUMBER($F16),AND(EC$2&gt;=$F16,EC$2&lt;=IF(ISNUMBER($G16),$G16,$F16+$E16-$D16)),FALSE()),2,IF(AND(EC$2&gt;=$D16,EC$2&lt;=$E16),1,"")))</f>
        <v/>
      </c>
      <c r="ED16" s="55" t="str">
        <f aca="false">IF(OR(ED$2="",$D16=""),"",IF(IF(ISNUMBER($F16),AND(ED$2&gt;=$F16,ED$2&lt;=IF(ISNUMBER($G16),$G16,$F16+$E16-$D16)),FALSE()),2,IF(AND(ED$2&gt;=$D16,ED$2&lt;=$E16),1,"")))</f>
        <v/>
      </c>
      <c r="EE16" s="55" t="str">
        <f aca="false">IF(OR(EE$2="",$D16=""),"",IF(IF(ISNUMBER($F16),AND(EE$2&gt;=$F16,EE$2&lt;=IF(ISNUMBER($G16),$G16,$F16+$E16-$D16)),FALSE()),2,IF(AND(EE$2&gt;=$D16,EE$2&lt;=$E16),1,"")))</f>
        <v/>
      </c>
      <c r="EF16" s="55" t="str">
        <f aca="false">IF(OR(EF$2="",$D16=""),"",IF(IF(ISNUMBER($F16),AND(EF$2&gt;=$F16,EF$2&lt;=IF(ISNUMBER($G16),$G16,$F16+$E16-$D16)),FALSE()),2,IF(AND(EF$2&gt;=$D16,EF$2&lt;=$E16),1,"")))</f>
        <v/>
      </c>
      <c r="EG16" s="55" t="str">
        <f aca="false">IF(OR(EG$2="",$D16=""),"",IF(IF(ISNUMBER($F16),AND(EG$2&gt;=$F16,EG$2&lt;=IF(ISNUMBER($G16),$G16,$F16+$E16-$D16)),FALSE()),2,IF(AND(EG$2&gt;=$D16,EG$2&lt;=$E16),1,"")))</f>
        <v/>
      </c>
      <c r="EH16" s="55" t="str">
        <f aca="false">IF(OR(EH$2="",$D16=""),"",IF(IF(ISNUMBER($F16),AND(EH$2&gt;=$F16,EH$2&lt;=IF(ISNUMBER($G16),$G16,$F16+$E16-$D16)),FALSE()),2,IF(AND(EH$2&gt;=$D16,EH$2&lt;=$E16),1,"")))</f>
        <v/>
      </c>
      <c r="EI16" s="55" t="str">
        <f aca="false">IF(OR(EI$2="",$D16=""),"",IF(IF(ISNUMBER($F16),AND(EI$2&gt;=$F16,EI$2&lt;=IF(ISNUMBER($G16),$G16,$F16+$E16-$D16)),FALSE()),2,IF(AND(EI$2&gt;=$D16,EI$2&lt;=$E16),1,"")))</f>
        <v/>
      </c>
      <c r="EJ16" s="55" t="str">
        <f aca="false">IF(OR(EJ$2="",$D16=""),"",IF(IF(ISNUMBER($F16),AND(EJ$2&gt;=$F16,EJ$2&lt;=IF(ISNUMBER($G16),$G16,$F16+$E16-$D16)),FALSE()),2,IF(AND(EJ$2&gt;=$D16,EJ$2&lt;=$E16),1,"")))</f>
        <v/>
      </c>
      <c r="EK16" s="55" t="str">
        <f aca="false">IF(OR(EK$2="",$D16=""),"",IF(IF(ISNUMBER($F16),AND(EK$2&gt;=$F16,EK$2&lt;=IF(ISNUMBER($G16),$G16,$F16+$E16-$D16)),FALSE()),2,IF(AND(EK$2&gt;=$D16,EK$2&lt;=$E16),1,"")))</f>
        <v/>
      </c>
      <c r="EL16" s="55" t="str">
        <f aca="false">IF(OR(EL$2="",$D16=""),"",IF(IF(ISNUMBER($F16),AND(EL$2&gt;=$F16,EL$2&lt;=IF(ISNUMBER($G16),$G16,$F16+$E16-$D16)),FALSE()),2,IF(AND(EL$2&gt;=$D16,EL$2&lt;=$E16),1,"")))</f>
        <v/>
      </c>
      <c r="EM16" s="55" t="str">
        <f aca="false">IF(OR(EM$2="",$D16=""),"",IF(IF(ISNUMBER($F16),AND(EM$2&gt;=$F16,EM$2&lt;=IF(ISNUMBER($G16),$G16,$F16+$E16-$D16)),FALSE()),2,IF(AND(EM$2&gt;=$D16,EM$2&lt;=$E16),1,"")))</f>
        <v/>
      </c>
      <c r="EN16" s="55" t="str">
        <f aca="false">IF(OR(EN$2="",$D16=""),"",IF(IF(ISNUMBER($F16),AND(EN$2&gt;=$F16,EN$2&lt;=IF(ISNUMBER($G16),$G16,$F16+$E16-$D16)),FALSE()),2,IF(AND(EN$2&gt;=$D16,EN$2&lt;=$E16),1,"")))</f>
        <v/>
      </c>
      <c r="EO16" s="55" t="str">
        <f aca="false">IF(OR(EO$2="",$D16=""),"",IF(IF(ISNUMBER($F16),AND(EO$2&gt;=$F16,EO$2&lt;=IF(ISNUMBER($G16),$G16,$F16+$E16-$D16)),FALSE()),2,IF(AND(EO$2&gt;=$D16,EO$2&lt;=$E16),1,"")))</f>
        <v/>
      </c>
      <c r="EP16" s="55" t="str">
        <f aca="false">IF(OR(EP$2="",$D16=""),"",IF(IF(ISNUMBER($F16),AND(EP$2&gt;=$F16,EP$2&lt;=IF(ISNUMBER($G16),$G16,$F16+$E16-$D16)),FALSE()),2,IF(AND(EP$2&gt;=$D16,EP$2&lt;=$E16),1,"")))</f>
        <v/>
      </c>
      <c r="EQ16" s="55" t="str">
        <f aca="false">IF(OR(EQ$2="",$D16=""),"",IF(IF(ISNUMBER($F16),AND(EQ$2&gt;=$F16,EQ$2&lt;=IF(ISNUMBER($G16),$G16,$F16+$E16-$D16)),FALSE()),2,IF(AND(EQ$2&gt;=$D16,EQ$2&lt;=$E16),1,"")))</f>
        <v/>
      </c>
      <c r="ER16" s="55" t="str">
        <f aca="false">IF(OR(ER$2="",$D16=""),"",IF(IF(ISNUMBER($F16),AND(ER$2&gt;=$F16,ER$2&lt;=IF(ISNUMBER($G16),$G16,$F16+$E16-$D16)),FALSE()),2,IF(AND(ER$2&gt;=$D16,ER$2&lt;=$E16),1,"")))</f>
        <v/>
      </c>
      <c r="ES16" s="55" t="str">
        <f aca="false">IF(OR(ES$2="",$D16=""),"",IF(IF(ISNUMBER($F16),AND(ES$2&gt;=$F16,ES$2&lt;=IF(ISNUMBER($G16),$G16,$F16+$E16-$D16)),FALSE()),2,IF(AND(ES$2&gt;=$D16,ES$2&lt;=$E16),1,"")))</f>
        <v/>
      </c>
      <c r="ET16" s="55" t="str">
        <f aca="false">IF(OR(ET$2="",$D16=""),"",IF(IF(ISNUMBER($F16),AND(ET$2&gt;=$F16,ET$2&lt;=IF(ISNUMBER($G16),$G16,$F16+$E16-$D16)),FALSE()),2,IF(AND(ET$2&gt;=$D16,ET$2&lt;=$E16),1,"")))</f>
        <v/>
      </c>
      <c r="EU16" s="55" t="str">
        <f aca="false">IF(OR(EU$2="",$D16=""),"",IF(IF(ISNUMBER($F16),AND(EU$2&gt;=$F16,EU$2&lt;=IF(ISNUMBER($G16),$G16,$F16+$E16-$D16)),FALSE()),2,IF(AND(EU$2&gt;=$D16,EU$2&lt;=$E16),1,"")))</f>
        <v/>
      </c>
      <c r="EV16" s="55" t="str">
        <f aca="false">IF(OR(EV$2="",$D16=""),"",IF(IF(ISNUMBER($F16),AND(EV$2&gt;=$F16,EV$2&lt;=IF(ISNUMBER($G16),$G16,$F16+$E16-$D16)),FALSE()),2,IF(AND(EV$2&gt;=$D16,EV$2&lt;=$E16),1,"")))</f>
        <v/>
      </c>
      <c r="EW16" s="55" t="str">
        <f aca="false">IF(OR(EW$2="",$D16=""),"",IF(IF(ISNUMBER($F16),AND(EW$2&gt;=$F16,EW$2&lt;=IF(ISNUMBER($G16),$G16,$F16+$E16-$D16)),FALSE()),2,IF(AND(EW$2&gt;=$D16,EW$2&lt;=$E16),1,"")))</f>
        <v/>
      </c>
      <c r="EX16" s="55" t="str">
        <f aca="false">IF(OR(EX$2="",$D16=""),"",IF(IF(ISNUMBER($F16),AND(EX$2&gt;=$F16,EX$2&lt;=IF(ISNUMBER($G16),$G16,$F16+$E16-$D16)),FALSE()),2,IF(AND(EX$2&gt;=$D16,EX$2&lt;=$E16),1,"")))</f>
        <v/>
      </c>
      <c r="EY16" s="55" t="str">
        <f aca="false">IF(OR(EY$2="",$D16=""),"",IF(IF(ISNUMBER($F16),AND(EY$2&gt;=$F16,EY$2&lt;=IF(ISNUMBER($G16),$G16,$F16+$E16-$D16)),FALSE()),2,IF(AND(EY$2&gt;=$D16,EY$2&lt;=$E16),1,"")))</f>
        <v/>
      </c>
      <c r="EZ16" s="55" t="str">
        <f aca="false">IF(OR(EZ$2="",$D16=""),"",IF(IF(ISNUMBER($F16),AND(EZ$2&gt;=$F16,EZ$2&lt;=IF(ISNUMBER($G16),$G16,$F16+$E16-$D16)),FALSE()),2,IF(AND(EZ$2&gt;=$D16,EZ$2&lt;=$E16),1,"")))</f>
        <v/>
      </c>
      <c r="FA16" s="55" t="str">
        <f aca="false">IF(OR(FA$2="",$D16=""),"",IF(IF(ISNUMBER($F16),AND(FA$2&gt;=$F16,FA$2&lt;=IF(ISNUMBER($G16),$G16,$F16+$E16-$D16)),FALSE()),2,IF(AND(FA$2&gt;=$D16,FA$2&lt;=$E16),1,"")))</f>
        <v/>
      </c>
      <c r="FB16" s="55" t="str">
        <f aca="false">IF(OR(FB$2="",$D16=""),"",IF(IF(ISNUMBER($F16),AND(FB$2&gt;=$F16,FB$2&lt;=IF(ISNUMBER($G16),$G16,$F16+$E16-$D16)),FALSE()),2,IF(AND(FB$2&gt;=$D16,FB$2&lt;=$E16),1,"")))</f>
        <v/>
      </c>
      <c r="FC16" s="55" t="str">
        <f aca="false">IF(OR(FC$2="",$D16=""),"",IF(IF(ISNUMBER($F16),AND(FC$2&gt;=$F16,FC$2&lt;=IF(ISNUMBER($G16),$G16,$F16+$E16-$D16)),FALSE()),2,IF(AND(FC$2&gt;=$D16,FC$2&lt;=$E16),1,"")))</f>
        <v/>
      </c>
      <c r="FD16" s="55" t="str">
        <f aca="false">IF(OR(FD$2="",$D16=""),"",IF(IF(ISNUMBER($F16),AND(FD$2&gt;=$F16,FD$2&lt;=IF(ISNUMBER($G16),$G16,$F16+$E16-$D16)),FALSE()),2,IF(AND(FD$2&gt;=$D16,FD$2&lt;=$E16),1,"")))</f>
        <v/>
      </c>
      <c r="FE16" s="55" t="str">
        <f aca="false">IF(OR(FE$2="",$D16=""),"",IF(IF(ISNUMBER($F16),AND(FE$2&gt;=$F16,FE$2&lt;=IF(ISNUMBER($G16),$G16,$F16+$E16-$D16)),FALSE()),2,IF(AND(FE$2&gt;=$D16,FE$2&lt;=$E16),1,"")))</f>
        <v/>
      </c>
      <c r="FF16" s="55" t="str">
        <f aca="false">IF(OR(FF$2="",$D16=""),"",IF(IF(ISNUMBER($F16),AND(FF$2&gt;=$F16,FF$2&lt;=IF(ISNUMBER($G16),$G16,$F16+$E16-$D16)),FALSE()),2,IF(AND(FF$2&gt;=$D16,FF$2&lt;=$E16),1,"")))</f>
        <v/>
      </c>
      <c r="FG16" s="55" t="str">
        <f aca="false">IF(OR(FG$2="",$D16=""),"",IF(IF(ISNUMBER($F16),AND(FG$2&gt;=$F16,FG$2&lt;=IF(ISNUMBER($G16),$G16,$F16+$E16-$D16)),FALSE()),2,IF(AND(FG$2&gt;=$D16,FG$2&lt;=$E16),1,"")))</f>
        <v/>
      </c>
      <c r="FH16" s="55" t="str">
        <f aca="false">IF(OR(FH$2="",$D16=""),"",IF(IF(ISNUMBER($F16),AND(FH$2&gt;=$F16,FH$2&lt;=IF(ISNUMBER($G16),$G16,$F16+$E16-$D16)),FALSE()),2,IF(AND(FH$2&gt;=$D16,FH$2&lt;=$E16),1,"")))</f>
        <v/>
      </c>
      <c r="FI16" s="55" t="str">
        <f aca="false">IF(OR(FI$2="",$D16=""),"",IF(IF(ISNUMBER($F16),AND(FI$2&gt;=$F16,FI$2&lt;=IF(ISNUMBER($G16),$G16,$F16+$E16-$D16)),FALSE()),2,IF(AND(FI$2&gt;=$D16,FI$2&lt;=$E16),1,"")))</f>
        <v/>
      </c>
      <c r="FJ16" s="55" t="str">
        <f aca="false">IF(OR(FJ$2="",$D16=""),"",IF(IF(ISNUMBER($F16),AND(FJ$2&gt;=$F16,FJ$2&lt;=IF(ISNUMBER($G16),$G16,$F16+$E16-$D16)),FALSE()),2,IF(AND(FJ$2&gt;=$D16,FJ$2&lt;=$E16),1,"")))</f>
        <v/>
      </c>
      <c r="FK16" s="55" t="str">
        <f aca="false">IF(OR(FK$2="",$D16=""),"",IF(IF(ISNUMBER($F16),AND(FK$2&gt;=$F16,FK$2&lt;=IF(ISNUMBER($G16),$G16,$F16+$E16-$D16)),FALSE()),2,IF(AND(FK$2&gt;=$D16,FK$2&lt;=$E16),1,"")))</f>
        <v/>
      </c>
      <c r="FL16" s="55" t="str">
        <f aca="false">IF(OR(FL$2="",$D16=""),"",IF(IF(ISNUMBER($F16),AND(FL$2&gt;=$F16,FL$2&lt;=IF(ISNUMBER($G16),$G16,$F16+$E16-$D16)),FALSE()),2,IF(AND(FL$2&gt;=$D16,FL$2&lt;=$E16),1,"")))</f>
        <v/>
      </c>
      <c r="FM16" s="55" t="str">
        <f aca="false">IF(OR(FM$2="",$D16=""),"",IF(IF(ISNUMBER($F16),AND(FM$2&gt;=$F16,FM$2&lt;=IF(ISNUMBER($G16),$G16,$F16+$E16-$D16)),FALSE()),2,IF(AND(FM$2&gt;=$D16,FM$2&lt;=$E16),1,"")))</f>
        <v/>
      </c>
      <c r="FN16" s="55" t="str">
        <f aca="false">IF(OR(FN$2="",$D16=""),"",IF(IF(ISNUMBER($F16),AND(FN$2&gt;=$F16,FN$2&lt;=IF(ISNUMBER($G16),$G16,$F16+$E16-$D16)),FALSE()),2,IF(AND(FN$2&gt;=$D16,FN$2&lt;=$E16),1,"")))</f>
        <v/>
      </c>
      <c r="FO16" s="55" t="str">
        <f aca="false">IF(OR(FO$2="",$D16=""),"",IF(IF(ISNUMBER($F16),AND(FO$2&gt;=$F16,FO$2&lt;=IF(ISNUMBER($G16),$G16,$F16+$E16-$D16)),FALSE()),2,IF(AND(FO$2&gt;=$D16,FO$2&lt;=$E16),1,"")))</f>
        <v/>
      </c>
      <c r="FP16" s="55" t="str">
        <f aca="false">IF(OR(FP$2="",$D16=""),"",IF(IF(ISNUMBER($F16),AND(FP$2&gt;=$F16,FP$2&lt;=IF(ISNUMBER($G16),$G16,$F16+$E16-$D16)),FALSE()),2,IF(AND(FP$2&gt;=$D16,FP$2&lt;=$E16),1,"")))</f>
        <v/>
      </c>
      <c r="FQ16" s="55" t="str">
        <f aca="false">IF(OR(FQ$2="",$D16=""),"",IF(IF(ISNUMBER($F16),AND(FQ$2&gt;=$F16,FQ$2&lt;=IF(ISNUMBER($G16),$G16,$F16+$E16-$D16)),FALSE()),2,IF(AND(FQ$2&gt;=$D16,FQ$2&lt;=$E16),1,"")))</f>
        <v/>
      </c>
      <c r="FR16" s="55" t="str">
        <f aca="false">IF(OR(FR$2="",$D16=""),"",IF(IF(ISNUMBER($F16),AND(FR$2&gt;=$F16,FR$2&lt;=IF(ISNUMBER($G16),$G16,$F16+$E16-$D16)),FALSE()),2,IF(AND(FR$2&gt;=$D16,FR$2&lt;=$E16),1,"")))</f>
        <v/>
      </c>
      <c r="FS16" s="55" t="str">
        <f aca="false">IF(OR(FS$2="",$D16=""),"",IF(IF(ISNUMBER($F16),AND(FS$2&gt;=$F16,FS$2&lt;=IF(ISNUMBER($G16),$G16,$F16+$E16-$D16)),FALSE()),2,IF(AND(FS$2&gt;=$D16,FS$2&lt;=$E16),1,"")))</f>
        <v/>
      </c>
      <c r="FT16" s="55" t="str">
        <f aca="false">IF(OR(FT$2="",$D16=""),"",IF(IF(ISNUMBER($F16),AND(FT$2&gt;=$F16,FT$2&lt;=IF(ISNUMBER($G16),$G16,$F16+$E16-$D16)),FALSE()),2,IF(AND(FT$2&gt;=$D16,FT$2&lt;=$E16),1,"")))</f>
        <v/>
      </c>
      <c r="FU16" s="55" t="str">
        <f aca="false">IF(OR(FU$2="",$D16=""),"",IF(IF(ISNUMBER($F16),AND(FU$2&gt;=$F16,FU$2&lt;=IF(ISNUMBER($G16),$G16,$F16+$E16-$D16)),FALSE()),2,IF(AND(FU$2&gt;=$D16,FU$2&lt;=$E16),1,"")))</f>
        <v/>
      </c>
      <c r="FV16" s="55" t="str">
        <f aca="false">IF(OR(FV$2="",$D16=""),"",IF(IF(ISNUMBER($F16),AND(FV$2&gt;=$F16,FV$2&lt;=IF(ISNUMBER($G16),$G16,$F16+$E16-$D16)),FALSE()),2,IF(AND(FV$2&gt;=$D16,FV$2&lt;=$E16),1,"")))</f>
        <v/>
      </c>
      <c r="FW16" s="55" t="str">
        <f aca="false">IF(OR(FW$2="",$D16=""),"",IF(IF(ISNUMBER($F16),AND(FW$2&gt;=$F16,FW$2&lt;=IF(ISNUMBER($G16),$G16,$F16+$E16-$D16)),FALSE()),2,IF(AND(FW$2&gt;=$D16,FW$2&lt;=$E16),1,"")))</f>
        <v/>
      </c>
      <c r="FX16" s="55" t="str">
        <f aca="false">IF(OR(FX$2="",$D16=""),"",IF(IF(ISNUMBER($F16),AND(FX$2&gt;=$F16,FX$2&lt;=IF(ISNUMBER($G16),$G16,$F16+$E16-$D16)),FALSE()),2,IF(AND(FX$2&gt;=$D16,FX$2&lt;=$E16),1,"")))</f>
        <v/>
      </c>
      <c r="FY16" s="55" t="str">
        <f aca="false">IF(OR(FY$2="",$D16=""),"",IF(IF(ISNUMBER($F16),AND(FY$2&gt;=$F16,FY$2&lt;=IF(ISNUMBER($G16),$G16,$F16+$E16-$D16)),FALSE()),2,IF(AND(FY$2&gt;=$D16,FY$2&lt;=$E16),1,"")))</f>
        <v/>
      </c>
      <c r="FZ16" s="55" t="str">
        <f aca="false">IF(OR(FZ$2="",$D16=""),"",IF(IF(ISNUMBER($F16),AND(FZ$2&gt;=$F16,FZ$2&lt;=IF(ISNUMBER($G16),$G16,$F16+$E16-$D16)),FALSE()),2,IF(AND(FZ$2&gt;=$D16,FZ$2&lt;=$E16),1,"")))</f>
        <v/>
      </c>
      <c r="GA16" s="55" t="str">
        <f aca="false">IF(OR(GA$2="",$D16=""),"",IF(IF(ISNUMBER($F16),AND(GA$2&gt;=$F16,GA$2&lt;=IF(ISNUMBER($G16),$G16,$F16+$E16-$D16)),FALSE()),2,IF(AND(GA$2&gt;=$D16,GA$2&lt;=$E16),1,"")))</f>
        <v/>
      </c>
      <c r="GB16" s="55" t="str">
        <f aca="false">IF(OR(GB$2="",$D16=""),"",IF(IF(ISNUMBER($F16),AND(GB$2&gt;=$F16,GB$2&lt;=IF(ISNUMBER($G16),$G16,$F16+$E16-$D16)),FALSE()),2,IF(AND(GB$2&gt;=$D16,GB$2&lt;=$E16),1,"")))</f>
        <v/>
      </c>
      <c r="GC16" s="55" t="str">
        <f aca="false">IF(OR(GC$2="",$D16=""),"",IF(IF(ISNUMBER($F16),AND(GC$2&gt;=$F16,GC$2&lt;=IF(ISNUMBER($G16),$G16,$F16+$E16-$D16)),FALSE()),2,IF(AND(GC$2&gt;=$D16,GC$2&lt;=$E16),1,"")))</f>
        <v/>
      </c>
      <c r="GD16" s="55" t="str">
        <f aca="false">IF(OR(GD$2="",$D16=""),"",IF(IF(ISNUMBER($F16),AND(GD$2&gt;=$F16,GD$2&lt;=IF(ISNUMBER($G16),$G16,$F16+$E16-$D16)),FALSE()),2,IF(AND(GD$2&gt;=$D16,GD$2&lt;=$E16),1,"")))</f>
        <v/>
      </c>
      <c r="GE16" s="55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false" outlineLevel="0" collapsed="false">
      <c r="A17" s="54" t="s">
        <v>381</v>
      </c>
      <c r="B17" s="21" t="s">
        <v>382</v>
      </c>
      <c r="C17" s="21" t="s">
        <v>83</v>
      </c>
      <c r="D17" s="51" t="n">
        <f aca="false">IF(Day_0="","",Day_0+cfg_6-cfg_8+cfg_13*1)</f>
        <v>46100</v>
      </c>
      <c r="E17" s="51" t="n">
        <f aca="false">IF(Day_0="","",Day_0+cfg_6-cfg_8+cfg_13*2)</f>
        <v>46107</v>
      </c>
      <c r="F17" s="51" t="str">
        <f aca="false">IF(_xlfn.MINIFS(2_Daily_input!$D$1:$FQ$1,2_Daily_input!$D$71:$FQ$71,"3F4D-2 start")+_xlfn.MINIFS(2_Daily_input!$D$1:$FQ$1,2_Daily_input!$D$72:$FQ$72,"3F4D-2 start")=0,"",IF(_xlfn.MINIFS(2_Daily_input!$D$1:$FQ$1,2_Daily_input!$D$71:$FQ$71,"3F4D-2 start")=0,_xlfn.MINIFS(2_Daily_input!$D$1:$FQ$1,2_Daily_input!$D$72:$FQ$72,"3F4D-2 start"),IF(_xlfn.MINIFS(2_Daily_input!$D$1:$FQ$1,2_Daily_input!$D$72:$FQ$72,"3F4D-2 start")=0,_xlfn.MINIFS(2_Daily_input!$D$1:$FQ$1,2_Daily_input!$D$71:$FQ$71,"3F4D-2 start"),MIN(_xlfn.MINIFS(2_Daily_input!$D$1:$FQ$1,2_Daily_input!$D$71:$FQ$71,"3F4D-2 start"),_xlfn.MINIFS(2_Daily_input!$D$1:$FQ$1,2_Daily_input!$D$72:$FQ$72,"3F4D-2 start")))))</f>
        <v/>
      </c>
      <c r="G17" s="51" t="str">
        <f aca="false">""</f>
        <v/>
      </c>
      <c r="H17" s="50" t="str">
        <f aca="true">IF(D17="","no plan",IF(F17&lt;&gt;"",IF(F17-D17&gt;=2,"LATE","OK"),IF(TODAY()&gt;D17+2,"OVERDUE","upcoming")))</f>
        <v>OVERDUE</v>
      </c>
      <c r="I17" s="50" t="str">
        <f aca="false">IF(AND(D17&lt;&gt;"",F17&lt;&gt;""),F17-D17,"")</f>
        <v/>
      </c>
      <c r="J17" s="51" t="n">
        <f aca="false">IF(F17&lt;&gt;"",F17,D17)</f>
        <v>46100</v>
      </c>
      <c r="K17" s="51" t="n">
        <f aca="false">IF(G17&lt;&gt;"",G17,IF(AND(F17&lt;&gt;"",E17=D17),F17,E17))</f>
        <v>46107</v>
      </c>
      <c r="L17" s="50" t="str">
        <f aca="true">IF(AND(D17&lt;&gt;"",F17="",D17&gt;=TODAY()),D17+ROW()/1000,"")</f>
        <v/>
      </c>
      <c r="M17" s="55" t="str">
        <f aca="false">IF(OR(M$2="",$D17=""),"",IF(IF(ISNUMBER($F17),AND(M$2&gt;=$F17,M$2&lt;=IF(ISNUMBER($G17),$G17,$F17+$E17-$D17)),FALSE()),2,IF(AND(M$2&gt;=$D17,M$2&lt;=$E17),1,"")))</f>
        <v/>
      </c>
      <c r="N17" s="55" t="str">
        <f aca="false">IF(OR(N$2="",$D17=""),"",IF(IF(ISNUMBER($F17),AND(N$2&gt;=$F17,N$2&lt;=IF(ISNUMBER($G17),$G17,$F17+$E17-$D17)),FALSE()),2,IF(AND(N$2&gt;=$D17,N$2&lt;=$E17),1,"")))</f>
        <v/>
      </c>
      <c r="O17" s="55" t="str">
        <f aca="false">IF(OR(O$2="",$D17=""),"",IF(IF(ISNUMBER($F17),AND(O$2&gt;=$F17,O$2&lt;=IF(ISNUMBER($G17),$G17,$F17+$E17-$D17)),FALSE()),2,IF(AND(O$2&gt;=$D17,O$2&lt;=$E17),1,"")))</f>
        <v/>
      </c>
      <c r="P17" s="55" t="str">
        <f aca="false">IF(OR(P$2="",$D17=""),"",IF(IF(ISNUMBER($F17),AND(P$2&gt;=$F17,P$2&lt;=IF(ISNUMBER($G17),$G17,$F17+$E17-$D17)),FALSE()),2,IF(AND(P$2&gt;=$D17,P$2&lt;=$E17),1,"")))</f>
        <v/>
      </c>
      <c r="Q17" s="55" t="str">
        <f aca="false">IF(OR(Q$2="",$D17=""),"",IF(IF(ISNUMBER($F17),AND(Q$2&gt;=$F17,Q$2&lt;=IF(ISNUMBER($G17),$G17,$F17+$E17-$D17)),FALSE()),2,IF(AND(Q$2&gt;=$D17,Q$2&lt;=$E17),1,"")))</f>
        <v/>
      </c>
      <c r="R17" s="55" t="str">
        <f aca="false">IF(OR(R$2="",$D17=""),"",IF(IF(ISNUMBER($F17),AND(R$2&gt;=$F17,R$2&lt;=IF(ISNUMBER($G17),$G17,$F17+$E17-$D17)),FALSE()),2,IF(AND(R$2&gt;=$D17,R$2&lt;=$E17),1,"")))</f>
        <v/>
      </c>
      <c r="S17" s="55" t="str">
        <f aca="false">IF(OR(S$2="",$D17=""),"",IF(IF(ISNUMBER($F17),AND(S$2&gt;=$F17,S$2&lt;=IF(ISNUMBER($G17),$G17,$F17+$E17-$D17)),FALSE()),2,IF(AND(S$2&gt;=$D17,S$2&lt;=$E17),1,"")))</f>
        <v/>
      </c>
      <c r="T17" s="55" t="str">
        <f aca="false">IF(OR(T$2="",$D17=""),"",IF(IF(ISNUMBER($F17),AND(T$2&gt;=$F17,T$2&lt;=IF(ISNUMBER($G17),$G17,$F17+$E17-$D17)),FALSE()),2,IF(AND(T$2&gt;=$D17,T$2&lt;=$E17),1,"")))</f>
        <v/>
      </c>
      <c r="U17" s="55" t="str">
        <f aca="false">IF(OR(U$2="",$D17=""),"",IF(IF(ISNUMBER($F17),AND(U$2&gt;=$F17,U$2&lt;=IF(ISNUMBER($G17),$G17,$F17+$E17-$D17)),FALSE()),2,IF(AND(U$2&gt;=$D17,U$2&lt;=$E17),1,"")))</f>
        <v/>
      </c>
      <c r="V17" s="55" t="str">
        <f aca="false">IF(OR(V$2="",$D17=""),"",IF(IF(ISNUMBER($F17),AND(V$2&gt;=$F17,V$2&lt;=IF(ISNUMBER($G17),$G17,$F17+$E17-$D17)),FALSE()),2,IF(AND(V$2&gt;=$D17,V$2&lt;=$E17),1,"")))</f>
        <v/>
      </c>
      <c r="W17" s="55" t="str">
        <f aca="false">IF(OR(W$2="",$D17=""),"",IF(IF(ISNUMBER($F17),AND(W$2&gt;=$F17,W$2&lt;=IF(ISNUMBER($G17),$G17,$F17+$E17-$D17)),FALSE()),2,IF(AND(W$2&gt;=$D17,W$2&lt;=$E17),1,"")))</f>
        <v/>
      </c>
      <c r="X17" s="55" t="str">
        <f aca="false">IF(OR(X$2="",$D17=""),"",IF(IF(ISNUMBER($F17),AND(X$2&gt;=$F17,X$2&lt;=IF(ISNUMBER($G17),$G17,$F17+$E17-$D17)),FALSE()),2,IF(AND(X$2&gt;=$D17,X$2&lt;=$E17),1,"")))</f>
        <v/>
      </c>
      <c r="Y17" s="55" t="str">
        <f aca="false">IF(OR(Y$2="",$D17=""),"",IF(IF(ISNUMBER($F17),AND(Y$2&gt;=$F17,Y$2&lt;=IF(ISNUMBER($G17),$G17,$F17+$E17-$D17)),FALSE()),2,IF(AND(Y$2&gt;=$D17,Y$2&lt;=$E17),1,"")))</f>
        <v/>
      </c>
      <c r="Z17" s="55" t="str">
        <f aca="false">IF(OR(Z$2="",$D17=""),"",IF(IF(ISNUMBER($F17),AND(Z$2&gt;=$F17,Z$2&lt;=IF(ISNUMBER($G17),$G17,$F17+$E17-$D17)),FALSE()),2,IF(AND(Z$2&gt;=$D17,Z$2&lt;=$E17),1,"")))</f>
        <v/>
      </c>
      <c r="AA17" s="55" t="str">
        <f aca="false">IF(OR(AA$2="",$D17=""),"",IF(IF(ISNUMBER($F17),AND(AA$2&gt;=$F17,AA$2&lt;=IF(ISNUMBER($G17),$G17,$F17+$E17-$D17)),FALSE()),2,IF(AND(AA$2&gt;=$D17,AA$2&lt;=$E17),1,"")))</f>
        <v/>
      </c>
      <c r="AB17" s="55" t="str">
        <f aca="false">IF(OR(AB$2="",$D17=""),"",IF(IF(ISNUMBER($F17),AND(AB$2&gt;=$F17,AB$2&lt;=IF(ISNUMBER($G17),$G17,$F17+$E17-$D17)),FALSE()),2,IF(AND(AB$2&gt;=$D17,AB$2&lt;=$E17),1,"")))</f>
        <v/>
      </c>
      <c r="AC17" s="55" t="str">
        <f aca="false">IF(OR(AC$2="",$D17=""),"",IF(IF(ISNUMBER($F17),AND(AC$2&gt;=$F17,AC$2&lt;=IF(ISNUMBER($G17),$G17,$F17+$E17-$D17)),FALSE()),2,IF(AND(AC$2&gt;=$D17,AC$2&lt;=$E17),1,"")))</f>
        <v/>
      </c>
      <c r="AD17" s="55" t="str">
        <f aca="false">IF(OR(AD$2="",$D17=""),"",IF(IF(ISNUMBER($F17),AND(AD$2&gt;=$F17,AD$2&lt;=IF(ISNUMBER($G17),$G17,$F17+$E17-$D17)),FALSE()),2,IF(AND(AD$2&gt;=$D17,AD$2&lt;=$E17),1,"")))</f>
        <v/>
      </c>
      <c r="AE17" s="55" t="str">
        <f aca="false">IF(OR(AE$2="",$D17=""),"",IF(IF(ISNUMBER($F17),AND(AE$2&gt;=$F17,AE$2&lt;=IF(ISNUMBER($G17),$G17,$F17+$E17-$D17)),FALSE()),2,IF(AND(AE$2&gt;=$D17,AE$2&lt;=$E17),1,"")))</f>
        <v/>
      </c>
      <c r="AF17" s="55" t="str">
        <f aca="false">IF(OR(AF$2="",$D17=""),"",IF(IF(ISNUMBER($F17),AND(AF$2&gt;=$F17,AF$2&lt;=IF(ISNUMBER($G17),$G17,$F17+$E17-$D17)),FALSE()),2,IF(AND(AF$2&gt;=$D17,AF$2&lt;=$E17),1,"")))</f>
        <v/>
      </c>
      <c r="AG17" s="55" t="str">
        <f aca="false">IF(OR(AG$2="",$D17=""),"",IF(IF(ISNUMBER($F17),AND(AG$2&gt;=$F17,AG$2&lt;=IF(ISNUMBER($G17),$G17,$F17+$E17-$D17)),FALSE()),2,IF(AND(AG$2&gt;=$D17,AG$2&lt;=$E17),1,"")))</f>
        <v/>
      </c>
      <c r="AH17" s="55" t="str">
        <f aca="false">IF(OR(AH$2="",$D17=""),"",IF(IF(ISNUMBER($F17),AND(AH$2&gt;=$F17,AH$2&lt;=IF(ISNUMBER($G17),$G17,$F17+$E17-$D17)),FALSE()),2,IF(AND(AH$2&gt;=$D17,AH$2&lt;=$E17),1,"")))</f>
        <v/>
      </c>
      <c r="AI17" s="55" t="str">
        <f aca="false">IF(OR(AI$2="",$D17=""),"",IF(IF(ISNUMBER($F17),AND(AI$2&gt;=$F17,AI$2&lt;=IF(ISNUMBER($G17),$G17,$F17+$E17-$D17)),FALSE()),2,IF(AND(AI$2&gt;=$D17,AI$2&lt;=$E17),1,"")))</f>
        <v/>
      </c>
      <c r="AJ17" s="55" t="str">
        <f aca="false">IF(OR(AJ$2="",$D17=""),"",IF(IF(ISNUMBER($F17),AND(AJ$2&gt;=$F17,AJ$2&lt;=IF(ISNUMBER($G17),$G17,$F17+$E17-$D17)),FALSE()),2,IF(AND(AJ$2&gt;=$D17,AJ$2&lt;=$E17),1,"")))</f>
        <v/>
      </c>
      <c r="AK17" s="55" t="str">
        <f aca="false">IF(OR(AK$2="",$D17=""),"",IF(IF(ISNUMBER($F17),AND(AK$2&gt;=$F17,AK$2&lt;=IF(ISNUMBER($G17),$G17,$F17+$E17-$D17)),FALSE()),2,IF(AND(AK$2&gt;=$D17,AK$2&lt;=$E17),1,"")))</f>
        <v/>
      </c>
      <c r="AL17" s="55" t="str">
        <f aca="false">IF(OR(AL$2="",$D17=""),"",IF(IF(ISNUMBER($F17),AND(AL$2&gt;=$F17,AL$2&lt;=IF(ISNUMBER($G17),$G17,$F17+$E17-$D17)),FALSE()),2,IF(AND(AL$2&gt;=$D17,AL$2&lt;=$E17),1,"")))</f>
        <v/>
      </c>
      <c r="AM17" s="55" t="str">
        <f aca="false">IF(OR(AM$2="",$D17=""),"",IF(IF(ISNUMBER($F17),AND(AM$2&gt;=$F17,AM$2&lt;=IF(ISNUMBER($G17),$G17,$F17+$E17-$D17)),FALSE()),2,IF(AND(AM$2&gt;=$D17,AM$2&lt;=$E17),1,"")))</f>
        <v/>
      </c>
      <c r="AN17" s="55" t="str">
        <f aca="false">IF(OR(AN$2="",$D17=""),"",IF(IF(ISNUMBER($F17),AND(AN$2&gt;=$F17,AN$2&lt;=IF(ISNUMBER($G17),$G17,$F17+$E17-$D17)),FALSE()),2,IF(AND(AN$2&gt;=$D17,AN$2&lt;=$E17),1,"")))</f>
        <v/>
      </c>
      <c r="AO17" s="55" t="str">
        <f aca="false">IF(OR(AO$2="",$D17=""),"",IF(IF(ISNUMBER($F17),AND(AO$2&gt;=$F17,AO$2&lt;=IF(ISNUMBER($G17),$G17,$F17+$E17-$D17)),FALSE()),2,IF(AND(AO$2&gt;=$D17,AO$2&lt;=$E17),1,"")))</f>
        <v/>
      </c>
      <c r="AP17" s="55" t="str">
        <f aca="false">IF(OR(AP$2="",$D17=""),"",IF(IF(ISNUMBER($F17),AND(AP$2&gt;=$F17,AP$2&lt;=IF(ISNUMBER($G17),$G17,$F17+$E17-$D17)),FALSE()),2,IF(AND(AP$2&gt;=$D17,AP$2&lt;=$E17),1,"")))</f>
        <v/>
      </c>
      <c r="AQ17" s="55" t="str">
        <f aca="false">IF(OR(AQ$2="",$D17=""),"",IF(IF(ISNUMBER($F17),AND(AQ$2&gt;=$F17,AQ$2&lt;=IF(ISNUMBER($G17),$G17,$F17+$E17-$D17)),FALSE()),2,IF(AND(AQ$2&gt;=$D17,AQ$2&lt;=$E17),1,"")))</f>
        <v/>
      </c>
      <c r="AR17" s="55" t="str">
        <f aca="false">IF(OR(AR$2="",$D17=""),"",IF(IF(ISNUMBER($F17),AND(AR$2&gt;=$F17,AR$2&lt;=IF(ISNUMBER($G17),$G17,$F17+$E17-$D17)),FALSE()),2,IF(AND(AR$2&gt;=$D17,AR$2&lt;=$E17),1,"")))</f>
        <v/>
      </c>
      <c r="AS17" s="55" t="str">
        <f aca="false">IF(OR(AS$2="",$D17=""),"",IF(IF(ISNUMBER($F17),AND(AS$2&gt;=$F17,AS$2&lt;=IF(ISNUMBER($G17),$G17,$F17+$E17-$D17)),FALSE()),2,IF(AND(AS$2&gt;=$D17,AS$2&lt;=$E17),1,"")))</f>
        <v/>
      </c>
      <c r="AT17" s="55" t="str">
        <f aca="false">IF(OR(AT$2="",$D17=""),"",IF(IF(ISNUMBER($F17),AND(AT$2&gt;=$F17,AT$2&lt;=IF(ISNUMBER($G17),$G17,$F17+$E17-$D17)),FALSE()),2,IF(AND(AT$2&gt;=$D17,AT$2&lt;=$E17),1,"")))</f>
        <v/>
      </c>
      <c r="AU17" s="55" t="str">
        <f aca="false">IF(OR(AU$2="",$D17=""),"",IF(IF(ISNUMBER($F17),AND(AU$2&gt;=$F17,AU$2&lt;=IF(ISNUMBER($G17),$G17,$F17+$E17-$D17)),FALSE()),2,IF(AND(AU$2&gt;=$D17,AU$2&lt;=$E17),1,"")))</f>
        <v/>
      </c>
      <c r="AV17" s="55" t="str">
        <f aca="false">IF(OR(AV$2="",$D17=""),"",IF(IF(ISNUMBER($F17),AND(AV$2&gt;=$F17,AV$2&lt;=IF(ISNUMBER($G17),$G17,$F17+$E17-$D17)),FALSE()),2,IF(AND(AV$2&gt;=$D17,AV$2&lt;=$E17),1,"")))</f>
        <v/>
      </c>
      <c r="AW17" s="55" t="str">
        <f aca="false">IF(OR(AW$2="",$D17=""),"",IF(IF(ISNUMBER($F17),AND(AW$2&gt;=$F17,AW$2&lt;=IF(ISNUMBER($G17),$G17,$F17+$E17-$D17)),FALSE()),2,IF(AND(AW$2&gt;=$D17,AW$2&lt;=$E17),1,"")))</f>
        <v/>
      </c>
      <c r="AX17" s="55" t="str">
        <f aca="false">IF(OR(AX$2="",$D17=""),"",IF(IF(ISNUMBER($F17),AND(AX$2&gt;=$F17,AX$2&lt;=IF(ISNUMBER($G17),$G17,$F17+$E17-$D17)),FALSE()),2,IF(AND(AX$2&gt;=$D17,AX$2&lt;=$E17),1,"")))</f>
        <v/>
      </c>
      <c r="AY17" s="55" t="str">
        <f aca="false">IF(OR(AY$2="",$D17=""),"",IF(IF(ISNUMBER($F17),AND(AY$2&gt;=$F17,AY$2&lt;=IF(ISNUMBER($G17),$G17,$F17+$E17-$D17)),FALSE()),2,IF(AND(AY$2&gt;=$D17,AY$2&lt;=$E17),1,"")))</f>
        <v/>
      </c>
      <c r="AZ17" s="55" t="str">
        <f aca="false">IF(OR(AZ$2="",$D17=""),"",IF(IF(ISNUMBER($F17),AND(AZ$2&gt;=$F17,AZ$2&lt;=IF(ISNUMBER($G17),$G17,$F17+$E17-$D17)),FALSE()),2,IF(AND(AZ$2&gt;=$D17,AZ$2&lt;=$E17),1,"")))</f>
        <v/>
      </c>
      <c r="BA17" s="55" t="str">
        <f aca="false">IF(OR(BA$2="",$D17=""),"",IF(IF(ISNUMBER($F17),AND(BA$2&gt;=$F17,BA$2&lt;=IF(ISNUMBER($G17),$G17,$F17+$E17-$D17)),FALSE()),2,IF(AND(BA$2&gt;=$D17,BA$2&lt;=$E17),1,"")))</f>
        <v/>
      </c>
      <c r="BB17" s="55" t="str">
        <f aca="false">IF(OR(BB$2="",$D17=""),"",IF(IF(ISNUMBER($F17),AND(BB$2&gt;=$F17,BB$2&lt;=IF(ISNUMBER($G17),$G17,$F17+$E17-$D17)),FALSE()),2,IF(AND(BB$2&gt;=$D17,BB$2&lt;=$E17),1,"")))</f>
        <v/>
      </c>
      <c r="BC17" s="55" t="str">
        <f aca="false">IF(OR(BC$2="",$D17=""),"",IF(IF(ISNUMBER($F17),AND(BC$2&gt;=$F17,BC$2&lt;=IF(ISNUMBER($G17),$G17,$F17+$E17-$D17)),FALSE()),2,IF(AND(BC$2&gt;=$D17,BC$2&lt;=$E17),1,"")))</f>
        <v/>
      </c>
      <c r="BD17" s="55" t="str">
        <f aca="false">IF(OR(BD$2="",$D17=""),"",IF(IF(ISNUMBER($F17),AND(BD$2&gt;=$F17,BD$2&lt;=IF(ISNUMBER($G17),$G17,$F17+$E17-$D17)),FALSE()),2,IF(AND(BD$2&gt;=$D17,BD$2&lt;=$E17),1,"")))</f>
        <v/>
      </c>
      <c r="BE17" s="55" t="str">
        <f aca="false">IF(OR(BE$2="",$D17=""),"",IF(IF(ISNUMBER($F17),AND(BE$2&gt;=$F17,BE$2&lt;=IF(ISNUMBER($G17),$G17,$F17+$E17-$D17)),FALSE()),2,IF(AND(BE$2&gt;=$D17,BE$2&lt;=$E17),1,"")))</f>
        <v/>
      </c>
      <c r="BF17" s="55" t="str">
        <f aca="false">IF(OR(BF$2="",$D17=""),"",IF(IF(ISNUMBER($F17),AND(BF$2&gt;=$F17,BF$2&lt;=IF(ISNUMBER($G17),$G17,$F17+$E17-$D17)),FALSE()),2,IF(AND(BF$2&gt;=$D17,BF$2&lt;=$E17),1,"")))</f>
        <v/>
      </c>
      <c r="BG17" s="55" t="str">
        <f aca="false">IF(OR(BG$2="",$D17=""),"",IF(IF(ISNUMBER($F17),AND(BG$2&gt;=$F17,BG$2&lt;=IF(ISNUMBER($G17),$G17,$F17+$E17-$D17)),FALSE()),2,IF(AND(BG$2&gt;=$D17,BG$2&lt;=$E17),1,"")))</f>
        <v/>
      </c>
      <c r="BH17" s="55" t="str">
        <f aca="false">IF(OR(BH$2="",$D17=""),"",IF(IF(ISNUMBER($F17),AND(BH$2&gt;=$F17,BH$2&lt;=IF(ISNUMBER($G17),$G17,$F17+$E17-$D17)),FALSE()),2,IF(AND(BH$2&gt;=$D17,BH$2&lt;=$E17),1,"")))</f>
        <v/>
      </c>
      <c r="BI17" s="55" t="str">
        <f aca="false">IF(OR(BI$2="",$D17=""),"",IF(IF(ISNUMBER($F17),AND(BI$2&gt;=$F17,BI$2&lt;=IF(ISNUMBER($G17),$G17,$F17+$E17-$D17)),FALSE()),2,IF(AND(BI$2&gt;=$D17,BI$2&lt;=$E17),1,"")))</f>
        <v/>
      </c>
      <c r="BJ17" s="55" t="str">
        <f aca="false">IF(OR(BJ$2="",$D17=""),"",IF(IF(ISNUMBER($F17),AND(BJ$2&gt;=$F17,BJ$2&lt;=IF(ISNUMBER($G17),$G17,$F17+$E17-$D17)),FALSE()),2,IF(AND(BJ$2&gt;=$D17,BJ$2&lt;=$E17),1,"")))</f>
        <v/>
      </c>
      <c r="BK17" s="55" t="str">
        <f aca="false">IF(OR(BK$2="",$D17=""),"",IF(IF(ISNUMBER($F17),AND(BK$2&gt;=$F17,BK$2&lt;=IF(ISNUMBER($G17),$G17,$F17+$E17-$D17)),FALSE()),2,IF(AND(BK$2&gt;=$D17,BK$2&lt;=$E17),1,"")))</f>
        <v/>
      </c>
      <c r="BL17" s="55" t="str">
        <f aca="false">IF(OR(BL$2="",$D17=""),"",IF(IF(ISNUMBER($F17),AND(BL$2&gt;=$F17,BL$2&lt;=IF(ISNUMBER($G17),$G17,$F17+$E17-$D17)),FALSE()),2,IF(AND(BL$2&gt;=$D17,BL$2&lt;=$E17),1,"")))</f>
        <v/>
      </c>
      <c r="BM17" s="55" t="str">
        <f aca="false">IF(OR(BM$2="",$D17=""),"",IF(IF(ISNUMBER($F17),AND(BM$2&gt;=$F17,BM$2&lt;=IF(ISNUMBER($G17),$G17,$F17+$E17-$D17)),FALSE()),2,IF(AND(BM$2&gt;=$D17,BM$2&lt;=$E17),1,"")))</f>
        <v/>
      </c>
      <c r="BN17" s="55" t="str">
        <f aca="false">IF(OR(BN$2="",$D17=""),"",IF(IF(ISNUMBER($F17),AND(BN$2&gt;=$F17,BN$2&lt;=IF(ISNUMBER($G17),$G17,$F17+$E17-$D17)),FALSE()),2,IF(AND(BN$2&gt;=$D17,BN$2&lt;=$E17),1,"")))</f>
        <v/>
      </c>
      <c r="BO17" s="55" t="str">
        <f aca="false">IF(OR(BO$2="",$D17=""),"",IF(IF(ISNUMBER($F17),AND(BO$2&gt;=$F17,BO$2&lt;=IF(ISNUMBER($G17),$G17,$F17+$E17-$D17)),FALSE()),2,IF(AND(BO$2&gt;=$D17,BO$2&lt;=$E17),1,"")))</f>
        <v/>
      </c>
      <c r="BP17" s="55" t="str">
        <f aca="false">IF(OR(BP$2="",$D17=""),"",IF(IF(ISNUMBER($F17),AND(BP$2&gt;=$F17,BP$2&lt;=IF(ISNUMBER($G17),$G17,$F17+$E17-$D17)),FALSE()),2,IF(AND(BP$2&gt;=$D17,BP$2&lt;=$E17),1,"")))</f>
        <v/>
      </c>
      <c r="BQ17" s="55" t="str">
        <f aca="false">IF(OR(BQ$2="",$D17=""),"",IF(IF(ISNUMBER($F17),AND(BQ$2&gt;=$F17,BQ$2&lt;=IF(ISNUMBER($G17),$G17,$F17+$E17-$D17)),FALSE()),2,IF(AND(BQ$2&gt;=$D17,BQ$2&lt;=$E17),1,"")))</f>
        <v/>
      </c>
      <c r="BR17" s="55" t="str">
        <f aca="false">IF(OR(BR$2="",$D17=""),"",IF(IF(ISNUMBER($F17),AND(BR$2&gt;=$F17,BR$2&lt;=IF(ISNUMBER($G17),$G17,$F17+$E17-$D17)),FALSE()),2,IF(AND(BR$2&gt;=$D17,BR$2&lt;=$E17),1,"")))</f>
        <v/>
      </c>
      <c r="BS17" s="55" t="str">
        <f aca="false">IF(OR(BS$2="",$D17=""),"",IF(IF(ISNUMBER($F17),AND(BS$2&gt;=$F17,BS$2&lt;=IF(ISNUMBER($G17),$G17,$F17+$E17-$D17)),FALSE()),2,IF(AND(BS$2&gt;=$D17,BS$2&lt;=$E17),1,"")))</f>
        <v/>
      </c>
      <c r="BT17" s="55" t="str">
        <f aca="false">IF(OR(BT$2="",$D17=""),"",IF(IF(ISNUMBER($F17),AND(BT$2&gt;=$F17,BT$2&lt;=IF(ISNUMBER($G17),$G17,$F17+$E17-$D17)),FALSE()),2,IF(AND(BT$2&gt;=$D17,BT$2&lt;=$E17),1,"")))</f>
        <v/>
      </c>
      <c r="BU17" s="55" t="str">
        <f aca="false">IF(OR(BU$2="",$D17=""),"",IF(IF(ISNUMBER($F17),AND(BU$2&gt;=$F17,BU$2&lt;=IF(ISNUMBER($G17),$G17,$F17+$E17-$D17)),FALSE()),2,IF(AND(BU$2&gt;=$D17,BU$2&lt;=$E17),1,"")))</f>
        <v/>
      </c>
      <c r="BV17" s="55" t="str">
        <f aca="false">IF(OR(BV$2="",$D17=""),"",IF(IF(ISNUMBER($F17),AND(BV$2&gt;=$F17,BV$2&lt;=IF(ISNUMBER($G17),$G17,$F17+$E17-$D17)),FALSE()),2,IF(AND(BV$2&gt;=$D17,BV$2&lt;=$E17),1,"")))</f>
        <v/>
      </c>
      <c r="BW17" s="55" t="str">
        <f aca="false">IF(OR(BW$2="",$D17=""),"",IF(IF(ISNUMBER($F17),AND(BW$2&gt;=$F17,BW$2&lt;=IF(ISNUMBER($G17),$G17,$F17+$E17-$D17)),FALSE()),2,IF(AND(BW$2&gt;=$D17,BW$2&lt;=$E17),1,"")))</f>
        <v/>
      </c>
      <c r="BX17" s="55" t="str">
        <f aca="false">IF(OR(BX$2="",$D17=""),"",IF(IF(ISNUMBER($F17),AND(BX$2&gt;=$F17,BX$2&lt;=IF(ISNUMBER($G17),$G17,$F17+$E17-$D17)),FALSE()),2,IF(AND(BX$2&gt;=$D17,BX$2&lt;=$E17),1,"")))</f>
        <v/>
      </c>
      <c r="BY17" s="55" t="str">
        <f aca="false">IF(OR(BY$2="",$D17=""),"",IF(IF(ISNUMBER($F17),AND(BY$2&gt;=$F17,BY$2&lt;=IF(ISNUMBER($G17),$G17,$F17+$E17-$D17)),FALSE()),2,IF(AND(BY$2&gt;=$D17,BY$2&lt;=$E17),1,"")))</f>
        <v/>
      </c>
      <c r="BZ17" s="55" t="str">
        <f aca="false">IF(OR(BZ$2="",$D17=""),"",IF(IF(ISNUMBER($F17),AND(BZ$2&gt;=$F17,BZ$2&lt;=IF(ISNUMBER($G17),$G17,$F17+$E17-$D17)),FALSE()),2,IF(AND(BZ$2&gt;=$D17,BZ$2&lt;=$E17),1,"")))</f>
        <v/>
      </c>
      <c r="CA17" s="55" t="str">
        <f aca="false">IF(OR(CA$2="",$D17=""),"",IF(IF(ISNUMBER($F17),AND(CA$2&gt;=$F17,CA$2&lt;=IF(ISNUMBER($G17),$G17,$F17+$E17-$D17)),FALSE()),2,IF(AND(CA$2&gt;=$D17,CA$2&lt;=$E17),1,"")))</f>
        <v/>
      </c>
      <c r="CB17" s="55" t="str">
        <f aca="false">IF(OR(CB$2="",$D17=""),"",IF(IF(ISNUMBER($F17),AND(CB$2&gt;=$F17,CB$2&lt;=IF(ISNUMBER($G17),$G17,$F17+$E17-$D17)),FALSE()),2,IF(AND(CB$2&gt;=$D17,CB$2&lt;=$E17),1,"")))</f>
        <v/>
      </c>
      <c r="CC17" s="55" t="str">
        <f aca="false">IF(OR(CC$2="",$D17=""),"",IF(IF(ISNUMBER($F17),AND(CC$2&gt;=$F17,CC$2&lt;=IF(ISNUMBER($G17),$G17,$F17+$E17-$D17)),FALSE()),2,IF(AND(CC$2&gt;=$D17,CC$2&lt;=$E17),1,"")))</f>
        <v/>
      </c>
      <c r="CD17" s="55" t="str">
        <f aca="false">IF(OR(CD$2="",$D17=""),"",IF(IF(ISNUMBER($F17),AND(CD$2&gt;=$F17,CD$2&lt;=IF(ISNUMBER($G17),$G17,$F17+$E17-$D17)),FALSE()),2,IF(AND(CD$2&gt;=$D17,CD$2&lt;=$E17),1,"")))</f>
        <v/>
      </c>
      <c r="CE17" s="55" t="str">
        <f aca="false">IF(OR(CE$2="",$D17=""),"",IF(IF(ISNUMBER($F17),AND(CE$2&gt;=$F17,CE$2&lt;=IF(ISNUMBER($G17),$G17,$F17+$E17-$D17)),FALSE()),2,IF(AND(CE$2&gt;=$D17,CE$2&lt;=$E17),1,"")))</f>
        <v/>
      </c>
      <c r="CF17" s="55" t="str">
        <f aca="false">IF(OR(CF$2="",$D17=""),"",IF(IF(ISNUMBER($F17),AND(CF$2&gt;=$F17,CF$2&lt;=IF(ISNUMBER($G17),$G17,$F17+$E17-$D17)),FALSE()),2,IF(AND(CF$2&gt;=$D17,CF$2&lt;=$E17),1,"")))</f>
        <v/>
      </c>
      <c r="CG17" s="55" t="str">
        <f aca="false">IF(OR(CG$2="",$D17=""),"",IF(IF(ISNUMBER($F17),AND(CG$2&gt;=$F17,CG$2&lt;=IF(ISNUMBER($G17),$G17,$F17+$E17-$D17)),FALSE()),2,IF(AND(CG$2&gt;=$D17,CG$2&lt;=$E17),1,"")))</f>
        <v/>
      </c>
      <c r="CH17" s="55" t="str">
        <f aca="false">IF(OR(CH$2="",$D17=""),"",IF(IF(ISNUMBER($F17),AND(CH$2&gt;=$F17,CH$2&lt;=IF(ISNUMBER($G17),$G17,$F17+$E17-$D17)),FALSE()),2,IF(AND(CH$2&gt;=$D17,CH$2&lt;=$E17),1,"")))</f>
        <v/>
      </c>
      <c r="CI17" s="55" t="str">
        <f aca="false">IF(OR(CI$2="",$D17=""),"",IF(IF(ISNUMBER($F17),AND(CI$2&gt;=$F17,CI$2&lt;=IF(ISNUMBER($G17),$G17,$F17+$E17-$D17)),FALSE()),2,IF(AND(CI$2&gt;=$D17,CI$2&lt;=$E17),1,"")))</f>
        <v/>
      </c>
      <c r="CJ17" s="55" t="str">
        <f aca="false">IF(OR(CJ$2="",$D17=""),"",IF(IF(ISNUMBER($F17),AND(CJ$2&gt;=$F17,CJ$2&lt;=IF(ISNUMBER($G17),$G17,$F17+$E17-$D17)),FALSE()),2,IF(AND(CJ$2&gt;=$D17,CJ$2&lt;=$E17),1,"")))</f>
        <v/>
      </c>
      <c r="CK17" s="55" t="str">
        <f aca="false">IF(OR(CK$2="",$D17=""),"",IF(IF(ISNUMBER($F17),AND(CK$2&gt;=$F17,CK$2&lt;=IF(ISNUMBER($G17),$G17,$F17+$E17-$D17)),FALSE()),2,IF(AND(CK$2&gt;=$D17,CK$2&lt;=$E17),1,"")))</f>
        <v/>
      </c>
      <c r="CL17" s="55" t="str">
        <f aca="false">IF(OR(CL$2="",$D17=""),"",IF(IF(ISNUMBER($F17),AND(CL$2&gt;=$F17,CL$2&lt;=IF(ISNUMBER($G17),$G17,$F17+$E17-$D17)),FALSE()),2,IF(AND(CL$2&gt;=$D17,CL$2&lt;=$E17),1,"")))</f>
        <v/>
      </c>
      <c r="CM17" s="55" t="str">
        <f aca="false">IF(OR(CM$2="",$D17=""),"",IF(IF(ISNUMBER($F17),AND(CM$2&gt;=$F17,CM$2&lt;=IF(ISNUMBER($G17),$G17,$F17+$E17-$D17)),FALSE()),2,IF(AND(CM$2&gt;=$D17,CM$2&lt;=$E17),1,"")))</f>
        <v/>
      </c>
      <c r="CN17" s="55" t="str">
        <f aca="false">IF(OR(CN$2="",$D17=""),"",IF(IF(ISNUMBER($F17),AND(CN$2&gt;=$F17,CN$2&lt;=IF(ISNUMBER($G17),$G17,$F17+$E17-$D17)),FALSE()),2,IF(AND(CN$2&gt;=$D17,CN$2&lt;=$E17),1,"")))</f>
        <v/>
      </c>
      <c r="CO17" s="55" t="str">
        <f aca="false">IF(OR(CO$2="",$D17=""),"",IF(IF(ISNUMBER($F17),AND(CO$2&gt;=$F17,CO$2&lt;=IF(ISNUMBER($G17),$G17,$F17+$E17-$D17)),FALSE()),2,IF(AND(CO$2&gt;=$D17,CO$2&lt;=$E17),1,"")))</f>
        <v/>
      </c>
      <c r="CP17" s="55" t="str">
        <f aca="false">IF(OR(CP$2="",$D17=""),"",IF(IF(ISNUMBER($F17),AND(CP$2&gt;=$F17,CP$2&lt;=IF(ISNUMBER($G17),$G17,$F17+$E17-$D17)),FALSE()),2,IF(AND(CP$2&gt;=$D17,CP$2&lt;=$E17),1,"")))</f>
        <v/>
      </c>
      <c r="CQ17" s="55" t="str">
        <f aca="false">IF(OR(CQ$2="",$D17=""),"",IF(IF(ISNUMBER($F17),AND(CQ$2&gt;=$F17,CQ$2&lt;=IF(ISNUMBER($G17),$G17,$F17+$E17-$D17)),FALSE()),2,IF(AND(CQ$2&gt;=$D17,CQ$2&lt;=$E17),1,"")))</f>
        <v/>
      </c>
      <c r="CR17" s="55" t="str">
        <f aca="false">IF(OR(CR$2="",$D17=""),"",IF(IF(ISNUMBER($F17),AND(CR$2&gt;=$F17,CR$2&lt;=IF(ISNUMBER($G17),$G17,$F17+$E17-$D17)),FALSE()),2,IF(AND(CR$2&gt;=$D17,CR$2&lt;=$E17),1,"")))</f>
        <v/>
      </c>
      <c r="CS17" s="55" t="str">
        <f aca="false">IF(OR(CS$2="",$D17=""),"",IF(IF(ISNUMBER($F17),AND(CS$2&gt;=$F17,CS$2&lt;=IF(ISNUMBER($G17),$G17,$F17+$E17-$D17)),FALSE()),2,IF(AND(CS$2&gt;=$D17,CS$2&lt;=$E17),1,"")))</f>
        <v/>
      </c>
      <c r="CT17" s="55" t="str">
        <f aca="false">IF(OR(CT$2="",$D17=""),"",IF(IF(ISNUMBER($F17),AND(CT$2&gt;=$F17,CT$2&lt;=IF(ISNUMBER($G17),$G17,$F17+$E17-$D17)),FALSE()),2,IF(AND(CT$2&gt;=$D17,CT$2&lt;=$E17),1,"")))</f>
        <v/>
      </c>
      <c r="CU17" s="55" t="str">
        <f aca="false">IF(OR(CU$2="",$D17=""),"",IF(IF(ISNUMBER($F17),AND(CU$2&gt;=$F17,CU$2&lt;=IF(ISNUMBER($G17),$G17,$F17+$E17-$D17)),FALSE()),2,IF(AND(CU$2&gt;=$D17,CU$2&lt;=$E17),1,"")))</f>
        <v/>
      </c>
      <c r="CV17" s="55" t="str">
        <f aca="false">IF(OR(CV$2="",$D17=""),"",IF(IF(ISNUMBER($F17),AND(CV$2&gt;=$F17,CV$2&lt;=IF(ISNUMBER($G17),$G17,$F17+$E17-$D17)),FALSE()),2,IF(AND(CV$2&gt;=$D17,CV$2&lt;=$E17),1,"")))</f>
        <v/>
      </c>
      <c r="CW17" s="55" t="str">
        <f aca="false">IF(OR(CW$2="",$D17=""),"",IF(IF(ISNUMBER($F17),AND(CW$2&gt;=$F17,CW$2&lt;=IF(ISNUMBER($G17),$G17,$F17+$E17-$D17)),FALSE()),2,IF(AND(CW$2&gt;=$D17,CW$2&lt;=$E17),1,"")))</f>
        <v/>
      </c>
      <c r="CX17" s="55" t="str">
        <f aca="false">IF(OR(CX$2="",$D17=""),"",IF(IF(ISNUMBER($F17),AND(CX$2&gt;=$F17,CX$2&lt;=IF(ISNUMBER($G17),$G17,$F17+$E17-$D17)),FALSE()),2,IF(AND(CX$2&gt;=$D17,CX$2&lt;=$E17),1,"")))</f>
        <v/>
      </c>
      <c r="CY17" s="55" t="str">
        <f aca="false">IF(OR(CY$2="",$D17=""),"",IF(IF(ISNUMBER($F17),AND(CY$2&gt;=$F17,CY$2&lt;=IF(ISNUMBER($G17),$G17,$F17+$E17-$D17)),FALSE()),2,IF(AND(CY$2&gt;=$D17,CY$2&lt;=$E17),1,"")))</f>
        <v/>
      </c>
      <c r="CZ17" s="55" t="str">
        <f aca="false">IF(OR(CZ$2="",$D17=""),"",IF(IF(ISNUMBER($F17),AND(CZ$2&gt;=$F17,CZ$2&lt;=IF(ISNUMBER($G17),$G17,$F17+$E17-$D17)),FALSE()),2,IF(AND(CZ$2&gt;=$D17,CZ$2&lt;=$E17),1,"")))</f>
        <v/>
      </c>
      <c r="DA17" s="55" t="str">
        <f aca="false">IF(OR(DA$2="",$D17=""),"",IF(IF(ISNUMBER($F17),AND(DA$2&gt;=$F17,DA$2&lt;=IF(ISNUMBER($G17),$G17,$F17+$E17-$D17)),FALSE()),2,IF(AND(DA$2&gt;=$D17,DA$2&lt;=$E17),1,"")))</f>
        <v/>
      </c>
      <c r="DB17" s="55" t="str">
        <f aca="false">IF(OR(DB$2="",$D17=""),"",IF(IF(ISNUMBER($F17),AND(DB$2&gt;=$F17,DB$2&lt;=IF(ISNUMBER($G17),$G17,$F17+$E17-$D17)),FALSE()),2,IF(AND(DB$2&gt;=$D17,DB$2&lt;=$E17),1,"")))</f>
        <v/>
      </c>
      <c r="DC17" s="55" t="str">
        <f aca="false">IF(OR(DC$2="",$D17=""),"",IF(IF(ISNUMBER($F17),AND(DC$2&gt;=$F17,DC$2&lt;=IF(ISNUMBER($G17),$G17,$F17+$E17-$D17)),FALSE()),2,IF(AND(DC$2&gt;=$D17,DC$2&lt;=$E17),1,"")))</f>
        <v/>
      </c>
      <c r="DD17" s="55" t="str">
        <f aca="false">IF(OR(DD$2="",$D17=""),"",IF(IF(ISNUMBER($F17),AND(DD$2&gt;=$F17,DD$2&lt;=IF(ISNUMBER($G17),$G17,$F17+$E17-$D17)),FALSE()),2,IF(AND(DD$2&gt;=$D17,DD$2&lt;=$E17),1,"")))</f>
        <v/>
      </c>
      <c r="DE17" s="55" t="str">
        <f aca="false">IF(OR(DE$2="",$D17=""),"",IF(IF(ISNUMBER($F17),AND(DE$2&gt;=$F17,DE$2&lt;=IF(ISNUMBER($G17),$G17,$F17+$E17-$D17)),FALSE()),2,IF(AND(DE$2&gt;=$D17,DE$2&lt;=$E17),1,"")))</f>
        <v/>
      </c>
      <c r="DF17" s="55" t="str">
        <f aca="false">IF(OR(DF$2="",$D17=""),"",IF(IF(ISNUMBER($F17),AND(DF$2&gt;=$F17,DF$2&lt;=IF(ISNUMBER($G17),$G17,$F17+$E17-$D17)),FALSE()),2,IF(AND(DF$2&gt;=$D17,DF$2&lt;=$E17),1,"")))</f>
        <v/>
      </c>
      <c r="DG17" s="55" t="str">
        <f aca="false">IF(OR(DG$2="",$D17=""),"",IF(IF(ISNUMBER($F17),AND(DG$2&gt;=$F17,DG$2&lt;=IF(ISNUMBER($G17),$G17,$F17+$E17-$D17)),FALSE()),2,IF(AND(DG$2&gt;=$D17,DG$2&lt;=$E17),1,"")))</f>
        <v/>
      </c>
      <c r="DH17" s="55" t="str">
        <f aca="false">IF(OR(DH$2="",$D17=""),"",IF(IF(ISNUMBER($F17),AND(DH$2&gt;=$F17,DH$2&lt;=IF(ISNUMBER($G17),$G17,$F17+$E17-$D17)),FALSE()),2,IF(AND(DH$2&gt;=$D17,DH$2&lt;=$E17),1,"")))</f>
        <v/>
      </c>
      <c r="DI17" s="55" t="str">
        <f aca="false">IF(OR(DI$2="",$D17=""),"",IF(IF(ISNUMBER($F17),AND(DI$2&gt;=$F17,DI$2&lt;=IF(ISNUMBER($G17),$G17,$F17+$E17-$D17)),FALSE()),2,IF(AND(DI$2&gt;=$D17,DI$2&lt;=$E17),1,"")))</f>
        <v/>
      </c>
      <c r="DJ17" s="55" t="str">
        <f aca="false">IF(OR(DJ$2="",$D17=""),"",IF(IF(ISNUMBER($F17),AND(DJ$2&gt;=$F17,DJ$2&lt;=IF(ISNUMBER($G17),$G17,$F17+$E17-$D17)),FALSE()),2,IF(AND(DJ$2&gt;=$D17,DJ$2&lt;=$E17),1,"")))</f>
        <v/>
      </c>
      <c r="DK17" s="55" t="str">
        <f aca="false">IF(OR(DK$2="",$D17=""),"",IF(IF(ISNUMBER($F17),AND(DK$2&gt;=$F17,DK$2&lt;=IF(ISNUMBER($G17),$G17,$F17+$E17-$D17)),FALSE()),2,IF(AND(DK$2&gt;=$D17,DK$2&lt;=$E17),1,"")))</f>
        <v/>
      </c>
      <c r="DL17" s="55" t="str">
        <f aca="false">IF(OR(DL$2="",$D17=""),"",IF(IF(ISNUMBER($F17),AND(DL$2&gt;=$F17,DL$2&lt;=IF(ISNUMBER($G17),$G17,$F17+$E17-$D17)),FALSE()),2,IF(AND(DL$2&gt;=$D17,DL$2&lt;=$E17),1,"")))</f>
        <v/>
      </c>
      <c r="DM17" s="55" t="str">
        <f aca="false">IF(OR(DM$2="",$D17=""),"",IF(IF(ISNUMBER($F17),AND(DM$2&gt;=$F17,DM$2&lt;=IF(ISNUMBER($G17),$G17,$F17+$E17-$D17)),FALSE()),2,IF(AND(DM$2&gt;=$D17,DM$2&lt;=$E17),1,"")))</f>
        <v/>
      </c>
      <c r="DN17" s="55" t="str">
        <f aca="false">IF(OR(DN$2="",$D17=""),"",IF(IF(ISNUMBER($F17),AND(DN$2&gt;=$F17,DN$2&lt;=IF(ISNUMBER($G17),$G17,$F17+$E17-$D17)),FALSE()),2,IF(AND(DN$2&gt;=$D17,DN$2&lt;=$E17),1,"")))</f>
        <v/>
      </c>
      <c r="DO17" s="55" t="str">
        <f aca="false">IF(OR(DO$2="",$D17=""),"",IF(IF(ISNUMBER($F17),AND(DO$2&gt;=$F17,DO$2&lt;=IF(ISNUMBER($G17),$G17,$F17+$E17-$D17)),FALSE()),2,IF(AND(DO$2&gt;=$D17,DO$2&lt;=$E17),1,"")))</f>
        <v/>
      </c>
      <c r="DP17" s="55" t="str">
        <f aca="false">IF(OR(DP$2="",$D17=""),"",IF(IF(ISNUMBER($F17),AND(DP$2&gt;=$F17,DP$2&lt;=IF(ISNUMBER($G17),$G17,$F17+$E17-$D17)),FALSE()),2,IF(AND(DP$2&gt;=$D17,DP$2&lt;=$E17),1,"")))</f>
        <v/>
      </c>
      <c r="DQ17" s="55" t="str">
        <f aca="false">IF(OR(DQ$2="",$D17=""),"",IF(IF(ISNUMBER($F17),AND(DQ$2&gt;=$F17,DQ$2&lt;=IF(ISNUMBER($G17),$G17,$F17+$E17-$D17)),FALSE()),2,IF(AND(DQ$2&gt;=$D17,DQ$2&lt;=$E17),1,"")))</f>
        <v/>
      </c>
      <c r="DR17" s="55" t="str">
        <f aca="false">IF(OR(DR$2="",$D17=""),"",IF(IF(ISNUMBER($F17),AND(DR$2&gt;=$F17,DR$2&lt;=IF(ISNUMBER($G17),$G17,$F17+$E17-$D17)),FALSE()),2,IF(AND(DR$2&gt;=$D17,DR$2&lt;=$E17),1,"")))</f>
        <v/>
      </c>
      <c r="DS17" s="55" t="str">
        <f aca="false">IF(OR(DS$2="",$D17=""),"",IF(IF(ISNUMBER($F17),AND(DS$2&gt;=$F17,DS$2&lt;=IF(ISNUMBER($G17),$G17,$F17+$E17-$D17)),FALSE()),2,IF(AND(DS$2&gt;=$D17,DS$2&lt;=$E17),1,"")))</f>
        <v/>
      </c>
      <c r="DT17" s="55" t="str">
        <f aca="false">IF(OR(DT$2="",$D17=""),"",IF(IF(ISNUMBER($F17),AND(DT$2&gt;=$F17,DT$2&lt;=IF(ISNUMBER($G17),$G17,$F17+$E17-$D17)),FALSE()),2,IF(AND(DT$2&gt;=$D17,DT$2&lt;=$E17),1,"")))</f>
        <v/>
      </c>
      <c r="DU17" s="55" t="str">
        <f aca="false">IF(OR(DU$2="",$D17=""),"",IF(IF(ISNUMBER($F17),AND(DU$2&gt;=$F17,DU$2&lt;=IF(ISNUMBER($G17),$G17,$F17+$E17-$D17)),FALSE()),2,IF(AND(DU$2&gt;=$D17,DU$2&lt;=$E17),1,"")))</f>
        <v/>
      </c>
      <c r="DV17" s="55" t="str">
        <f aca="false">IF(OR(DV$2="",$D17=""),"",IF(IF(ISNUMBER($F17),AND(DV$2&gt;=$F17,DV$2&lt;=IF(ISNUMBER($G17),$G17,$F17+$E17-$D17)),FALSE()),2,IF(AND(DV$2&gt;=$D17,DV$2&lt;=$E17),1,"")))</f>
        <v/>
      </c>
      <c r="DW17" s="55" t="n">
        <f aca="false">IF(OR(DW$2="",$D17=""),"",IF(IF(ISNUMBER($F17),AND(DW$2&gt;=$F17,DW$2&lt;=IF(ISNUMBER($G17),$G17,$F17+$E17-$D17)),FALSE()),2,IF(AND(DW$2&gt;=$D17,DW$2&lt;=$E17),1,"")))</f>
        <v>1</v>
      </c>
      <c r="DX17" s="55" t="n">
        <f aca="false">IF(OR(DX$2="",$D17=""),"",IF(IF(ISNUMBER($F17),AND(DX$2&gt;=$F17,DX$2&lt;=IF(ISNUMBER($G17),$G17,$F17+$E17-$D17)),FALSE()),2,IF(AND(DX$2&gt;=$D17,DX$2&lt;=$E17),1,"")))</f>
        <v>1</v>
      </c>
      <c r="DY17" s="55" t="n">
        <f aca="false">IF(OR(DY$2="",$D17=""),"",IF(IF(ISNUMBER($F17),AND(DY$2&gt;=$F17,DY$2&lt;=IF(ISNUMBER($G17),$G17,$F17+$E17-$D17)),FALSE()),2,IF(AND(DY$2&gt;=$D17,DY$2&lt;=$E17),1,"")))</f>
        <v>1</v>
      </c>
      <c r="DZ17" s="55" t="n">
        <f aca="false">IF(OR(DZ$2="",$D17=""),"",IF(IF(ISNUMBER($F17),AND(DZ$2&gt;=$F17,DZ$2&lt;=IF(ISNUMBER($G17),$G17,$F17+$E17-$D17)),FALSE()),2,IF(AND(DZ$2&gt;=$D17,DZ$2&lt;=$E17),1,"")))</f>
        <v>1</v>
      </c>
      <c r="EA17" s="55" t="n">
        <f aca="false">IF(OR(EA$2="",$D17=""),"",IF(IF(ISNUMBER($F17),AND(EA$2&gt;=$F17,EA$2&lt;=IF(ISNUMBER($G17),$G17,$F17+$E17-$D17)),FALSE()),2,IF(AND(EA$2&gt;=$D17,EA$2&lt;=$E17),1,"")))</f>
        <v>1</v>
      </c>
      <c r="EB17" s="55" t="n">
        <f aca="false">IF(OR(EB$2="",$D17=""),"",IF(IF(ISNUMBER($F17),AND(EB$2&gt;=$F17,EB$2&lt;=IF(ISNUMBER($G17),$G17,$F17+$E17-$D17)),FALSE()),2,IF(AND(EB$2&gt;=$D17,EB$2&lt;=$E17),1,"")))</f>
        <v>1</v>
      </c>
      <c r="EC17" s="55" t="n">
        <f aca="false">IF(OR(EC$2="",$D17=""),"",IF(IF(ISNUMBER($F17),AND(EC$2&gt;=$F17,EC$2&lt;=IF(ISNUMBER($G17),$G17,$F17+$E17-$D17)),FALSE()),2,IF(AND(EC$2&gt;=$D17,EC$2&lt;=$E17),1,"")))</f>
        <v>1</v>
      </c>
      <c r="ED17" s="55" t="n">
        <f aca="false">IF(OR(ED$2="",$D17=""),"",IF(IF(ISNUMBER($F17),AND(ED$2&gt;=$F17,ED$2&lt;=IF(ISNUMBER($G17),$G17,$F17+$E17-$D17)),FALSE()),2,IF(AND(ED$2&gt;=$D17,ED$2&lt;=$E17),1,"")))</f>
        <v>1</v>
      </c>
      <c r="EE17" s="55" t="str">
        <f aca="false">IF(OR(EE$2="",$D17=""),"",IF(IF(ISNUMBER($F17),AND(EE$2&gt;=$F17,EE$2&lt;=IF(ISNUMBER($G17),$G17,$F17+$E17-$D17)),FALSE()),2,IF(AND(EE$2&gt;=$D17,EE$2&lt;=$E17),1,"")))</f>
        <v/>
      </c>
      <c r="EF17" s="55" t="str">
        <f aca="false">IF(OR(EF$2="",$D17=""),"",IF(IF(ISNUMBER($F17),AND(EF$2&gt;=$F17,EF$2&lt;=IF(ISNUMBER($G17),$G17,$F17+$E17-$D17)),FALSE()),2,IF(AND(EF$2&gt;=$D17,EF$2&lt;=$E17),1,"")))</f>
        <v/>
      </c>
      <c r="EG17" s="55" t="str">
        <f aca="false">IF(OR(EG$2="",$D17=""),"",IF(IF(ISNUMBER($F17),AND(EG$2&gt;=$F17,EG$2&lt;=IF(ISNUMBER($G17),$G17,$F17+$E17-$D17)),FALSE()),2,IF(AND(EG$2&gt;=$D17,EG$2&lt;=$E17),1,"")))</f>
        <v/>
      </c>
      <c r="EH17" s="55" t="str">
        <f aca="false">IF(OR(EH$2="",$D17=""),"",IF(IF(ISNUMBER($F17),AND(EH$2&gt;=$F17,EH$2&lt;=IF(ISNUMBER($G17),$G17,$F17+$E17-$D17)),FALSE()),2,IF(AND(EH$2&gt;=$D17,EH$2&lt;=$E17),1,"")))</f>
        <v/>
      </c>
      <c r="EI17" s="55" t="str">
        <f aca="false">IF(OR(EI$2="",$D17=""),"",IF(IF(ISNUMBER($F17),AND(EI$2&gt;=$F17,EI$2&lt;=IF(ISNUMBER($G17),$G17,$F17+$E17-$D17)),FALSE()),2,IF(AND(EI$2&gt;=$D17,EI$2&lt;=$E17),1,"")))</f>
        <v/>
      </c>
      <c r="EJ17" s="55" t="str">
        <f aca="false">IF(OR(EJ$2="",$D17=""),"",IF(IF(ISNUMBER($F17),AND(EJ$2&gt;=$F17,EJ$2&lt;=IF(ISNUMBER($G17),$G17,$F17+$E17-$D17)),FALSE()),2,IF(AND(EJ$2&gt;=$D17,EJ$2&lt;=$E17),1,"")))</f>
        <v/>
      </c>
      <c r="EK17" s="55" t="str">
        <f aca="false">IF(OR(EK$2="",$D17=""),"",IF(IF(ISNUMBER($F17),AND(EK$2&gt;=$F17,EK$2&lt;=IF(ISNUMBER($G17),$G17,$F17+$E17-$D17)),FALSE()),2,IF(AND(EK$2&gt;=$D17,EK$2&lt;=$E17),1,"")))</f>
        <v/>
      </c>
      <c r="EL17" s="55" t="str">
        <f aca="false">IF(OR(EL$2="",$D17=""),"",IF(IF(ISNUMBER($F17),AND(EL$2&gt;=$F17,EL$2&lt;=IF(ISNUMBER($G17),$G17,$F17+$E17-$D17)),FALSE()),2,IF(AND(EL$2&gt;=$D17,EL$2&lt;=$E17),1,"")))</f>
        <v/>
      </c>
      <c r="EM17" s="55" t="str">
        <f aca="false">IF(OR(EM$2="",$D17=""),"",IF(IF(ISNUMBER($F17),AND(EM$2&gt;=$F17,EM$2&lt;=IF(ISNUMBER($G17),$G17,$F17+$E17-$D17)),FALSE()),2,IF(AND(EM$2&gt;=$D17,EM$2&lt;=$E17),1,"")))</f>
        <v/>
      </c>
      <c r="EN17" s="55" t="str">
        <f aca="false">IF(OR(EN$2="",$D17=""),"",IF(IF(ISNUMBER($F17),AND(EN$2&gt;=$F17,EN$2&lt;=IF(ISNUMBER($G17),$G17,$F17+$E17-$D17)),FALSE()),2,IF(AND(EN$2&gt;=$D17,EN$2&lt;=$E17),1,"")))</f>
        <v/>
      </c>
      <c r="EO17" s="55" t="str">
        <f aca="false">IF(OR(EO$2="",$D17=""),"",IF(IF(ISNUMBER($F17),AND(EO$2&gt;=$F17,EO$2&lt;=IF(ISNUMBER($G17),$G17,$F17+$E17-$D17)),FALSE()),2,IF(AND(EO$2&gt;=$D17,EO$2&lt;=$E17),1,"")))</f>
        <v/>
      </c>
      <c r="EP17" s="55" t="str">
        <f aca="false">IF(OR(EP$2="",$D17=""),"",IF(IF(ISNUMBER($F17),AND(EP$2&gt;=$F17,EP$2&lt;=IF(ISNUMBER($G17),$G17,$F17+$E17-$D17)),FALSE()),2,IF(AND(EP$2&gt;=$D17,EP$2&lt;=$E17),1,"")))</f>
        <v/>
      </c>
      <c r="EQ17" s="55" t="str">
        <f aca="false">IF(OR(EQ$2="",$D17=""),"",IF(IF(ISNUMBER($F17),AND(EQ$2&gt;=$F17,EQ$2&lt;=IF(ISNUMBER($G17),$G17,$F17+$E17-$D17)),FALSE()),2,IF(AND(EQ$2&gt;=$D17,EQ$2&lt;=$E17),1,"")))</f>
        <v/>
      </c>
      <c r="ER17" s="55" t="str">
        <f aca="false">IF(OR(ER$2="",$D17=""),"",IF(IF(ISNUMBER($F17),AND(ER$2&gt;=$F17,ER$2&lt;=IF(ISNUMBER($G17),$G17,$F17+$E17-$D17)),FALSE()),2,IF(AND(ER$2&gt;=$D17,ER$2&lt;=$E17),1,"")))</f>
        <v/>
      </c>
      <c r="ES17" s="55" t="str">
        <f aca="false">IF(OR(ES$2="",$D17=""),"",IF(IF(ISNUMBER($F17),AND(ES$2&gt;=$F17,ES$2&lt;=IF(ISNUMBER($G17),$G17,$F17+$E17-$D17)),FALSE()),2,IF(AND(ES$2&gt;=$D17,ES$2&lt;=$E17),1,"")))</f>
        <v/>
      </c>
      <c r="ET17" s="55" t="str">
        <f aca="false">IF(OR(ET$2="",$D17=""),"",IF(IF(ISNUMBER($F17),AND(ET$2&gt;=$F17,ET$2&lt;=IF(ISNUMBER($G17),$G17,$F17+$E17-$D17)),FALSE()),2,IF(AND(ET$2&gt;=$D17,ET$2&lt;=$E17),1,"")))</f>
        <v/>
      </c>
      <c r="EU17" s="55" t="str">
        <f aca="false">IF(OR(EU$2="",$D17=""),"",IF(IF(ISNUMBER($F17),AND(EU$2&gt;=$F17,EU$2&lt;=IF(ISNUMBER($G17),$G17,$F17+$E17-$D17)),FALSE()),2,IF(AND(EU$2&gt;=$D17,EU$2&lt;=$E17),1,"")))</f>
        <v/>
      </c>
      <c r="EV17" s="55" t="str">
        <f aca="false">IF(OR(EV$2="",$D17=""),"",IF(IF(ISNUMBER($F17),AND(EV$2&gt;=$F17,EV$2&lt;=IF(ISNUMBER($G17),$G17,$F17+$E17-$D17)),FALSE()),2,IF(AND(EV$2&gt;=$D17,EV$2&lt;=$E17),1,"")))</f>
        <v/>
      </c>
      <c r="EW17" s="55" t="str">
        <f aca="false">IF(OR(EW$2="",$D17=""),"",IF(IF(ISNUMBER($F17),AND(EW$2&gt;=$F17,EW$2&lt;=IF(ISNUMBER($G17),$G17,$F17+$E17-$D17)),FALSE()),2,IF(AND(EW$2&gt;=$D17,EW$2&lt;=$E17),1,"")))</f>
        <v/>
      </c>
      <c r="EX17" s="55" t="str">
        <f aca="false">IF(OR(EX$2="",$D17=""),"",IF(IF(ISNUMBER($F17),AND(EX$2&gt;=$F17,EX$2&lt;=IF(ISNUMBER($G17),$G17,$F17+$E17-$D17)),FALSE()),2,IF(AND(EX$2&gt;=$D17,EX$2&lt;=$E17),1,"")))</f>
        <v/>
      </c>
      <c r="EY17" s="55" t="str">
        <f aca="false">IF(OR(EY$2="",$D17=""),"",IF(IF(ISNUMBER($F17),AND(EY$2&gt;=$F17,EY$2&lt;=IF(ISNUMBER($G17),$G17,$F17+$E17-$D17)),FALSE()),2,IF(AND(EY$2&gt;=$D17,EY$2&lt;=$E17),1,"")))</f>
        <v/>
      </c>
      <c r="EZ17" s="55" t="str">
        <f aca="false">IF(OR(EZ$2="",$D17=""),"",IF(IF(ISNUMBER($F17),AND(EZ$2&gt;=$F17,EZ$2&lt;=IF(ISNUMBER($G17),$G17,$F17+$E17-$D17)),FALSE()),2,IF(AND(EZ$2&gt;=$D17,EZ$2&lt;=$E17),1,"")))</f>
        <v/>
      </c>
      <c r="FA17" s="55" t="str">
        <f aca="false">IF(OR(FA$2="",$D17=""),"",IF(IF(ISNUMBER($F17),AND(FA$2&gt;=$F17,FA$2&lt;=IF(ISNUMBER($G17),$G17,$F17+$E17-$D17)),FALSE()),2,IF(AND(FA$2&gt;=$D17,FA$2&lt;=$E17),1,"")))</f>
        <v/>
      </c>
      <c r="FB17" s="55" t="str">
        <f aca="false">IF(OR(FB$2="",$D17=""),"",IF(IF(ISNUMBER($F17),AND(FB$2&gt;=$F17,FB$2&lt;=IF(ISNUMBER($G17),$G17,$F17+$E17-$D17)),FALSE()),2,IF(AND(FB$2&gt;=$D17,FB$2&lt;=$E17),1,"")))</f>
        <v/>
      </c>
      <c r="FC17" s="55" t="str">
        <f aca="false">IF(OR(FC$2="",$D17=""),"",IF(IF(ISNUMBER($F17),AND(FC$2&gt;=$F17,FC$2&lt;=IF(ISNUMBER($G17),$G17,$F17+$E17-$D17)),FALSE()),2,IF(AND(FC$2&gt;=$D17,FC$2&lt;=$E17),1,"")))</f>
        <v/>
      </c>
      <c r="FD17" s="55" t="str">
        <f aca="false">IF(OR(FD$2="",$D17=""),"",IF(IF(ISNUMBER($F17),AND(FD$2&gt;=$F17,FD$2&lt;=IF(ISNUMBER($G17),$G17,$F17+$E17-$D17)),FALSE()),2,IF(AND(FD$2&gt;=$D17,FD$2&lt;=$E17),1,"")))</f>
        <v/>
      </c>
      <c r="FE17" s="55" t="str">
        <f aca="false">IF(OR(FE$2="",$D17=""),"",IF(IF(ISNUMBER($F17),AND(FE$2&gt;=$F17,FE$2&lt;=IF(ISNUMBER($G17),$G17,$F17+$E17-$D17)),FALSE()),2,IF(AND(FE$2&gt;=$D17,FE$2&lt;=$E17),1,"")))</f>
        <v/>
      </c>
      <c r="FF17" s="55" t="str">
        <f aca="false">IF(OR(FF$2="",$D17=""),"",IF(IF(ISNUMBER($F17),AND(FF$2&gt;=$F17,FF$2&lt;=IF(ISNUMBER($G17),$G17,$F17+$E17-$D17)),FALSE()),2,IF(AND(FF$2&gt;=$D17,FF$2&lt;=$E17),1,"")))</f>
        <v/>
      </c>
      <c r="FG17" s="55" t="str">
        <f aca="false">IF(OR(FG$2="",$D17=""),"",IF(IF(ISNUMBER($F17),AND(FG$2&gt;=$F17,FG$2&lt;=IF(ISNUMBER($G17),$G17,$F17+$E17-$D17)),FALSE()),2,IF(AND(FG$2&gt;=$D17,FG$2&lt;=$E17),1,"")))</f>
        <v/>
      </c>
      <c r="FH17" s="55" t="str">
        <f aca="false">IF(OR(FH$2="",$D17=""),"",IF(IF(ISNUMBER($F17),AND(FH$2&gt;=$F17,FH$2&lt;=IF(ISNUMBER($G17),$G17,$F17+$E17-$D17)),FALSE()),2,IF(AND(FH$2&gt;=$D17,FH$2&lt;=$E17),1,"")))</f>
        <v/>
      </c>
      <c r="FI17" s="55" t="str">
        <f aca="false">IF(OR(FI$2="",$D17=""),"",IF(IF(ISNUMBER($F17),AND(FI$2&gt;=$F17,FI$2&lt;=IF(ISNUMBER($G17),$G17,$F17+$E17-$D17)),FALSE()),2,IF(AND(FI$2&gt;=$D17,FI$2&lt;=$E17),1,"")))</f>
        <v/>
      </c>
      <c r="FJ17" s="55" t="str">
        <f aca="false">IF(OR(FJ$2="",$D17=""),"",IF(IF(ISNUMBER($F17),AND(FJ$2&gt;=$F17,FJ$2&lt;=IF(ISNUMBER($G17),$G17,$F17+$E17-$D17)),FALSE()),2,IF(AND(FJ$2&gt;=$D17,FJ$2&lt;=$E17),1,"")))</f>
        <v/>
      </c>
      <c r="FK17" s="55" t="str">
        <f aca="false">IF(OR(FK$2="",$D17=""),"",IF(IF(ISNUMBER($F17),AND(FK$2&gt;=$F17,FK$2&lt;=IF(ISNUMBER($G17),$G17,$F17+$E17-$D17)),FALSE()),2,IF(AND(FK$2&gt;=$D17,FK$2&lt;=$E17),1,"")))</f>
        <v/>
      </c>
      <c r="FL17" s="55" t="str">
        <f aca="false">IF(OR(FL$2="",$D17=""),"",IF(IF(ISNUMBER($F17),AND(FL$2&gt;=$F17,FL$2&lt;=IF(ISNUMBER($G17),$G17,$F17+$E17-$D17)),FALSE()),2,IF(AND(FL$2&gt;=$D17,FL$2&lt;=$E17),1,"")))</f>
        <v/>
      </c>
      <c r="FM17" s="55" t="str">
        <f aca="false">IF(OR(FM$2="",$D17=""),"",IF(IF(ISNUMBER($F17),AND(FM$2&gt;=$F17,FM$2&lt;=IF(ISNUMBER($G17),$G17,$F17+$E17-$D17)),FALSE()),2,IF(AND(FM$2&gt;=$D17,FM$2&lt;=$E17),1,"")))</f>
        <v/>
      </c>
      <c r="FN17" s="55" t="str">
        <f aca="false">IF(OR(FN$2="",$D17=""),"",IF(IF(ISNUMBER($F17),AND(FN$2&gt;=$F17,FN$2&lt;=IF(ISNUMBER($G17),$G17,$F17+$E17-$D17)),FALSE()),2,IF(AND(FN$2&gt;=$D17,FN$2&lt;=$E17),1,"")))</f>
        <v/>
      </c>
      <c r="FO17" s="55" t="str">
        <f aca="false">IF(OR(FO$2="",$D17=""),"",IF(IF(ISNUMBER($F17),AND(FO$2&gt;=$F17,FO$2&lt;=IF(ISNUMBER($G17),$G17,$F17+$E17-$D17)),FALSE()),2,IF(AND(FO$2&gt;=$D17,FO$2&lt;=$E17),1,"")))</f>
        <v/>
      </c>
      <c r="FP17" s="55" t="str">
        <f aca="false">IF(OR(FP$2="",$D17=""),"",IF(IF(ISNUMBER($F17),AND(FP$2&gt;=$F17,FP$2&lt;=IF(ISNUMBER($G17),$G17,$F17+$E17-$D17)),FALSE()),2,IF(AND(FP$2&gt;=$D17,FP$2&lt;=$E17),1,"")))</f>
        <v/>
      </c>
      <c r="FQ17" s="55" t="str">
        <f aca="false">IF(OR(FQ$2="",$D17=""),"",IF(IF(ISNUMBER($F17),AND(FQ$2&gt;=$F17,FQ$2&lt;=IF(ISNUMBER($G17),$G17,$F17+$E17-$D17)),FALSE()),2,IF(AND(FQ$2&gt;=$D17,FQ$2&lt;=$E17),1,"")))</f>
        <v/>
      </c>
      <c r="FR17" s="55" t="str">
        <f aca="false">IF(OR(FR$2="",$D17=""),"",IF(IF(ISNUMBER($F17),AND(FR$2&gt;=$F17,FR$2&lt;=IF(ISNUMBER($G17),$G17,$F17+$E17-$D17)),FALSE()),2,IF(AND(FR$2&gt;=$D17,FR$2&lt;=$E17),1,"")))</f>
        <v/>
      </c>
      <c r="FS17" s="55" t="str">
        <f aca="false">IF(OR(FS$2="",$D17=""),"",IF(IF(ISNUMBER($F17),AND(FS$2&gt;=$F17,FS$2&lt;=IF(ISNUMBER($G17),$G17,$F17+$E17-$D17)),FALSE()),2,IF(AND(FS$2&gt;=$D17,FS$2&lt;=$E17),1,"")))</f>
        <v/>
      </c>
      <c r="FT17" s="55" t="str">
        <f aca="false">IF(OR(FT$2="",$D17=""),"",IF(IF(ISNUMBER($F17),AND(FT$2&gt;=$F17,FT$2&lt;=IF(ISNUMBER($G17),$G17,$F17+$E17-$D17)),FALSE()),2,IF(AND(FT$2&gt;=$D17,FT$2&lt;=$E17),1,"")))</f>
        <v/>
      </c>
      <c r="FU17" s="55" t="str">
        <f aca="false">IF(OR(FU$2="",$D17=""),"",IF(IF(ISNUMBER($F17),AND(FU$2&gt;=$F17,FU$2&lt;=IF(ISNUMBER($G17),$G17,$F17+$E17-$D17)),FALSE()),2,IF(AND(FU$2&gt;=$D17,FU$2&lt;=$E17),1,"")))</f>
        <v/>
      </c>
      <c r="FV17" s="55" t="str">
        <f aca="false">IF(OR(FV$2="",$D17=""),"",IF(IF(ISNUMBER($F17),AND(FV$2&gt;=$F17,FV$2&lt;=IF(ISNUMBER($G17),$G17,$F17+$E17-$D17)),FALSE()),2,IF(AND(FV$2&gt;=$D17,FV$2&lt;=$E17),1,"")))</f>
        <v/>
      </c>
      <c r="FW17" s="55" t="str">
        <f aca="false">IF(OR(FW$2="",$D17=""),"",IF(IF(ISNUMBER($F17),AND(FW$2&gt;=$F17,FW$2&lt;=IF(ISNUMBER($G17),$G17,$F17+$E17-$D17)),FALSE()),2,IF(AND(FW$2&gt;=$D17,FW$2&lt;=$E17),1,"")))</f>
        <v/>
      </c>
      <c r="FX17" s="55" t="str">
        <f aca="false">IF(OR(FX$2="",$D17=""),"",IF(IF(ISNUMBER($F17),AND(FX$2&gt;=$F17,FX$2&lt;=IF(ISNUMBER($G17),$G17,$F17+$E17-$D17)),FALSE()),2,IF(AND(FX$2&gt;=$D17,FX$2&lt;=$E17),1,"")))</f>
        <v/>
      </c>
      <c r="FY17" s="55" t="str">
        <f aca="false">IF(OR(FY$2="",$D17=""),"",IF(IF(ISNUMBER($F17),AND(FY$2&gt;=$F17,FY$2&lt;=IF(ISNUMBER($G17),$G17,$F17+$E17-$D17)),FALSE()),2,IF(AND(FY$2&gt;=$D17,FY$2&lt;=$E17),1,"")))</f>
        <v/>
      </c>
      <c r="FZ17" s="55" t="str">
        <f aca="false">IF(OR(FZ$2="",$D17=""),"",IF(IF(ISNUMBER($F17),AND(FZ$2&gt;=$F17,FZ$2&lt;=IF(ISNUMBER($G17),$G17,$F17+$E17-$D17)),FALSE()),2,IF(AND(FZ$2&gt;=$D17,FZ$2&lt;=$E17),1,"")))</f>
        <v/>
      </c>
      <c r="GA17" s="55" t="str">
        <f aca="false">IF(OR(GA$2="",$D17=""),"",IF(IF(ISNUMBER($F17),AND(GA$2&gt;=$F17,GA$2&lt;=IF(ISNUMBER($G17),$G17,$F17+$E17-$D17)),FALSE()),2,IF(AND(GA$2&gt;=$D17,GA$2&lt;=$E17),1,"")))</f>
        <v/>
      </c>
      <c r="GB17" s="55" t="str">
        <f aca="false">IF(OR(GB$2="",$D17=""),"",IF(IF(ISNUMBER($F17),AND(GB$2&gt;=$F17,GB$2&lt;=IF(ISNUMBER($G17),$G17,$F17+$E17-$D17)),FALSE()),2,IF(AND(GB$2&gt;=$D17,GB$2&lt;=$E17),1,"")))</f>
        <v/>
      </c>
      <c r="GC17" s="55" t="str">
        <f aca="false">IF(OR(GC$2="",$D17=""),"",IF(IF(ISNUMBER($F17),AND(GC$2&gt;=$F17,GC$2&lt;=IF(ISNUMBER($G17),$G17,$F17+$E17-$D17)),FALSE()),2,IF(AND(GC$2&gt;=$D17,GC$2&lt;=$E17),1,"")))</f>
        <v/>
      </c>
      <c r="GD17" s="55" t="str">
        <f aca="false">IF(OR(GD$2="",$D17=""),"",IF(IF(ISNUMBER($F17),AND(GD$2&gt;=$F17,GD$2&lt;=IF(ISNUMBER($G17),$G17,$F17+$E17-$D17)),FALSE()),2,IF(AND(GD$2&gt;=$D17,GD$2&lt;=$E17),1,"")))</f>
        <v/>
      </c>
      <c r="GE17" s="55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false" outlineLevel="0" collapsed="false">
      <c r="A18" s="54" t="s">
        <v>383</v>
      </c>
      <c r="B18" s="21" t="s">
        <v>384</v>
      </c>
      <c r="C18" s="21" t="s">
        <v>83</v>
      </c>
      <c r="D18" s="51" t="n">
        <f aca="false">IF(Day_0="","",Day_0+cfg_6-cfg_8+cfg_13*2)</f>
        <v>46107</v>
      </c>
      <c r="E18" s="51" t="n">
        <f aca="false">IF(Day_0="","",Day_0+cfg_6-cfg_8+cfg_13*3)</f>
        <v>46114</v>
      </c>
      <c r="F18" s="51" t="str">
        <f aca="false">IF(_xlfn.MINIFS(2_Daily_input!$D$1:$FQ$1,2_Daily_input!$D$71:$FQ$71,"3F4D-3 start")+_xlfn.MINIFS(2_Daily_input!$D$1:$FQ$1,2_Daily_input!$D$72:$FQ$72,"3F4D-3 start")=0,"",IF(_xlfn.MINIFS(2_Daily_input!$D$1:$FQ$1,2_Daily_input!$D$71:$FQ$71,"3F4D-3 start")=0,_xlfn.MINIFS(2_Daily_input!$D$1:$FQ$1,2_Daily_input!$D$72:$FQ$72,"3F4D-3 start"),IF(_xlfn.MINIFS(2_Daily_input!$D$1:$FQ$1,2_Daily_input!$D$72:$FQ$72,"3F4D-3 start")=0,_xlfn.MINIFS(2_Daily_input!$D$1:$FQ$1,2_Daily_input!$D$71:$FQ$71,"3F4D-3 start"),MIN(_xlfn.MINIFS(2_Daily_input!$D$1:$FQ$1,2_Daily_input!$D$71:$FQ$71,"3F4D-3 start"),_xlfn.MINIFS(2_Daily_input!$D$1:$FQ$1,2_Daily_input!$D$72:$FQ$72,"3F4D-3 start")))))</f>
        <v/>
      </c>
      <c r="G18" s="51" t="str">
        <f aca="false">""</f>
        <v/>
      </c>
      <c r="H18" s="50" t="str">
        <f aca="true">IF(D18="","no plan",IF(F18&lt;&gt;"",IF(F18-D18&gt;=2,"LATE","OK"),IF(TODAY()&gt;D18+2,"OVERDUE","upcoming")))</f>
        <v>OVERDUE</v>
      </c>
      <c r="I18" s="50" t="str">
        <f aca="false">IF(AND(D18&lt;&gt;"",F18&lt;&gt;""),F18-D18,"")</f>
        <v/>
      </c>
      <c r="J18" s="51" t="n">
        <f aca="false">IF(F18&lt;&gt;"",F18,D18)</f>
        <v>46107</v>
      </c>
      <c r="K18" s="51" t="n">
        <f aca="false">IF(G18&lt;&gt;"",G18,IF(AND(F18&lt;&gt;"",E18=D18),F18,E18))</f>
        <v>46114</v>
      </c>
      <c r="L18" s="50" t="str">
        <f aca="true">IF(AND(D18&lt;&gt;"",F18="",D18&gt;=TODAY()),D18+ROW()/1000,"")</f>
        <v/>
      </c>
      <c r="M18" s="55" t="str">
        <f aca="false">IF(OR(M$2="",$D18=""),"",IF(IF(ISNUMBER($F18),AND(M$2&gt;=$F18,M$2&lt;=IF(ISNUMBER($G18),$G18,$F18+$E18-$D18)),FALSE()),2,IF(AND(M$2&gt;=$D18,M$2&lt;=$E18),1,"")))</f>
        <v/>
      </c>
      <c r="N18" s="55" t="str">
        <f aca="false">IF(OR(N$2="",$D18=""),"",IF(IF(ISNUMBER($F18),AND(N$2&gt;=$F18,N$2&lt;=IF(ISNUMBER($G18),$G18,$F18+$E18-$D18)),FALSE()),2,IF(AND(N$2&gt;=$D18,N$2&lt;=$E18),1,"")))</f>
        <v/>
      </c>
      <c r="O18" s="55" t="str">
        <f aca="false">IF(OR(O$2="",$D18=""),"",IF(IF(ISNUMBER($F18),AND(O$2&gt;=$F18,O$2&lt;=IF(ISNUMBER($G18),$G18,$F18+$E18-$D18)),FALSE()),2,IF(AND(O$2&gt;=$D18,O$2&lt;=$E18),1,"")))</f>
        <v/>
      </c>
      <c r="P18" s="55" t="str">
        <f aca="false">IF(OR(P$2="",$D18=""),"",IF(IF(ISNUMBER($F18),AND(P$2&gt;=$F18,P$2&lt;=IF(ISNUMBER($G18),$G18,$F18+$E18-$D18)),FALSE()),2,IF(AND(P$2&gt;=$D18,P$2&lt;=$E18),1,"")))</f>
        <v/>
      </c>
      <c r="Q18" s="55" t="str">
        <f aca="false">IF(OR(Q$2="",$D18=""),"",IF(IF(ISNUMBER($F18),AND(Q$2&gt;=$F18,Q$2&lt;=IF(ISNUMBER($G18),$G18,$F18+$E18-$D18)),FALSE()),2,IF(AND(Q$2&gt;=$D18,Q$2&lt;=$E18),1,"")))</f>
        <v/>
      </c>
      <c r="R18" s="55" t="str">
        <f aca="false">IF(OR(R$2="",$D18=""),"",IF(IF(ISNUMBER($F18),AND(R$2&gt;=$F18,R$2&lt;=IF(ISNUMBER($G18),$G18,$F18+$E18-$D18)),FALSE()),2,IF(AND(R$2&gt;=$D18,R$2&lt;=$E18),1,"")))</f>
        <v/>
      </c>
      <c r="S18" s="55" t="str">
        <f aca="false">IF(OR(S$2="",$D18=""),"",IF(IF(ISNUMBER($F18),AND(S$2&gt;=$F18,S$2&lt;=IF(ISNUMBER($G18),$G18,$F18+$E18-$D18)),FALSE()),2,IF(AND(S$2&gt;=$D18,S$2&lt;=$E18),1,"")))</f>
        <v/>
      </c>
      <c r="T18" s="55" t="str">
        <f aca="false">IF(OR(T$2="",$D18=""),"",IF(IF(ISNUMBER($F18),AND(T$2&gt;=$F18,T$2&lt;=IF(ISNUMBER($G18),$G18,$F18+$E18-$D18)),FALSE()),2,IF(AND(T$2&gt;=$D18,T$2&lt;=$E18),1,"")))</f>
        <v/>
      </c>
      <c r="U18" s="55" t="str">
        <f aca="false">IF(OR(U$2="",$D18=""),"",IF(IF(ISNUMBER($F18),AND(U$2&gt;=$F18,U$2&lt;=IF(ISNUMBER($G18),$G18,$F18+$E18-$D18)),FALSE()),2,IF(AND(U$2&gt;=$D18,U$2&lt;=$E18),1,"")))</f>
        <v/>
      </c>
      <c r="V18" s="55" t="str">
        <f aca="false">IF(OR(V$2="",$D18=""),"",IF(IF(ISNUMBER($F18),AND(V$2&gt;=$F18,V$2&lt;=IF(ISNUMBER($G18),$G18,$F18+$E18-$D18)),FALSE()),2,IF(AND(V$2&gt;=$D18,V$2&lt;=$E18),1,"")))</f>
        <v/>
      </c>
      <c r="W18" s="55" t="str">
        <f aca="false">IF(OR(W$2="",$D18=""),"",IF(IF(ISNUMBER($F18),AND(W$2&gt;=$F18,W$2&lt;=IF(ISNUMBER($G18),$G18,$F18+$E18-$D18)),FALSE()),2,IF(AND(W$2&gt;=$D18,W$2&lt;=$E18),1,"")))</f>
        <v/>
      </c>
      <c r="X18" s="55" t="str">
        <f aca="false">IF(OR(X$2="",$D18=""),"",IF(IF(ISNUMBER($F18),AND(X$2&gt;=$F18,X$2&lt;=IF(ISNUMBER($G18),$G18,$F18+$E18-$D18)),FALSE()),2,IF(AND(X$2&gt;=$D18,X$2&lt;=$E18),1,"")))</f>
        <v/>
      </c>
      <c r="Y18" s="55" t="str">
        <f aca="false">IF(OR(Y$2="",$D18=""),"",IF(IF(ISNUMBER($F18),AND(Y$2&gt;=$F18,Y$2&lt;=IF(ISNUMBER($G18),$G18,$F18+$E18-$D18)),FALSE()),2,IF(AND(Y$2&gt;=$D18,Y$2&lt;=$E18),1,"")))</f>
        <v/>
      </c>
      <c r="Z18" s="55" t="str">
        <f aca="false">IF(OR(Z$2="",$D18=""),"",IF(IF(ISNUMBER($F18),AND(Z$2&gt;=$F18,Z$2&lt;=IF(ISNUMBER($G18),$G18,$F18+$E18-$D18)),FALSE()),2,IF(AND(Z$2&gt;=$D18,Z$2&lt;=$E18),1,"")))</f>
        <v/>
      </c>
      <c r="AA18" s="55" t="str">
        <f aca="false">IF(OR(AA$2="",$D18=""),"",IF(IF(ISNUMBER($F18),AND(AA$2&gt;=$F18,AA$2&lt;=IF(ISNUMBER($G18),$G18,$F18+$E18-$D18)),FALSE()),2,IF(AND(AA$2&gt;=$D18,AA$2&lt;=$E18),1,"")))</f>
        <v/>
      </c>
      <c r="AB18" s="55" t="str">
        <f aca="false">IF(OR(AB$2="",$D18=""),"",IF(IF(ISNUMBER($F18),AND(AB$2&gt;=$F18,AB$2&lt;=IF(ISNUMBER($G18),$G18,$F18+$E18-$D18)),FALSE()),2,IF(AND(AB$2&gt;=$D18,AB$2&lt;=$E18),1,"")))</f>
        <v/>
      </c>
      <c r="AC18" s="55" t="str">
        <f aca="false">IF(OR(AC$2="",$D18=""),"",IF(IF(ISNUMBER($F18),AND(AC$2&gt;=$F18,AC$2&lt;=IF(ISNUMBER($G18),$G18,$F18+$E18-$D18)),FALSE()),2,IF(AND(AC$2&gt;=$D18,AC$2&lt;=$E18),1,"")))</f>
        <v/>
      </c>
      <c r="AD18" s="55" t="str">
        <f aca="false">IF(OR(AD$2="",$D18=""),"",IF(IF(ISNUMBER($F18),AND(AD$2&gt;=$F18,AD$2&lt;=IF(ISNUMBER($G18),$G18,$F18+$E18-$D18)),FALSE()),2,IF(AND(AD$2&gt;=$D18,AD$2&lt;=$E18),1,"")))</f>
        <v/>
      </c>
      <c r="AE18" s="55" t="str">
        <f aca="false">IF(OR(AE$2="",$D18=""),"",IF(IF(ISNUMBER($F18),AND(AE$2&gt;=$F18,AE$2&lt;=IF(ISNUMBER($G18),$G18,$F18+$E18-$D18)),FALSE()),2,IF(AND(AE$2&gt;=$D18,AE$2&lt;=$E18),1,"")))</f>
        <v/>
      </c>
      <c r="AF18" s="55" t="str">
        <f aca="false">IF(OR(AF$2="",$D18=""),"",IF(IF(ISNUMBER($F18),AND(AF$2&gt;=$F18,AF$2&lt;=IF(ISNUMBER($G18),$G18,$F18+$E18-$D18)),FALSE()),2,IF(AND(AF$2&gt;=$D18,AF$2&lt;=$E18),1,"")))</f>
        <v/>
      </c>
      <c r="AG18" s="55" t="str">
        <f aca="false">IF(OR(AG$2="",$D18=""),"",IF(IF(ISNUMBER($F18),AND(AG$2&gt;=$F18,AG$2&lt;=IF(ISNUMBER($G18),$G18,$F18+$E18-$D18)),FALSE()),2,IF(AND(AG$2&gt;=$D18,AG$2&lt;=$E18),1,"")))</f>
        <v/>
      </c>
      <c r="AH18" s="55" t="str">
        <f aca="false">IF(OR(AH$2="",$D18=""),"",IF(IF(ISNUMBER($F18),AND(AH$2&gt;=$F18,AH$2&lt;=IF(ISNUMBER($G18),$G18,$F18+$E18-$D18)),FALSE()),2,IF(AND(AH$2&gt;=$D18,AH$2&lt;=$E18),1,"")))</f>
        <v/>
      </c>
      <c r="AI18" s="55" t="str">
        <f aca="false">IF(OR(AI$2="",$D18=""),"",IF(IF(ISNUMBER($F18),AND(AI$2&gt;=$F18,AI$2&lt;=IF(ISNUMBER($G18),$G18,$F18+$E18-$D18)),FALSE()),2,IF(AND(AI$2&gt;=$D18,AI$2&lt;=$E18),1,"")))</f>
        <v/>
      </c>
      <c r="AJ18" s="55" t="str">
        <f aca="false">IF(OR(AJ$2="",$D18=""),"",IF(IF(ISNUMBER($F18),AND(AJ$2&gt;=$F18,AJ$2&lt;=IF(ISNUMBER($G18),$G18,$F18+$E18-$D18)),FALSE()),2,IF(AND(AJ$2&gt;=$D18,AJ$2&lt;=$E18),1,"")))</f>
        <v/>
      </c>
      <c r="AK18" s="55" t="str">
        <f aca="false">IF(OR(AK$2="",$D18=""),"",IF(IF(ISNUMBER($F18),AND(AK$2&gt;=$F18,AK$2&lt;=IF(ISNUMBER($G18),$G18,$F18+$E18-$D18)),FALSE()),2,IF(AND(AK$2&gt;=$D18,AK$2&lt;=$E18),1,"")))</f>
        <v/>
      </c>
      <c r="AL18" s="55" t="str">
        <f aca="false">IF(OR(AL$2="",$D18=""),"",IF(IF(ISNUMBER($F18),AND(AL$2&gt;=$F18,AL$2&lt;=IF(ISNUMBER($G18),$G18,$F18+$E18-$D18)),FALSE()),2,IF(AND(AL$2&gt;=$D18,AL$2&lt;=$E18),1,"")))</f>
        <v/>
      </c>
      <c r="AM18" s="55" t="str">
        <f aca="false">IF(OR(AM$2="",$D18=""),"",IF(IF(ISNUMBER($F18),AND(AM$2&gt;=$F18,AM$2&lt;=IF(ISNUMBER($G18),$G18,$F18+$E18-$D18)),FALSE()),2,IF(AND(AM$2&gt;=$D18,AM$2&lt;=$E18),1,"")))</f>
        <v/>
      </c>
      <c r="AN18" s="55" t="str">
        <f aca="false">IF(OR(AN$2="",$D18=""),"",IF(IF(ISNUMBER($F18),AND(AN$2&gt;=$F18,AN$2&lt;=IF(ISNUMBER($G18),$G18,$F18+$E18-$D18)),FALSE()),2,IF(AND(AN$2&gt;=$D18,AN$2&lt;=$E18),1,"")))</f>
        <v/>
      </c>
      <c r="AO18" s="55" t="str">
        <f aca="false">IF(OR(AO$2="",$D18=""),"",IF(IF(ISNUMBER($F18),AND(AO$2&gt;=$F18,AO$2&lt;=IF(ISNUMBER($G18),$G18,$F18+$E18-$D18)),FALSE()),2,IF(AND(AO$2&gt;=$D18,AO$2&lt;=$E18),1,"")))</f>
        <v/>
      </c>
      <c r="AP18" s="55" t="str">
        <f aca="false">IF(OR(AP$2="",$D18=""),"",IF(IF(ISNUMBER($F18),AND(AP$2&gt;=$F18,AP$2&lt;=IF(ISNUMBER($G18),$G18,$F18+$E18-$D18)),FALSE()),2,IF(AND(AP$2&gt;=$D18,AP$2&lt;=$E18),1,"")))</f>
        <v/>
      </c>
      <c r="AQ18" s="55" t="str">
        <f aca="false">IF(OR(AQ$2="",$D18=""),"",IF(IF(ISNUMBER($F18),AND(AQ$2&gt;=$F18,AQ$2&lt;=IF(ISNUMBER($G18),$G18,$F18+$E18-$D18)),FALSE()),2,IF(AND(AQ$2&gt;=$D18,AQ$2&lt;=$E18),1,"")))</f>
        <v/>
      </c>
      <c r="AR18" s="55" t="str">
        <f aca="false">IF(OR(AR$2="",$D18=""),"",IF(IF(ISNUMBER($F18),AND(AR$2&gt;=$F18,AR$2&lt;=IF(ISNUMBER($G18),$G18,$F18+$E18-$D18)),FALSE()),2,IF(AND(AR$2&gt;=$D18,AR$2&lt;=$E18),1,"")))</f>
        <v/>
      </c>
      <c r="AS18" s="55" t="str">
        <f aca="false">IF(OR(AS$2="",$D18=""),"",IF(IF(ISNUMBER($F18),AND(AS$2&gt;=$F18,AS$2&lt;=IF(ISNUMBER($G18),$G18,$F18+$E18-$D18)),FALSE()),2,IF(AND(AS$2&gt;=$D18,AS$2&lt;=$E18),1,"")))</f>
        <v/>
      </c>
      <c r="AT18" s="55" t="str">
        <f aca="false">IF(OR(AT$2="",$D18=""),"",IF(IF(ISNUMBER($F18),AND(AT$2&gt;=$F18,AT$2&lt;=IF(ISNUMBER($G18),$G18,$F18+$E18-$D18)),FALSE()),2,IF(AND(AT$2&gt;=$D18,AT$2&lt;=$E18),1,"")))</f>
        <v/>
      </c>
      <c r="AU18" s="55" t="str">
        <f aca="false">IF(OR(AU$2="",$D18=""),"",IF(IF(ISNUMBER($F18),AND(AU$2&gt;=$F18,AU$2&lt;=IF(ISNUMBER($G18),$G18,$F18+$E18-$D18)),FALSE()),2,IF(AND(AU$2&gt;=$D18,AU$2&lt;=$E18),1,"")))</f>
        <v/>
      </c>
      <c r="AV18" s="55" t="str">
        <f aca="false">IF(OR(AV$2="",$D18=""),"",IF(IF(ISNUMBER($F18),AND(AV$2&gt;=$F18,AV$2&lt;=IF(ISNUMBER($G18),$G18,$F18+$E18-$D18)),FALSE()),2,IF(AND(AV$2&gt;=$D18,AV$2&lt;=$E18),1,"")))</f>
        <v/>
      </c>
      <c r="AW18" s="55" t="str">
        <f aca="false">IF(OR(AW$2="",$D18=""),"",IF(IF(ISNUMBER($F18),AND(AW$2&gt;=$F18,AW$2&lt;=IF(ISNUMBER($G18),$G18,$F18+$E18-$D18)),FALSE()),2,IF(AND(AW$2&gt;=$D18,AW$2&lt;=$E18),1,"")))</f>
        <v/>
      </c>
      <c r="AX18" s="55" t="str">
        <f aca="false">IF(OR(AX$2="",$D18=""),"",IF(IF(ISNUMBER($F18),AND(AX$2&gt;=$F18,AX$2&lt;=IF(ISNUMBER($G18),$G18,$F18+$E18-$D18)),FALSE()),2,IF(AND(AX$2&gt;=$D18,AX$2&lt;=$E18),1,"")))</f>
        <v/>
      </c>
      <c r="AY18" s="55" t="str">
        <f aca="false">IF(OR(AY$2="",$D18=""),"",IF(IF(ISNUMBER($F18),AND(AY$2&gt;=$F18,AY$2&lt;=IF(ISNUMBER($G18),$G18,$F18+$E18-$D18)),FALSE()),2,IF(AND(AY$2&gt;=$D18,AY$2&lt;=$E18),1,"")))</f>
        <v/>
      </c>
      <c r="AZ18" s="55" t="str">
        <f aca="false">IF(OR(AZ$2="",$D18=""),"",IF(IF(ISNUMBER($F18),AND(AZ$2&gt;=$F18,AZ$2&lt;=IF(ISNUMBER($G18),$G18,$F18+$E18-$D18)),FALSE()),2,IF(AND(AZ$2&gt;=$D18,AZ$2&lt;=$E18),1,"")))</f>
        <v/>
      </c>
      <c r="BA18" s="55" t="str">
        <f aca="false">IF(OR(BA$2="",$D18=""),"",IF(IF(ISNUMBER($F18),AND(BA$2&gt;=$F18,BA$2&lt;=IF(ISNUMBER($G18),$G18,$F18+$E18-$D18)),FALSE()),2,IF(AND(BA$2&gt;=$D18,BA$2&lt;=$E18),1,"")))</f>
        <v/>
      </c>
      <c r="BB18" s="55" t="str">
        <f aca="false">IF(OR(BB$2="",$D18=""),"",IF(IF(ISNUMBER($F18),AND(BB$2&gt;=$F18,BB$2&lt;=IF(ISNUMBER($G18),$G18,$F18+$E18-$D18)),FALSE()),2,IF(AND(BB$2&gt;=$D18,BB$2&lt;=$E18),1,"")))</f>
        <v/>
      </c>
      <c r="BC18" s="55" t="str">
        <f aca="false">IF(OR(BC$2="",$D18=""),"",IF(IF(ISNUMBER($F18),AND(BC$2&gt;=$F18,BC$2&lt;=IF(ISNUMBER($G18),$G18,$F18+$E18-$D18)),FALSE()),2,IF(AND(BC$2&gt;=$D18,BC$2&lt;=$E18),1,"")))</f>
        <v/>
      </c>
      <c r="BD18" s="55" t="str">
        <f aca="false">IF(OR(BD$2="",$D18=""),"",IF(IF(ISNUMBER($F18),AND(BD$2&gt;=$F18,BD$2&lt;=IF(ISNUMBER($G18),$G18,$F18+$E18-$D18)),FALSE()),2,IF(AND(BD$2&gt;=$D18,BD$2&lt;=$E18),1,"")))</f>
        <v/>
      </c>
      <c r="BE18" s="55" t="str">
        <f aca="false">IF(OR(BE$2="",$D18=""),"",IF(IF(ISNUMBER($F18),AND(BE$2&gt;=$F18,BE$2&lt;=IF(ISNUMBER($G18),$G18,$F18+$E18-$D18)),FALSE()),2,IF(AND(BE$2&gt;=$D18,BE$2&lt;=$E18),1,"")))</f>
        <v/>
      </c>
      <c r="BF18" s="55" t="str">
        <f aca="false">IF(OR(BF$2="",$D18=""),"",IF(IF(ISNUMBER($F18),AND(BF$2&gt;=$F18,BF$2&lt;=IF(ISNUMBER($G18),$G18,$F18+$E18-$D18)),FALSE()),2,IF(AND(BF$2&gt;=$D18,BF$2&lt;=$E18),1,"")))</f>
        <v/>
      </c>
      <c r="BG18" s="55" t="str">
        <f aca="false">IF(OR(BG$2="",$D18=""),"",IF(IF(ISNUMBER($F18),AND(BG$2&gt;=$F18,BG$2&lt;=IF(ISNUMBER($G18),$G18,$F18+$E18-$D18)),FALSE()),2,IF(AND(BG$2&gt;=$D18,BG$2&lt;=$E18),1,"")))</f>
        <v/>
      </c>
      <c r="BH18" s="55" t="str">
        <f aca="false">IF(OR(BH$2="",$D18=""),"",IF(IF(ISNUMBER($F18),AND(BH$2&gt;=$F18,BH$2&lt;=IF(ISNUMBER($G18),$G18,$F18+$E18-$D18)),FALSE()),2,IF(AND(BH$2&gt;=$D18,BH$2&lt;=$E18),1,"")))</f>
        <v/>
      </c>
      <c r="BI18" s="55" t="str">
        <f aca="false">IF(OR(BI$2="",$D18=""),"",IF(IF(ISNUMBER($F18),AND(BI$2&gt;=$F18,BI$2&lt;=IF(ISNUMBER($G18),$G18,$F18+$E18-$D18)),FALSE()),2,IF(AND(BI$2&gt;=$D18,BI$2&lt;=$E18),1,"")))</f>
        <v/>
      </c>
      <c r="BJ18" s="55" t="str">
        <f aca="false">IF(OR(BJ$2="",$D18=""),"",IF(IF(ISNUMBER($F18),AND(BJ$2&gt;=$F18,BJ$2&lt;=IF(ISNUMBER($G18),$G18,$F18+$E18-$D18)),FALSE()),2,IF(AND(BJ$2&gt;=$D18,BJ$2&lt;=$E18),1,"")))</f>
        <v/>
      </c>
      <c r="BK18" s="55" t="str">
        <f aca="false">IF(OR(BK$2="",$D18=""),"",IF(IF(ISNUMBER($F18),AND(BK$2&gt;=$F18,BK$2&lt;=IF(ISNUMBER($G18),$G18,$F18+$E18-$D18)),FALSE()),2,IF(AND(BK$2&gt;=$D18,BK$2&lt;=$E18),1,"")))</f>
        <v/>
      </c>
      <c r="BL18" s="55" t="str">
        <f aca="false">IF(OR(BL$2="",$D18=""),"",IF(IF(ISNUMBER($F18),AND(BL$2&gt;=$F18,BL$2&lt;=IF(ISNUMBER($G18),$G18,$F18+$E18-$D18)),FALSE()),2,IF(AND(BL$2&gt;=$D18,BL$2&lt;=$E18),1,"")))</f>
        <v/>
      </c>
      <c r="BM18" s="55" t="str">
        <f aca="false">IF(OR(BM$2="",$D18=""),"",IF(IF(ISNUMBER($F18),AND(BM$2&gt;=$F18,BM$2&lt;=IF(ISNUMBER($G18),$G18,$F18+$E18-$D18)),FALSE()),2,IF(AND(BM$2&gt;=$D18,BM$2&lt;=$E18),1,"")))</f>
        <v/>
      </c>
      <c r="BN18" s="55" t="str">
        <f aca="false">IF(OR(BN$2="",$D18=""),"",IF(IF(ISNUMBER($F18),AND(BN$2&gt;=$F18,BN$2&lt;=IF(ISNUMBER($G18),$G18,$F18+$E18-$D18)),FALSE()),2,IF(AND(BN$2&gt;=$D18,BN$2&lt;=$E18),1,"")))</f>
        <v/>
      </c>
      <c r="BO18" s="55" t="str">
        <f aca="false">IF(OR(BO$2="",$D18=""),"",IF(IF(ISNUMBER($F18),AND(BO$2&gt;=$F18,BO$2&lt;=IF(ISNUMBER($G18),$G18,$F18+$E18-$D18)),FALSE()),2,IF(AND(BO$2&gt;=$D18,BO$2&lt;=$E18),1,"")))</f>
        <v/>
      </c>
      <c r="BP18" s="55" t="str">
        <f aca="false">IF(OR(BP$2="",$D18=""),"",IF(IF(ISNUMBER($F18),AND(BP$2&gt;=$F18,BP$2&lt;=IF(ISNUMBER($G18),$G18,$F18+$E18-$D18)),FALSE()),2,IF(AND(BP$2&gt;=$D18,BP$2&lt;=$E18),1,"")))</f>
        <v/>
      </c>
      <c r="BQ18" s="55" t="str">
        <f aca="false">IF(OR(BQ$2="",$D18=""),"",IF(IF(ISNUMBER($F18),AND(BQ$2&gt;=$F18,BQ$2&lt;=IF(ISNUMBER($G18),$G18,$F18+$E18-$D18)),FALSE()),2,IF(AND(BQ$2&gt;=$D18,BQ$2&lt;=$E18),1,"")))</f>
        <v/>
      </c>
      <c r="BR18" s="55" t="str">
        <f aca="false">IF(OR(BR$2="",$D18=""),"",IF(IF(ISNUMBER($F18),AND(BR$2&gt;=$F18,BR$2&lt;=IF(ISNUMBER($G18),$G18,$F18+$E18-$D18)),FALSE()),2,IF(AND(BR$2&gt;=$D18,BR$2&lt;=$E18),1,"")))</f>
        <v/>
      </c>
      <c r="BS18" s="55" t="str">
        <f aca="false">IF(OR(BS$2="",$D18=""),"",IF(IF(ISNUMBER($F18),AND(BS$2&gt;=$F18,BS$2&lt;=IF(ISNUMBER($G18),$G18,$F18+$E18-$D18)),FALSE()),2,IF(AND(BS$2&gt;=$D18,BS$2&lt;=$E18),1,"")))</f>
        <v/>
      </c>
      <c r="BT18" s="55" t="str">
        <f aca="false">IF(OR(BT$2="",$D18=""),"",IF(IF(ISNUMBER($F18),AND(BT$2&gt;=$F18,BT$2&lt;=IF(ISNUMBER($G18),$G18,$F18+$E18-$D18)),FALSE()),2,IF(AND(BT$2&gt;=$D18,BT$2&lt;=$E18),1,"")))</f>
        <v/>
      </c>
      <c r="BU18" s="55" t="str">
        <f aca="false">IF(OR(BU$2="",$D18=""),"",IF(IF(ISNUMBER($F18),AND(BU$2&gt;=$F18,BU$2&lt;=IF(ISNUMBER($G18),$G18,$F18+$E18-$D18)),FALSE()),2,IF(AND(BU$2&gt;=$D18,BU$2&lt;=$E18),1,"")))</f>
        <v/>
      </c>
      <c r="BV18" s="55" t="str">
        <f aca="false">IF(OR(BV$2="",$D18=""),"",IF(IF(ISNUMBER($F18),AND(BV$2&gt;=$F18,BV$2&lt;=IF(ISNUMBER($G18),$G18,$F18+$E18-$D18)),FALSE()),2,IF(AND(BV$2&gt;=$D18,BV$2&lt;=$E18),1,"")))</f>
        <v/>
      </c>
      <c r="BW18" s="55" t="str">
        <f aca="false">IF(OR(BW$2="",$D18=""),"",IF(IF(ISNUMBER($F18),AND(BW$2&gt;=$F18,BW$2&lt;=IF(ISNUMBER($G18),$G18,$F18+$E18-$D18)),FALSE()),2,IF(AND(BW$2&gt;=$D18,BW$2&lt;=$E18),1,"")))</f>
        <v/>
      </c>
      <c r="BX18" s="55" t="str">
        <f aca="false">IF(OR(BX$2="",$D18=""),"",IF(IF(ISNUMBER($F18),AND(BX$2&gt;=$F18,BX$2&lt;=IF(ISNUMBER($G18),$G18,$F18+$E18-$D18)),FALSE()),2,IF(AND(BX$2&gt;=$D18,BX$2&lt;=$E18),1,"")))</f>
        <v/>
      </c>
      <c r="BY18" s="55" t="str">
        <f aca="false">IF(OR(BY$2="",$D18=""),"",IF(IF(ISNUMBER($F18),AND(BY$2&gt;=$F18,BY$2&lt;=IF(ISNUMBER($G18),$G18,$F18+$E18-$D18)),FALSE()),2,IF(AND(BY$2&gt;=$D18,BY$2&lt;=$E18),1,"")))</f>
        <v/>
      </c>
      <c r="BZ18" s="55" t="str">
        <f aca="false">IF(OR(BZ$2="",$D18=""),"",IF(IF(ISNUMBER($F18),AND(BZ$2&gt;=$F18,BZ$2&lt;=IF(ISNUMBER($G18),$G18,$F18+$E18-$D18)),FALSE()),2,IF(AND(BZ$2&gt;=$D18,BZ$2&lt;=$E18),1,"")))</f>
        <v/>
      </c>
      <c r="CA18" s="55" t="str">
        <f aca="false">IF(OR(CA$2="",$D18=""),"",IF(IF(ISNUMBER($F18),AND(CA$2&gt;=$F18,CA$2&lt;=IF(ISNUMBER($G18),$G18,$F18+$E18-$D18)),FALSE()),2,IF(AND(CA$2&gt;=$D18,CA$2&lt;=$E18),1,"")))</f>
        <v/>
      </c>
      <c r="CB18" s="55" t="str">
        <f aca="false">IF(OR(CB$2="",$D18=""),"",IF(IF(ISNUMBER($F18),AND(CB$2&gt;=$F18,CB$2&lt;=IF(ISNUMBER($G18),$G18,$F18+$E18-$D18)),FALSE()),2,IF(AND(CB$2&gt;=$D18,CB$2&lt;=$E18),1,"")))</f>
        <v/>
      </c>
      <c r="CC18" s="55" t="str">
        <f aca="false">IF(OR(CC$2="",$D18=""),"",IF(IF(ISNUMBER($F18),AND(CC$2&gt;=$F18,CC$2&lt;=IF(ISNUMBER($G18),$G18,$F18+$E18-$D18)),FALSE()),2,IF(AND(CC$2&gt;=$D18,CC$2&lt;=$E18),1,"")))</f>
        <v/>
      </c>
      <c r="CD18" s="55" t="str">
        <f aca="false">IF(OR(CD$2="",$D18=""),"",IF(IF(ISNUMBER($F18),AND(CD$2&gt;=$F18,CD$2&lt;=IF(ISNUMBER($G18),$G18,$F18+$E18-$D18)),FALSE()),2,IF(AND(CD$2&gt;=$D18,CD$2&lt;=$E18),1,"")))</f>
        <v/>
      </c>
      <c r="CE18" s="55" t="str">
        <f aca="false">IF(OR(CE$2="",$D18=""),"",IF(IF(ISNUMBER($F18),AND(CE$2&gt;=$F18,CE$2&lt;=IF(ISNUMBER($G18),$G18,$F18+$E18-$D18)),FALSE()),2,IF(AND(CE$2&gt;=$D18,CE$2&lt;=$E18),1,"")))</f>
        <v/>
      </c>
      <c r="CF18" s="55" t="str">
        <f aca="false">IF(OR(CF$2="",$D18=""),"",IF(IF(ISNUMBER($F18),AND(CF$2&gt;=$F18,CF$2&lt;=IF(ISNUMBER($G18),$G18,$F18+$E18-$D18)),FALSE()),2,IF(AND(CF$2&gt;=$D18,CF$2&lt;=$E18),1,"")))</f>
        <v/>
      </c>
      <c r="CG18" s="55" t="str">
        <f aca="false">IF(OR(CG$2="",$D18=""),"",IF(IF(ISNUMBER($F18),AND(CG$2&gt;=$F18,CG$2&lt;=IF(ISNUMBER($G18),$G18,$F18+$E18-$D18)),FALSE()),2,IF(AND(CG$2&gt;=$D18,CG$2&lt;=$E18),1,"")))</f>
        <v/>
      </c>
      <c r="CH18" s="55" t="str">
        <f aca="false">IF(OR(CH$2="",$D18=""),"",IF(IF(ISNUMBER($F18),AND(CH$2&gt;=$F18,CH$2&lt;=IF(ISNUMBER($G18),$G18,$F18+$E18-$D18)),FALSE()),2,IF(AND(CH$2&gt;=$D18,CH$2&lt;=$E18),1,"")))</f>
        <v/>
      </c>
      <c r="CI18" s="55" t="str">
        <f aca="false">IF(OR(CI$2="",$D18=""),"",IF(IF(ISNUMBER($F18),AND(CI$2&gt;=$F18,CI$2&lt;=IF(ISNUMBER($G18),$G18,$F18+$E18-$D18)),FALSE()),2,IF(AND(CI$2&gt;=$D18,CI$2&lt;=$E18),1,"")))</f>
        <v/>
      </c>
      <c r="CJ18" s="55" t="str">
        <f aca="false">IF(OR(CJ$2="",$D18=""),"",IF(IF(ISNUMBER($F18),AND(CJ$2&gt;=$F18,CJ$2&lt;=IF(ISNUMBER($G18),$G18,$F18+$E18-$D18)),FALSE()),2,IF(AND(CJ$2&gt;=$D18,CJ$2&lt;=$E18),1,"")))</f>
        <v/>
      </c>
      <c r="CK18" s="55" t="str">
        <f aca="false">IF(OR(CK$2="",$D18=""),"",IF(IF(ISNUMBER($F18),AND(CK$2&gt;=$F18,CK$2&lt;=IF(ISNUMBER($G18),$G18,$F18+$E18-$D18)),FALSE()),2,IF(AND(CK$2&gt;=$D18,CK$2&lt;=$E18),1,"")))</f>
        <v/>
      </c>
      <c r="CL18" s="55" t="str">
        <f aca="false">IF(OR(CL$2="",$D18=""),"",IF(IF(ISNUMBER($F18),AND(CL$2&gt;=$F18,CL$2&lt;=IF(ISNUMBER($G18),$G18,$F18+$E18-$D18)),FALSE()),2,IF(AND(CL$2&gt;=$D18,CL$2&lt;=$E18),1,"")))</f>
        <v/>
      </c>
      <c r="CM18" s="55" t="str">
        <f aca="false">IF(OR(CM$2="",$D18=""),"",IF(IF(ISNUMBER($F18),AND(CM$2&gt;=$F18,CM$2&lt;=IF(ISNUMBER($G18),$G18,$F18+$E18-$D18)),FALSE()),2,IF(AND(CM$2&gt;=$D18,CM$2&lt;=$E18),1,"")))</f>
        <v/>
      </c>
      <c r="CN18" s="55" t="str">
        <f aca="false">IF(OR(CN$2="",$D18=""),"",IF(IF(ISNUMBER($F18),AND(CN$2&gt;=$F18,CN$2&lt;=IF(ISNUMBER($G18),$G18,$F18+$E18-$D18)),FALSE()),2,IF(AND(CN$2&gt;=$D18,CN$2&lt;=$E18),1,"")))</f>
        <v/>
      </c>
      <c r="CO18" s="55" t="str">
        <f aca="false">IF(OR(CO$2="",$D18=""),"",IF(IF(ISNUMBER($F18),AND(CO$2&gt;=$F18,CO$2&lt;=IF(ISNUMBER($G18),$G18,$F18+$E18-$D18)),FALSE()),2,IF(AND(CO$2&gt;=$D18,CO$2&lt;=$E18),1,"")))</f>
        <v/>
      </c>
      <c r="CP18" s="55" t="str">
        <f aca="false">IF(OR(CP$2="",$D18=""),"",IF(IF(ISNUMBER($F18),AND(CP$2&gt;=$F18,CP$2&lt;=IF(ISNUMBER($G18),$G18,$F18+$E18-$D18)),FALSE()),2,IF(AND(CP$2&gt;=$D18,CP$2&lt;=$E18),1,"")))</f>
        <v/>
      </c>
      <c r="CQ18" s="55" t="str">
        <f aca="false">IF(OR(CQ$2="",$D18=""),"",IF(IF(ISNUMBER($F18),AND(CQ$2&gt;=$F18,CQ$2&lt;=IF(ISNUMBER($G18),$G18,$F18+$E18-$D18)),FALSE()),2,IF(AND(CQ$2&gt;=$D18,CQ$2&lt;=$E18),1,"")))</f>
        <v/>
      </c>
      <c r="CR18" s="55" t="str">
        <f aca="false">IF(OR(CR$2="",$D18=""),"",IF(IF(ISNUMBER($F18),AND(CR$2&gt;=$F18,CR$2&lt;=IF(ISNUMBER($G18),$G18,$F18+$E18-$D18)),FALSE()),2,IF(AND(CR$2&gt;=$D18,CR$2&lt;=$E18),1,"")))</f>
        <v/>
      </c>
      <c r="CS18" s="55" t="str">
        <f aca="false">IF(OR(CS$2="",$D18=""),"",IF(IF(ISNUMBER($F18),AND(CS$2&gt;=$F18,CS$2&lt;=IF(ISNUMBER($G18),$G18,$F18+$E18-$D18)),FALSE()),2,IF(AND(CS$2&gt;=$D18,CS$2&lt;=$E18),1,"")))</f>
        <v/>
      </c>
      <c r="CT18" s="55" t="str">
        <f aca="false">IF(OR(CT$2="",$D18=""),"",IF(IF(ISNUMBER($F18),AND(CT$2&gt;=$F18,CT$2&lt;=IF(ISNUMBER($G18),$G18,$F18+$E18-$D18)),FALSE()),2,IF(AND(CT$2&gt;=$D18,CT$2&lt;=$E18),1,"")))</f>
        <v/>
      </c>
      <c r="CU18" s="55" t="str">
        <f aca="false">IF(OR(CU$2="",$D18=""),"",IF(IF(ISNUMBER($F18),AND(CU$2&gt;=$F18,CU$2&lt;=IF(ISNUMBER($G18),$G18,$F18+$E18-$D18)),FALSE()),2,IF(AND(CU$2&gt;=$D18,CU$2&lt;=$E18),1,"")))</f>
        <v/>
      </c>
      <c r="CV18" s="55" t="str">
        <f aca="false">IF(OR(CV$2="",$D18=""),"",IF(IF(ISNUMBER($F18),AND(CV$2&gt;=$F18,CV$2&lt;=IF(ISNUMBER($G18),$G18,$F18+$E18-$D18)),FALSE()),2,IF(AND(CV$2&gt;=$D18,CV$2&lt;=$E18),1,"")))</f>
        <v/>
      </c>
      <c r="CW18" s="55" t="str">
        <f aca="false">IF(OR(CW$2="",$D18=""),"",IF(IF(ISNUMBER($F18),AND(CW$2&gt;=$F18,CW$2&lt;=IF(ISNUMBER($G18),$G18,$F18+$E18-$D18)),FALSE()),2,IF(AND(CW$2&gt;=$D18,CW$2&lt;=$E18),1,"")))</f>
        <v/>
      </c>
      <c r="CX18" s="55" t="str">
        <f aca="false">IF(OR(CX$2="",$D18=""),"",IF(IF(ISNUMBER($F18),AND(CX$2&gt;=$F18,CX$2&lt;=IF(ISNUMBER($G18),$G18,$F18+$E18-$D18)),FALSE()),2,IF(AND(CX$2&gt;=$D18,CX$2&lt;=$E18),1,"")))</f>
        <v/>
      </c>
      <c r="CY18" s="55" t="str">
        <f aca="false">IF(OR(CY$2="",$D18=""),"",IF(IF(ISNUMBER($F18),AND(CY$2&gt;=$F18,CY$2&lt;=IF(ISNUMBER($G18),$G18,$F18+$E18-$D18)),FALSE()),2,IF(AND(CY$2&gt;=$D18,CY$2&lt;=$E18),1,"")))</f>
        <v/>
      </c>
      <c r="CZ18" s="55" t="str">
        <f aca="false">IF(OR(CZ$2="",$D18=""),"",IF(IF(ISNUMBER($F18),AND(CZ$2&gt;=$F18,CZ$2&lt;=IF(ISNUMBER($G18),$G18,$F18+$E18-$D18)),FALSE()),2,IF(AND(CZ$2&gt;=$D18,CZ$2&lt;=$E18),1,"")))</f>
        <v/>
      </c>
      <c r="DA18" s="55" t="str">
        <f aca="false">IF(OR(DA$2="",$D18=""),"",IF(IF(ISNUMBER($F18),AND(DA$2&gt;=$F18,DA$2&lt;=IF(ISNUMBER($G18),$G18,$F18+$E18-$D18)),FALSE()),2,IF(AND(DA$2&gt;=$D18,DA$2&lt;=$E18),1,"")))</f>
        <v/>
      </c>
      <c r="DB18" s="55" t="str">
        <f aca="false">IF(OR(DB$2="",$D18=""),"",IF(IF(ISNUMBER($F18),AND(DB$2&gt;=$F18,DB$2&lt;=IF(ISNUMBER($G18),$G18,$F18+$E18-$D18)),FALSE()),2,IF(AND(DB$2&gt;=$D18,DB$2&lt;=$E18),1,"")))</f>
        <v/>
      </c>
      <c r="DC18" s="55" t="str">
        <f aca="false">IF(OR(DC$2="",$D18=""),"",IF(IF(ISNUMBER($F18),AND(DC$2&gt;=$F18,DC$2&lt;=IF(ISNUMBER($G18),$G18,$F18+$E18-$D18)),FALSE()),2,IF(AND(DC$2&gt;=$D18,DC$2&lt;=$E18),1,"")))</f>
        <v/>
      </c>
      <c r="DD18" s="55" t="str">
        <f aca="false">IF(OR(DD$2="",$D18=""),"",IF(IF(ISNUMBER($F18),AND(DD$2&gt;=$F18,DD$2&lt;=IF(ISNUMBER($G18),$G18,$F18+$E18-$D18)),FALSE()),2,IF(AND(DD$2&gt;=$D18,DD$2&lt;=$E18),1,"")))</f>
        <v/>
      </c>
      <c r="DE18" s="55" t="str">
        <f aca="false">IF(OR(DE$2="",$D18=""),"",IF(IF(ISNUMBER($F18),AND(DE$2&gt;=$F18,DE$2&lt;=IF(ISNUMBER($G18),$G18,$F18+$E18-$D18)),FALSE()),2,IF(AND(DE$2&gt;=$D18,DE$2&lt;=$E18),1,"")))</f>
        <v/>
      </c>
      <c r="DF18" s="55" t="str">
        <f aca="false">IF(OR(DF$2="",$D18=""),"",IF(IF(ISNUMBER($F18),AND(DF$2&gt;=$F18,DF$2&lt;=IF(ISNUMBER($G18),$G18,$F18+$E18-$D18)),FALSE()),2,IF(AND(DF$2&gt;=$D18,DF$2&lt;=$E18),1,"")))</f>
        <v/>
      </c>
      <c r="DG18" s="55" t="str">
        <f aca="false">IF(OR(DG$2="",$D18=""),"",IF(IF(ISNUMBER($F18),AND(DG$2&gt;=$F18,DG$2&lt;=IF(ISNUMBER($G18),$G18,$F18+$E18-$D18)),FALSE()),2,IF(AND(DG$2&gt;=$D18,DG$2&lt;=$E18),1,"")))</f>
        <v/>
      </c>
      <c r="DH18" s="55" t="str">
        <f aca="false">IF(OR(DH$2="",$D18=""),"",IF(IF(ISNUMBER($F18),AND(DH$2&gt;=$F18,DH$2&lt;=IF(ISNUMBER($G18),$G18,$F18+$E18-$D18)),FALSE()),2,IF(AND(DH$2&gt;=$D18,DH$2&lt;=$E18),1,"")))</f>
        <v/>
      </c>
      <c r="DI18" s="55" t="str">
        <f aca="false">IF(OR(DI$2="",$D18=""),"",IF(IF(ISNUMBER($F18),AND(DI$2&gt;=$F18,DI$2&lt;=IF(ISNUMBER($G18),$G18,$F18+$E18-$D18)),FALSE()),2,IF(AND(DI$2&gt;=$D18,DI$2&lt;=$E18),1,"")))</f>
        <v/>
      </c>
      <c r="DJ18" s="55" t="str">
        <f aca="false">IF(OR(DJ$2="",$D18=""),"",IF(IF(ISNUMBER($F18),AND(DJ$2&gt;=$F18,DJ$2&lt;=IF(ISNUMBER($G18),$G18,$F18+$E18-$D18)),FALSE()),2,IF(AND(DJ$2&gt;=$D18,DJ$2&lt;=$E18),1,"")))</f>
        <v/>
      </c>
      <c r="DK18" s="55" t="str">
        <f aca="false">IF(OR(DK$2="",$D18=""),"",IF(IF(ISNUMBER($F18),AND(DK$2&gt;=$F18,DK$2&lt;=IF(ISNUMBER($G18),$G18,$F18+$E18-$D18)),FALSE()),2,IF(AND(DK$2&gt;=$D18,DK$2&lt;=$E18),1,"")))</f>
        <v/>
      </c>
      <c r="DL18" s="55" t="str">
        <f aca="false">IF(OR(DL$2="",$D18=""),"",IF(IF(ISNUMBER($F18),AND(DL$2&gt;=$F18,DL$2&lt;=IF(ISNUMBER($G18),$G18,$F18+$E18-$D18)),FALSE()),2,IF(AND(DL$2&gt;=$D18,DL$2&lt;=$E18),1,"")))</f>
        <v/>
      </c>
      <c r="DM18" s="55" t="str">
        <f aca="false">IF(OR(DM$2="",$D18=""),"",IF(IF(ISNUMBER($F18),AND(DM$2&gt;=$F18,DM$2&lt;=IF(ISNUMBER($G18),$G18,$F18+$E18-$D18)),FALSE()),2,IF(AND(DM$2&gt;=$D18,DM$2&lt;=$E18),1,"")))</f>
        <v/>
      </c>
      <c r="DN18" s="55" t="str">
        <f aca="false">IF(OR(DN$2="",$D18=""),"",IF(IF(ISNUMBER($F18),AND(DN$2&gt;=$F18,DN$2&lt;=IF(ISNUMBER($G18),$G18,$F18+$E18-$D18)),FALSE()),2,IF(AND(DN$2&gt;=$D18,DN$2&lt;=$E18),1,"")))</f>
        <v/>
      </c>
      <c r="DO18" s="55" t="str">
        <f aca="false">IF(OR(DO$2="",$D18=""),"",IF(IF(ISNUMBER($F18),AND(DO$2&gt;=$F18,DO$2&lt;=IF(ISNUMBER($G18),$G18,$F18+$E18-$D18)),FALSE()),2,IF(AND(DO$2&gt;=$D18,DO$2&lt;=$E18),1,"")))</f>
        <v/>
      </c>
      <c r="DP18" s="55" t="str">
        <f aca="false">IF(OR(DP$2="",$D18=""),"",IF(IF(ISNUMBER($F18),AND(DP$2&gt;=$F18,DP$2&lt;=IF(ISNUMBER($G18),$G18,$F18+$E18-$D18)),FALSE()),2,IF(AND(DP$2&gt;=$D18,DP$2&lt;=$E18),1,"")))</f>
        <v/>
      </c>
      <c r="DQ18" s="55" t="str">
        <f aca="false">IF(OR(DQ$2="",$D18=""),"",IF(IF(ISNUMBER($F18),AND(DQ$2&gt;=$F18,DQ$2&lt;=IF(ISNUMBER($G18),$G18,$F18+$E18-$D18)),FALSE()),2,IF(AND(DQ$2&gt;=$D18,DQ$2&lt;=$E18),1,"")))</f>
        <v/>
      </c>
      <c r="DR18" s="55" t="str">
        <f aca="false">IF(OR(DR$2="",$D18=""),"",IF(IF(ISNUMBER($F18),AND(DR$2&gt;=$F18,DR$2&lt;=IF(ISNUMBER($G18),$G18,$F18+$E18-$D18)),FALSE()),2,IF(AND(DR$2&gt;=$D18,DR$2&lt;=$E18),1,"")))</f>
        <v/>
      </c>
      <c r="DS18" s="55" t="str">
        <f aca="false">IF(OR(DS$2="",$D18=""),"",IF(IF(ISNUMBER($F18),AND(DS$2&gt;=$F18,DS$2&lt;=IF(ISNUMBER($G18),$G18,$F18+$E18-$D18)),FALSE()),2,IF(AND(DS$2&gt;=$D18,DS$2&lt;=$E18),1,"")))</f>
        <v/>
      </c>
      <c r="DT18" s="55" t="str">
        <f aca="false">IF(OR(DT$2="",$D18=""),"",IF(IF(ISNUMBER($F18),AND(DT$2&gt;=$F18,DT$2&lt;=IF(ISNUMBER($G18),$G18,$F18+$E18-$D18)),FALSE()),2,IF(AND(DT$2&gt;=$D18,DT$2&lt;=$E18),1,"")))</f>
        <v/>
      </c>
      <c r="DU18" s="55" t="str">
        <f aca="false">IF(OR(DU$2="",$D18=""),"",IF(IF(ISNUMBER($F18),AND(DU$2&gt;=$F18,DU$2&lt;=IF(ISNUMBER($G18),$G18,$F18+$E18-$D18)),FALSE()),2,IF(AND(DU$2&gt;=$D18,DU$2&lt;=$E18),1,"")))</f>
        <v/>
      </c>
      <c r="DV18" s="55" t="str">
        <f aca="false">IF(OR(DV$2="",$D18=""),"",IF(IF(ISNUMBER($F18),AND(DV$2&gt;=$F18,DV$2&lt;=IF(ISNUMBER($G18),$G18,$F18+$E18-$D18)),FALSE()),2,IF(AND(DV$2&gt;=$D18,DV$2&lt;=$E18),1,"")))</f>
        <v/>
      </c>
      <c r="DW18" s="55" t="str">
        <f aca="false">IF(OR(DW$2="",$D18=""),"",IF(IF(ISNUMBER($F18),AND(DW$2&gt;=$F18,DW$2&lt;=IF(ISNUMBER($G18),$G18,$F18+$E18-$D18)),FALSE()),2,IF(AND(DW$2&gt;=$D18,DW$2&lt;=$E18),1,"")))</f>
        <v/>
      </c>
      <c r="DX18" s="55" t="str">
        <f aca="false">IF(OR(DX$2="",$D18=""),"",IF(IF(ISNUMBER($F18),AND(DX$2&gt;=$F18,DX$2&lt;=IF(ISNUMBER($G18),$G18,$F18+$E18-$D18)),FALSE()),2,IF(AND(DX$2&gt;=$D18,DX$2&lt;=$E18),1,"")))</f>
        <v/>
      </c>
      <c r="DY18" s="55" t="str">
        <f aca="false">IF(OR(DY$2="",$D18=""),"",IF(IF(ISNUMBER($F18),AND(DY$2&gt;=$F18,DY$2&lt;=IF(ISNUMBER($G18),$G18,$F18+$E18-$D18)),FALSE()),2,IF(AND(DY$2&gt;=$D18,DY$2&lt;=$E18),1,"")))</f>
        <v/>
      </c>
      <c r="DZ18" s="55" t="str">
        <f aca="false">IF(OR(DZ$2="",$D18=""),"",IF(IF(ISNUMBER($F18),AND(DZ$2&gt;=$F18,DZ$2&lt;=IF(ISNUMBER($G18),$G18,$F18+$E18-$D18)),FALSE()),2,IF(AND(DZ$2&gt;=$D18,DZ$2&lt;=$E18),1,"")))</f>
        <v/>
      </c>
      <c r="EA18" s="55" t="str">
        <f aca="false">IF(OR(EA$2="",$D18=""),"",IF(IF(ISNUMBER($F18),AND(EA$2&gt;=$F18,EA$2&lt;=IF(ISNUMBER($G18),$G18,$F18+$E18-$D18)),FALSE()),2,IF(AND(EA$2&gt;=$D18,EA$2&lt;=$E18),1,"")))</f>
        <v/>
      </c>
      <c r="EB18" s="55" t="str">
        <f aca="false">IF(OR(EB$2="",$D18=""),"",IF(IF(ISNUMBER($F18),AND(EB$2&gt;=$F18,EB$2&lt;=IF(ISNUMBER($G18),$G18,$F18+$E18-$D18)),FALSE()),2,IF(AND(EB$2&gt;=$D18,EB$2&lt;=$E18),1,"")))</f>
        <v/>
      </c>
      <c r="EC18" s="55" t="str">
        <f aca="false">IF(OR(EC$2="",$D18=""),"",IF(IF(ISNUMBER($F18),AND(EC$2&gt;=$F18,EC$2&lt;=IF(ISNUMBER($G18),$G18,$F18+$E18-$D18)),FALSE()),2,IF(AND(EC$2&gt;=$D18,EC$2&lt;=$E18),1,"")))</f>
        <v/>
      </c>
      <c r="ED18" s="55" t="n">
        <f aca="false">IF(OR(ED$2="",$D18=""),"",IF(IF(ISNUMBER($F18),AND(ED$2&gt;=$F18,ED$2&lt;=IF(ISNUMBER($G18),$G18,$F18+$E18-$D18)),FALSE()),2,IF(AND(ED$2&gt;=$D18,ED$2&lt;=$E18),1,"")))</f>
        <v>1</v>
      </c>
      <c r="EE18" s="55" t="n">
        <f aca="false">IF(OR(EE$2="",$D18=""),"",IF(IF(ISNUMBER($F18),AND(EE$2&gt;=$F18,EE$2&lt;=IF(ISNUMBER($G18),$G18,$F18+$E18-$D18)),FALSE()),2,IF(AND(EE$2&gt;=$D18,EE$2&lt;=$E18),1,"")))</f>
        <v>1</v>
      </c>
      <c r="EF18" s="55" t="n">
        <f aca="false">IF(OR(EF$2="",$D18=""),"",IF(IF(ISNUMBER($F18),AND(EF$2&gt;=$F18,EF$2&lt;=IF(ISNUMBER($G18),$G18,$F18+$E18-$D18)),FALSE()),2,IF(AND(EF$2&gt;=$D18,EF$2&lt;=$E18),1,"")))</f>
        <v>1</v>
      </c>
      <c r="EG18" s="55" t="n">
        <f aca="false">IF(OR(EG$2="",$D18=""),"",IF(IF(ISNUMBER($F18),AND(EG$2&gt;=$F18,EG$2&lt;=IF(ISNUMBER($G18),$G18,$F18+$E18-$D18)),FALSE()),2,IF(AND(EG$2&gt;=$D18,EG$2&lt;=$E18),1,"")))</f>
        <v>1</v>
      </c>
      <c r="EH18" s="55" t="n">
        <f aca="false">IF(OR(EH$2="",$D18=""),"",IF(IF(ISNUMBER($F18),AND(EH$2&gt;=$F18,EH$2&lt;=IF(ISNUMBER($G18),$G18,$F18+$E18-$D18)),FALSE()),2,IF(AND(EH$2&gt;=$D18,EH$2&lt;=$E18),1,"")))</f>
        <v>1</v>
      </c>
      <c r="EI18" s="55" t="n">
        <f aca="false">IF(OR(EI$2="",$D18=""),"",IF(IF(ISNUMBER($F18),AND(EI$2&gt;=$F18,EI$2&lt;=IF(ISNUMBER($G18),$G18,$F18+$E18-$D18)),FALSE()),2,IF(AND(EI$2&gt;=$D18,EI$2&lt;=$E18),1,"")))</f>
        <v>1</v>
      </c>
      <c r="EJ18" s="55" t="n">
        <f aca="false">IF(OR(EJ$2="",$D18=""),"",IF(IF(ISNUMBER($F18),AND(EJ$2&gt;=$F18,EJ$2&lt;=IF(ISNUMBER($G18),$G18,$F18+$E18-$D18)),FALSE()),2,IF(AND(EJ$2&gt;=$D18,EJ$2&lt;=$E18),1,"")))</f>
        <v>1</v>
      </c>
      <c r="EK18" s="55" t="n">
        <f aca="false">IF(OR(EK$2="",$D18=""),"",IF(IF(ISNUMBER($F18),AND(EK$2&gt;=$F18,EK$2&lt;=IF(ISNUMBER($G18),$G18,$F18+$E18-$D18)),FALSE()),2,IF(AND(EK$2&gt;=$D18,EK$2&lt;=$E18),1,"")))</f>
        <v>1</v>
      </c>
      <c r="EL18" s="55" t="str">
        <f aca="false">IF(OR(EL$2="",$D18=""),"",IF(IF(ISNUMBER($F18),AND(EL$2&gt;=$F18,EL$2&lt;=IF(ISNUMBER($G18),$G18,$F18+$E18-$D18)),FALSE()),2,IF(AND(EL$2&gt;=$D18,EL$2&lt;=$E18),1,"")))</f>
        <v/>
      </c>
      <c r="EM18" s="55" t="str">
        <f aca="false">IF(OR(EM$2="",$D18=""),"",IF(IF(ISNUMBER($F18),AND(EM$2&gt;=$F18,EM$2&lt;=IF(ISNUMBER($G18),$G18,$F18+$E18-$D18)),FALSE()),2,IF(AND(EM$2&gt;=$D18,EM$2&lt;=$E18),1,"")))</f>
        <v/>
      </c>
      <c r="EN18" s="55" t="str">
        <f aca="false">IF(OR(EN$2="",$D18=""),"",IF(IF(ISNUMBER($F18),AND(EN$2&gt;=$F18,EN$2&lt;=IF(ISNUMBER($G18),$G18,$F18+$E18-$D18)),FALSE()),2,IF(AND(EN$2&gt;=$D18,EN$2&lt;=$E18),1,"")))</f>
        <v/>
      </c>
      <c r="EO18" s="55" t="str">
        <f aca="false">IF(OR(EO$2="",$D18=""),"",IF(IF(ISNUMBER($F18),AND(EO$2&gt;=$F18,EO$2&lt;=IF(ISNUMBER($G18),$G18,$F18+$E18-$D18)),FALSE()),2,IF(AND(EO$2&gt;=$D18,EO$2&lt;=$E18),1,"")))</f>
        <v/>
      </c>
      <c r="EP18" s="55" t="str">
        <f aca="false">IF(OR(EP$2="",$D18=""),"",IF(IF(ISNUMBER($F18),AND(EP$2&gt;=$F18,EP$2&lt;=IF(ISNUMBER($G18),$G18,$F18+$E18-$D18)),FALSE()),2,IF(AND(EP$2&gt;=$D18,EP$2&lt;=$E18),1,"")))</f>
        <v/>
      </c>
      <c r="EQ18" s="55" t="str">
        <f aca="false">IF(OR(EQ$2="",$D18=""),"",IF(IF(ISNUMBER($F18),AND(EQ$2&gt;=$F18,EQ$2&lt;=IF(ISNUMBER($G18),$G18,$F18+$E18-$D18)),FALSE()),2,IF(AND(EQ$2&gt;=$D18,EQ$2&lt;=$E18),1,"")))</f>
        <v/>
      </c>
      <c r="ER18" s="55" t="str">
        <f aca="false">IF(OR(ER$2="",$D18=""),"",IF(IF(ISNUMBER($F18),AND(ER$2&gt;=$F18,ER$2&lt;=IF(ISNUMBER($G18),$G18,$F18+$E18-$D18)),FALSE()),2,IF(AND(ER$2&gt;=$D18,ER$2&lt;=$E18),1,"")))</f>
        <v/>
      </c>
      <c r="ES18" s="55" t="str">
        <f aca="false">IF(OR(ES$2="",$D18=""),"",IF(IF(ISNUMBER($F18),AND(ES$2&gt;=$F18,ES$2&lt;=IF(ISNUMBER($G18),$G18,$F18+$E18-$D18)),FALSE()),2,IF(AND(ES$2&gt;=$D18,ES$2&lt;=$E18),1,"")))</f>
        <v/>
      </c>
      <c r="ET18" s="55" t="str">
        <f aca="false">IF(OR(ET$2="",$D18=""),"",IF(IF(ISNUMBER($F18),AND(ET$2&gt;=$F18,ET$2&lt;=IF(ISNUMBER($G18),$G18,$F18+$E18-$D18)),FALSE()),2,IF(AND(ET$2&gt;=$D18,ET$2&lt;=$E18),1,"")))</f>
        <v/>
      </c>
      <c r="EU18" s="55" t="str">
        <f aca="false">IF(OR(EU$2="",$D18=""),"",IF(IF(ISNUMBER($F18),AND(EU$2&gt;=$F18,EU$2&lt;=IF(ISNUMBER($G18),$G18,$F18+$E18-$D18)),FALSE()),2,IF(AND(EU$2&gt;=$D18,EU$2&lt;=$E18),1,"")))</f>
        <v/>
      </c>
      <c r="EV18" s="55" t="str">
        <f aca="false">IF(OR(EV$2="",$D18=""),"",IF(IF(ISNUMBER($F18),AND(EV$2&gt;=$F18,EV$2&lt;=IF(ISNUMBER($G18),$G18,$F18+$E18-$D18)),FALSE()),2,IF(AND(EV$2&gt;=$D18,EV$2&lt;=$E18),1,"")))</f>
        <v/>
      </c>
      <c r="EW18" s="55" t="str">
        <f aca="false">IF(OR(EW$2="",$D18=""),"",IF(IF(ISNUMBER($F18),AND(EW$2&gt;=$F18,EW$2&lt;=IF(ISNUMBER($G18),$G18,$F18+$E18-$D18)),FALSE()),2,IF(AND(EW$2&gt;=$D18,EW$2&lt;=$E18),1,"")))</f>
        <v/>
      </c>
      <c r="EX18" s="55" t="str">
        <f aca="false">IF(OR(EX$2="",$D18=""),"",IF(IF(ISNUMBER($F18),AND(EX$2&gt;=$F18,EX$2&lt;=IF(ISNUMBER($G18),$G18,$F18+$E18-$D18)),FALSE()),2,IF(AND(EX$2&gt;=$D18,EX$2&lt;=$E18),1,"")))</f>
        <v/>
      </c>
      <c r="EY18" s="55" t="str">
        <f aca="false">IF(OR(EY$2="",$D18=""),"",IF(IF(ISNUMBER($F18),AND(EY$2&gt;=$F18,EY$2&lt;=IF(ISNUMBER($G18),$G18,$F18+$E18-$D18)),FALSE()),2,IF(AND(EY$2&gt;=$D18,EY$2&lt;=$E18),1,"")))</f>
        <v/>
      </c>
      <c r="EZ18" s="55" t="str">
        <f aca="false">IF(OR(EZ$2="",$D18=""),"",IF(IF(ISNUMBER($F18),AND(EZ$2&gt;=$F18,EZ$2&lt;=IF(ISNUMBER($G18),$G18,$F18+$E18-$D18)),FALSE()),2,IF(AND(EZ$2&gt;=$D18,EZ$2&lt;=$E18),1,"")))</f>
        <v/>
      </c>
      <c r="FA18" s="55" t="str">
        <f aca="false">IF(OR(FA$2="",$D18=""),"",IF(IF(ISNUMBER($F18),AND(FA$2&gt;=$F18,FA$2&lt;=IF(ISNUMBER($G18),$G18,$F18+$E18-$D18)),FALSE()),2,IF(AND(FA$2&gt;=$D18,FA$2&lt;=$E18),1,"")))</f>
        <v/>
      </c>
      <c r="FB18" s="55" t="str">
        <f aca="false">IF(OR(FB$2="",$D18=""),"",IF(IF(ISNUMBER($F18),AND(FB$2&gt;=$F18,FB$2&lt;=IF(ISNUMBER($G18),$G18,$F18+$E18-$D18)),FALSE()),2,IF(AND(FB$2&gt;=$D18,FB$2&lt;=$E18),1,"")))</f>
        <v/>
      </c>
      <c r="FC18" s="55" t="str">
        <f aca="false">IF(OR(FC$2="",$D18=""),"",IF(IF(ISNUMBER($F18),AND(FC$2&gt;=$F18,FC$2&lt;=IF(ISNUMBER($G18),$G18,$F18+$E18-$D18)),FALSE()),2,IF(AND(FC$2&gt;=$D18,FC$2&lt;=$E18),1,"")))</f>
        <v/>
      </c>
      <c r="FD18" s="55" t="str">
        <f aca="false">IF(OR(FD$2="",$D18=""),"",IF(IF(ISNUMBER($F18),AND(FD$2&gt;=$F18,FD$2&lt;=IF(ISNUMBER($G18),$G18,$F18+$E18-$D18)),FALSE()),2,IF(AND(FD$2&gt;=$D18,FD$2&lt;=$E18),1,"")))</f>
        <v/>
      </c>
      <c r="FE18" s="55" t="str">
        <f aca="false">IF(OR(FE$2="",$D18=""),"",IF(IF(ISNUMBER($F18),AND(FE$2&gt;=$F18,FE$2&lt;=IF(ISNUMBER($G18),$G18,$F18+$E18-$D18)),FALSE()),2,IF(AND(FE$2&gt;=$D18,FE$2&lt;=$E18),1,"")))</f>
        <v/>
      </c>
      <c r="FF18" s="55" t="str">
        <f aca="false">IF(OR(FF$2="",$D18=""),"",IF(IF(ISNUMBER($F18),AND(FF$2&gt;=$F18,FF$2&lt;=IF(ISNUMBER($G18),$G18,$F18+$E18-$D18)),FALSE()),2,IF(AND(FF$2&gt;=$D18,FF$2&lt;=$E18),1,"")))</f>
        <v/>
      </c>
      <c r="FG18" s="55" t="str">
        <f aca="false">IF(OR(FG$2="",$D18=""),"",IF(IF(ISNUMBER($F18),AND(FG$2&gt;=$F18,FG$2&lt;=IF(ISNUMBER($G18),$G18,$F18+$E18-$D18)),FALSE()),2,IF(AND(FG$2&gt;=$D18,FG$2&lt;=$E18),1,"")))</f>
        <v/>
      </c>
      <c r="FH18" s="55" t="str">
        <f aca="false">IF(OR(FH$2="",$D18=""),"",IF(IF(ISNUMBER($F18),AND(FH$2&gt;=$F18,FH$2&lt;=IF(ISNUMBER($G18),$G18,$F18+$E18-$D18)),FALSE()),2,IF(AND(FH$2&gt;=$D18,FH$2&lt;=$E18),1,"")))</f>
        <v/>
      </c>
      <c r="FI18" s="55" t="str">
        <f aca="false">IF(OR(FI$2="",$D18=""),"",IF(IF(ISNUMBER($F18),AND(FI$2&gt;=$F18,FI$2&lt;=IF(ISNUMBER($G18),$G18,$F18+$E18-$D18)),FALSE()),2,IF(AND(FI$2&gt;=$D18,FI$2&lt;=$E18),1,"")))</f>
        <v/>
      </c>
      <c r="FJ18" s="55" t="str">
        <f aca="false">IF(OR(FJ$2="",$D18=""),"",IF(IF(ISNUMBER($F18),AND(FJ$2&gt;=$F18,FJ$2&lt;=IF(ISNUMBER($G18),$G18,$F18+$E18-$D18)),FALSE()),2,IF(AND(FJ$2&gt;=$D18,FJ$2&lt;=$E18),1,"")))</f>
        <v/>
      </c>
      <c r="FK18" s="55" t="str">
        <f aca="false">IF(OR(FK$2="",$D18=""),"",IF(IF(ISNUMBER($F18),AND(FK$2&gt;=$F18,FK$2&lt;=IF(ISNUMBER($G18),$G18,$F18+$E18-$D18)),FALSE()),2,IF(AND(FK$2&gt;=$D18,FK$2&lt;=$E18),1,"")))</f>
        <v/>
      </c>
      <c r="FL18" s="55" t="str">
        <f aca="false">IF(OR(FL$2="",$D18=""),"",IF(IF(ISNUMBER($F18),AND(FL$2&gt;=$F18,FL$2&lt;=IF(ISNUMBER($G18),$G18,$F18+$E18-$D18)),FALSE()),2,IF(AND(FL$2&gt;=$D18,FL$2&lt;=$E18),1,"")))</f>
        <v/>
      </c>
      <c r="FM18" s="55" t="str">
        <f aca="false">IF(OR(FM$2="",$D18=""),"",IF(IF(ISNUMBER($F18),AND(FM$2&gt;=$F18,FM$2&lt;=IF(ISNUMBER($G18),$G18,$F18+$E18-$D18)),FALSE()),2,IF(AND(FM$2&gt;=$D18,FM$2&lt;=$E18),1,"")))</f>
        <v/>
      </c>
      <c r="FN18" s="55" t="str">
        <f aca="false">IF(OR(FN$2="",$D18=""),"",IF(IF(ISNUMBER($F18),AND(FN$2&gt;=$F18,FN$2&lt;=IF(ISNUMBER($G18),$G18,$F18+$E18-$D18)),FALSE()),2,IF(AND(FN$2&gt;=$D18,FN$2&lt;=$E18),1,"")))</f>
        <v/>
      </c>
      <c r="FO18" s="55" t="str">
        <f aca="false">IF(OR(FO$2="",$D18=""),"",IF(IF(ISNUMBER($F18),AND(FO$2&gt;=$F18,FO$2&lt;=IF(ISNUMBER($G18),$G18,$F18+$E18-$D18)),FALSE()),2,IF(AND(FO$2&gt;=$D18,FO$2&lt;=$E18),1,"")))</f>
        <v/>
      </c>
      <c r="FP18" s="55" t="str">
        <f aca="false">IF(OR(FP$2="",$D18=""),"",IF(IF(ISNUMBER($F18),AND(FP$2&gt;=$F18,FP$2&lt;=IF(ISNUMBER($G18),$G18,$F18+$E18-$D18)),FALSE()),2,IF(AND(FP$2&gt;=$D18,FP$2&lt;=$E18),1,"")))</f>
        <v/>
      </c>
      <c r="FQ18" s="55" t="str">
        <f aca="false">IF(OR(FQ$2="",$D18=""),"",IF(IF(ISNUMBER($F18),AND(FQ$2&gt;=$F18,FQ$2&lt;=IF(ISNUMBER($G18),$G18,$F18+$E18-$D18)),FALSE()),2,IF(AND(FQ$2&gt;=$D18,FQ$2&lt;=$E18),1,"")))</f>
        <v/>
      </c>
      <c r="FR18" s="55" t="str">
        <f aca="false">IF(OR(FR$2="",$D18=""),"",IF(IF(ISNUMBER($F18),AND(FR$2&gt;=$F18,FR$2&lt;=IF(ISNUMBER($G18),$G18,$F18+$E18-$D18)),FALSE()),2,IF(AND(FR$2&gt;=$D18,FR$2&lt;=$E18),1,"")))</f>
        <v/>
      </c>
      <c r="FS18" s="55" t="str">
        <f aca="false">IF(OR(FS$2="",$D18=""),"",IF(IF(ISNUMBER($F18),AND(FS$2&gt;=$F18,FS$2&lt;=IF(ISNUMBER($G18),$G18,$F18+$E18-$D18)),FALSE()),2,IF(AND(FS$2&gt;=$D18,FS$2&lt;=$E18),1,"")))</f>
        <v/>
      </c>
      <c r="FT18" s="55" t="str">
        <f aca="false">IF(OR(FT$2="",$D18=""),"",IF(IF(ISNUMBER($F18),AND(FT$2&gt;=$F18,FT$2&lt;=IF(ISNUMBER($G18),$G18,$F18+$E18-$D18)),FALSE()),2,IF(AND(FT$2&gt;=$D18,FT$2&lt;=$E18),1,"")))</f>
        <v/>
      </c>
      <c r="FU18" s="55" t="str">
        <f aca="false">IF(OR(FU$2="",$D18=""),"",IF(IF(ISNUMBER($F18),AND(FU$2&gt;=$F18,FU$2&lt;=IF(ISNUMBER($G18),$G18,$F18+$E18-$D18)),FALSE()),2,IF(AND(FU$2&gt;=$D18,FU$2&lt;=$E18),1,"")))</f>
        <v/>
      </c>
      <c r="FV18" s="55" t="str">
        <f aca="false">IF(OR(FV$2="",$D18=""),"",IF(IF(ISNUMBER($F18),AND(FV$2&gt;=$F18,FV$2&lt;=IF(ISNUMBER($G18),$G18,$F18+$E18-$D18)),FALSE()),2,IF(AND(FV$2&gt;=$D18,FV$2&lt;=$E18),1,"")))</f>
        <v/>
      </c>
      <c r="FW18" s="55" t="str">
        <f aca="false">IF(OR(FW$2="",$D18=""),"",IF(IF(ISNUMBER($F18),AND(FW$2&gt;=$F18,FW$2&lt;=IF(ISNUMBER($G18),$G18,$F18+$E18-$D18)),FALSE()),2,IF(AND(FW$2&gt;=$D18,FW$2&lt;=$E18),1,"")))</f>
        <v/>
      </c>
      <c r="FX18" s="55" t="str">
        <f aca="false">IF(OR(FX$2="",$D18=""),"",IF(IF(ISNUMBER($F18),AND(FX$2&gt;=$F18,FX$2&lt;=IF(ISNUMBER($G18),$G18,$F18+$E18-$D18)),FALSE()),2,IF(AND(FX$2&gt;=$D18,FX$2&lt;=$E18),1,"")))</f>
        <v/>
      </c>
      <c r="FY18" s="55" t="str">
        <f aca="false">IF(OR(FY$2="",$D18=""),"",IF(IF(ISNUMBER($F18),AND(FY$2&gt;=$F18,FY$2&lt;=IF(ISNUMBER($G18),$G18,$F18+$E18-$D18)),FALSE()),2,IF(AND(FY$2&gt;=$D18,FY$2&lt;=$E18),1,"")))</f>
        <v/>
      </c>
      <c r="FZ18" s="55" t="str">
        <f aca="false">IF(OR(FZ$2="",$D18=""),"",IF(IF(ISNUMBER($F18),AND(FZ$2&gt;=$F18,FZ$2&lt;=IF(ISNUMBER($G18),$G18,$F18+$E18-$D18)),FALSE()),2,IF(AND(FZ$2&gt;=$D18,FZ$2&lt;=$E18),1,"")))</f>
        <v/>
      </c>
      <c r="GA18" s="55" t="str">
        <f aca="false">IF(OR(GA$2="",$D18=""),"",IF(IF(ISNUMBER($F18),AND(GA$2&gt;=$F18,GA$2&lt;=IF(ISNUMBER($G18),$G18,$F18+$E18-$D18)),FALSE()),2,IF(AND(GA$2&gt;=$D18,GA$2&lt;=$E18),1,"")))</f>
        <v/>
      </c>
      <c r="GB18" s="55" t="str">
        <f aca="false">IF(OR(GB$2="",$D18=""),"",IF(IF(ISNUMBER($F18),AND(GB$2&gt;=$F18,GB$2&lt;=IF(ISNUMBER($G18),$G18,$F18+$E18-$D18)),FALSE()),2,IF(AND(GB$2&gt;=$D18,GB$2&lt;=$E18),1,"")))</f>
        <v/>
      </c>
      <c r="GC18" s="55" t="str">
        <f aca="false">IF(OR(GC$2="",$D18=""),"",IF(IF(ISNUMBER($F18),AND(GC$2&gt;=$F18,GC$2&lt;=IF(ISNUMBER($G18),$G18,$F18+$E18-$D18)),FALSE()),2,IF(AND(GC$2&gt;=$D18,GC$2&lt;=$E18),1,"")))</f>
        <v/>
      </c>
      <c r="GD18" s="55" t="str">
        <f aca="false">IF(OR(GD$2="",$D18=""),"",IF(IF(ISNUMBER($F18),AND(GD$2&gt;=$F18,GD$2&lt;=IF(ISNUMBER($G18),$G18,$F18+$E18-$D18)),FALSE()),2,IF(AND(GD$2&gt;=$D18,GD$2&lt;=$E18),1,"")))</f>
        <v/>
      </c>
      <c r="GE18" s="55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false" outlineLevel="0" collapsed="false">
      <c r="A19" s="54" t="s">
        <v>385</v>
      </c>
      <c r="B19" s="21" t="s">
        <v>386</v>
      </c>
      <c r="C19" s="21" t="s">
        <v>83</v>
      </c>
      <c r="D19" s="51" t="n">
        <f aca="false">IF(Day_0="","",Day_0+cfg_6)</f>
        <v>46114</v>
      </c>
      <c r="E19" s="51" t="n">
        <f aca="false">IF(D19="","",D19)</f>
        <v>46114</v>
      </c>
      <c r="F19" s="51" t="str">
        <f aca="false">IF(_xlfn.MINIFS(2_Daily_input!$D$1:$FQ$1,2_Daily_input!$D$71:$FQ$71,"Heading")+_xlfn.MINIFS(2_Daily_input!$D$1:$FQ$1,2_Daily_input!$D$72:$FQ$72,"Heading")=0,"",IF(_xlfn.MINIFS(2_Daily_input!$D$1:$FQ$1,2_Daily_input!$D$71:$FQ$71,"Heading")=0,_xlfn.MINIFS(2_Daily_input!$D$1:$FQ$1,2_Daily_input!$D$72:$FQ$72,"Heading"),IF(_xlfn.MINIFS(2_Daily_input!$D$1:$FQ$1,2_Daily_input!$D$72:$FQ$72,"Heading")=0,_xlfn.MINIFS(2_Daily_input!$D$1:$FQ$1,2_Daily_input!$D$71:$FQ$71,"Heading"),MIN(_xlfn.MINIFS(2_Daily_input!$D$1:$FQ$1,2_Daily_input!$D$71:$FQ$71,"Heading"),_xlfn.MINIFS(2_Daily_input!$D$1:$FQ$1,2_Daily_input!$D$72:$FQ$72,"Heading")))))</f>
        <v/>
      </c>
      <c r="G19" s="51" t="str">
        <f aca="false">""</f>
        <v/>
      </c>
      <c r="H19" s="50" t="str">
        <f aca="true">IF(D19="","no plan",IF(F19&lt;&gt;"",IF(F19-D19&gt;=2,"LATE","OK"),IF(TODAY()&gt;D19+2,"OVERDUE","upcoming")))</f>
        <v>OVERDUE</v>
      </c>
      <c r="I19" s="50" t="str">
        <f aca="false">IF(AND(D19&lt;&gt;"",F19&lt;&gt;""),F19-D19,"")</f>
        <v/>
      </c>
      <c r="J19" s="51" t="n">
        <f aca="false">IF(F19&lt;&gt;"",F19,D19)</f>
        <v>46114</v>
      </c>
      <c r="K19" s="51" t="n">
        <f aca="false">IF(G19&lt;&gt;"",G19,IF(AND(F19&lt;&gt;"",E19=D19),F19,E19))</f>
        <v>46114</v>
      </c>
      <c r="L19" s="50" t="str">
        <f aca="true">IF(AND(D19&lt;&gt;"",F19="",D19&gt;=TODAY()),D19+ROW()/1000,"")</f>
        <v/>
      </c>
      <c r="M19" s="55" t="str">
        <f aca="false">IF(OR(M$2="",$D19=""),"",IF(IF(ISNUMBER($F19),AND(M$2&gt;=$F19,M$2&lt;=IF(ISNUMBER($G19),$G19,$F19+$E19-$D19)),FALSE()),2,IF(AND(M$2&gt;=$D19,M$2&lt;=$E19),1,"")))</f>
        <v/>
      </c>
      <c r="N19" s="55" t="str">
        <f aca="false">IF(OR(N$2="",$D19=""),"",IF(IF(ISNUMBER($F19),AND(N$2&gt;=$F19,N$2&lt;=IF(ISNUMBER($G19),$G19,$F19+$E19-$D19)),FALSE()),2,IF(AND(N$2&gt;=$D19,N$2&lt;=$E19),1,"")))</f>
        <v/>
      </c>
      <c r="O19" s="55" t="str">
        <f aca="false">IF(OR(O$2="",$D19=""),"",IF(IF(ISNUMBER($F19),AND(O$2&gt;=$F19,O$2&lt;=IF(ISNUMBER($G19),$G19,$F19+$E19-$D19)),FALSE()),2,IF(AND(O$2&gt;=$D19,O$2&lt;=$E19),1,"")))</f>
        <v/>
      </c>
      <c r="P19" s="55" t="str">
        <f aca="false">IF(OR(P$2="",$D19=""),"",IF(IF(ISNUMBER($F19),AND(P$2&gt;=$F19,P$2&lt;=IF(ISNUMBER($G19),$G19,$F19+$E19-$D19)),FALSE()),2,IF(AND(P$2&gt;=$D19,P$2&lt;=$E19),1,"")))</f>
        <v/>
      </c>
      <c r="Q19" s="55" t="str">
        <f aca="false">IF(OR(Q$2="",$D19=""),"",IF(IF(ISNUMBER($F19),AND(Q$2&gt;=$F19,Q$2&lt;=IF(ISNUMBER($G19),$G19,$F19+$E19-$D19)),FALSE()),2,IF(AND(Q$2&gt;=$D19,Q$2&lt;=$E19),1,"")))</f>
        <v/>
      </c>
      <c r="R19" s="55" t="str">
        <f aca="false">IF(OR(R$2="",$D19=""),"",IF(IF(ISNUMBER($F19),AND(R$2&gt;=$F19,R$2&lt;=IF(ISNUMBER($G19),$G19,$F19+$E19-$D19)),FALSE()),2,IF(AND(R$2&gt;=$D19,R$2&lt;=$E19),1,"")))</f>
        <v/>
      </c>
      <c r="S19" s="55" t="str">
        <f aca="false">IF(OR(S$2="",$D19=""),"",IF(IF(ISNUMBER($F19),AND(S$2&gt;=$F19,S$2&lt;=IF(ISNUMBER($G19),$G19,$F19+$E19-$D19)),FALSE()),2,IF(AND(S$2&gt;=$D19,S$2&lt;=$E19),1,"")))</f>
        <v/>
      </c>
      <c r="T19" s="55" t="str">
        <f aca="false">IF(OR(T$2="",$D19=""),"",IF(IF(ISNUMBER($F19),AND(T$2&gt;=$F19,T$2&lt;=IF(ISNUMBER($G19),$G19,$F19+$E19-$D19)),FALSE()),2,IF(AND(T$2&gt;=$D19,T$2&lt;=$E19),1,"")))</f>
        <v/>
      </c>
      <c r="U19" s="55" t="str">
        <f aca="false">IF(OR(U$2="",$D19=""),"",IF(IF(ISNUMBER($F19),AND(U$2&gt;=$F19,U$2&lt;=IF(ISNUMBER($G19),$G19,$F19+$E19-$D19)),FALSE()),2,IF(AND(U$2&gt;=$D19,U$2&lt;=$E19),1,"")))</f>
        <v/>
      </c>
      <c r="V19" s="55" t="str">
        <f aca="false">IF(OR(V$2="",$D19=""),"",IF(IF(ISNUMBER($F19),AND(V$2&gt;=$F19,V$2&lt;=IF(ISNUMBER($G19),$G19,$F19+$E19-$D19)),FALSE()),2,IF(AND(V$2&gt;=$D19,V$2&lt;=$E19),1,"")))</f>
        <v/>
      </c>
      <c r="W19" s="55" t="str">
        <f aca="false">IF(OR(W$2="",$D19=""),"",IF(IF(ISNUMBER($F19),AND(W$2&gt;=$F19,W$2&lt;=IF(ISNUMBER($G19),$G19,$F19+$E19-$D19)),FALSE()),2,IF(AND(W$2&gt;=$D19,W$2&lt;=$E19),1,"")))</f>
        <v/>
      </c>
      <c r="X19" s="55" t="str">
        <f aca="false">IF(OR(X$2="",$D19=""),"",IF(IF(ISNUMBER($F19),AND(X$2&gt;=$F19,X$2&lt;=IF(ISNUMBER($G19),$G19,$F19+$E19-$D19)),FALSE()),2,IF(AND(X$2&gt;=$D19,X$2&lt;=$E19),1,"")))</f>
        <v/>
      </c>
      <c r="Y19" s="55" t="str">
        <f aca="false">IF(OR(Y$2="",$D19=""),"",IF(IF(ISNUMBER($F19),AND(Y$2&gt;=$F19,Y$2&lt;=IF(ISNUMBER($G19),$G19,$F19+$E19-$D19)),FALSE()),2,IF(AND(Y$2&gt;=$D19,Y$2&lt;=$E19),1,"")))</f>
        <v/>
      </c>
      <c r="Z19" s="55" t="str">
        <f aca="false">IF(OR(Z$2="",$D19=""),"",IF(IF(ISNUMBER($F19),AND(Z$2&gt;=$F19,Z$2&lt;=IF(ISNUMBER($G19),$G19,$F19+$E19-$D19)),FALSE()),2,IF(AND(Z$2&gt;=$D19,Z$2&lt;=$E19),1,"")))</f>
        <v/>
      </c>
      <c r="AA19" s="55" t="str">
        <f aca="false">IF(OR(AA$2="",$D19=""),"",IF(IF(ISNUMBER($F19),AND(AA$2&gt;=$F19,AA$2&lt;=IF(ISNUMBER($G19),$G19,$F19+$E19-$D19)),FALSE()),2,IF(AND(AA$2&gt;=$D19,AA$2&lt;=$E19),1,"")))</f>
        <v/>
      </c>
      <c r="AB19" s="55" t="str">
        <f aca="false">IF(OR(AB$2="",$D19=""),"",IF(IF(ISNUMBER($F19),AND(AB$2&gt;=$F19,AB$2&lt;=IF(ISNUMBER($G19),$G19,$F19+$E19-$D19)),FALSE()),2,IF(AND(AB$2&gt;=$D19,AB$2&lt;=$E19),1,"")))</f>
        <v/>
      </c>
      <c r="AC19" s="55" t="str">
        <f aca="false">IF(OR(AC$2="",$D19=""),"",IF(IF(ISNUMBER($F19),AND(AC$2&gt;=$F19,AC$2&lt;=IF(ISNUMBER($G19),$G19,$F19+$E19-$D19)),FALSE()),2,IF(AND(AC$2&gt;=$D19,AC$2&lt;=$E19),1,"")))</f>
        <v/>
      </c>
      <c r="AD19" s="55" t="str">
        <f aca="false">IF(OR(AD$2="",$D19=""),"",IF(IF(ISNUMBER($F19),AND(AD$2&gt;=$F19,AD$2&lt;=IF(ISNUMBER($G19),$G19,$F19+$E19-$D19)),FALSE()),2,IF(AND(AD$2&gt;=$D19,AD$2&lt;=$E19),1,"")))</f>
        <v/>
      </c>
      <c r="AE19" s="55" t="str">
        <f aca="false">IF(OR(AE$2="",$D19=""),"",IF(IF(ISNUMBER($F19),AND(AE$2&gt;=$F19,AE$2&lt;=IF(ISNUMBER($G19),$G19,$F19+$E19-$D19)),FALSE()),2,IF(AND(AE$2&gt;=$D19,AE$2&lt;=$E19),1,"")))</f>
        <v/>
      </c>
      <c r="AF19" s="55" t="str">
        <f aca="false">IF(OR(AF$2="",$D19=""),"",IF(IF(ISNUMBER($F19),AND(AF$2&gt;=$F19,AF$2&lt;=IF(ISNUMBER($G19),$G19,$F19+$E19-$D19)),FALSE()),2,IF(AND(AF$2&gt;=$D19,AF$2&lt;=$E19),1,"")))</f>
        <v/>
      </c>
      <c r="AG19" s="55" t="str">
        <f aca="false">IF(OR(AG$2="",$D19=""),"",IF(IF(ISNUMBER($F19),AND(AG$2&gt;=$F19,AG$2&lt;=IF(ISNUMBER($G19),$G19,$F19+$E19-$D19)),FALSE()),2,IF(AND(AG$2&gt;=$D19,AG$2&lt;=$E19),1,"")))</f>
        <v/>
      </c>
      <c r="AH19" s="55" t="str">
        <f aca="false">IF(OR(AH$2="",$D19=""),"",IF(IF(ISNUMBER($F19),AND(AH$2&gt;=$F19,AH$2&lt;=IF(ISNUMBER($G19),$G19,$F19+$E19-$D19)),FALSE()),2,IF(AND(AH$2&gt;=$D19,AH$2&lt;=$E19),1,"")))</f>
        <v/>
      </c>
      <c r="AI19" s="55" t="str">
        <f aca="false">IF(OR(AI$2="",$D19=""),"",IF(IF(ISNUMBER($F19),AND(AI$2&gt;=$F19,AI$2&lt;=IF(ISNUMBER($G19),$G19,$F19+$E19-$D19)),FALSE()),2,IF(AND(AI$2&gt;=$D19,AI$2&lt;=$E19),1,"")))</f>
        <v/>
      </c>
      <c r="AJ19" s="55" t="str">
        <f aca="false">IF(OR(AJ$2="",$D19=""),"",IF(IF(ISNUMBER($F19),AND(AJ$2&gt;=$F19,AJ$2&lt;=IF(ISNUMBER($G19),$G19,$F19+$E19-$D19)),FALSE()),2,IF(AND(AJ$2&gt;=$D19,AJ$2&lt;=$E19),1,"")))</f>
        <v/>
      </c>
      <c r="AK19" s="55" t="str">
        <f aca="false">IF(OR(AK$2="",$D19=""),"",IF(IF(ISNUMBER($F19),AND(AK$2&gt;=$F19,AK$2&lt;=IF(ISNUMBER($G19),$G19,$F19+$E19-$D19)),FALSE()),2,IF(AND(AK$2&gt;=$D19,AK$2&lt;=$E19),1,"")))</f>
        <v/>
      </c>
      <c r="AL19" s="55" t="str">
        <f aca="false">IF(OR(AL$2="",$D19=""),"",IF(IF(ISNUMBER($F19),AND(AL$2&gt;=$F19,AL$2&lt;=IF(ISNUMBER($G19),$G19,$F19+$E19-$D19)),FALSE()),2,IF(AND(AL$2&gt;=$D19,AL$2&lt;=$E19),1,"")))</f>
        <v/>
      </c>
      <c r="AM19" s="55" t="str">
        <f aca="false">IF(OR(AM$2="",$D19=""),"",IF(IF(ISNUMBER($F19),AND(AM$2&gt;=$F19,AM$2&lt;=IF(ISNUMBER($G19),$G19,$F19+$E19-$D19)),FALSE()),2,IF(AND(AM$2&gt;=$D19,AM$2&lt;=$E19),1,"")))</f>
        <v/>
      </c>
      <c r="AN19" s="55" t="str">
        <f aca="false">IF(OR(AN$2="",$D19=""),"",IF(IF(ISNUMBER($F19),AND(AN$2&gt;=$F19,AN$2&lt;=IF(ISNUMBER($G19),$G19,$F19+$E19-$D19)),FALSE()),2,IF(AND(AN$2&gt;=$D19,AN$2&lt;=$E19),1,"")))</f>
        <v/>
      </c>
      <c r="AO19" s="55" t="str">
        <f aca="false">IF(OR(AO$2="",$D19=""),"",IF(IF(ISNUMBER($F19),AND(AO$2&gt;=$F19,AO$2&lt;=IF(ISNUMBER($G19),$G19,$F19+$E19-$D19)),FALSE()),2,IF(AND(AO$2&gt;=$D19,AO$2&lt;=$E19),1,"")))</f>
        <v/>
      </c>
      <c r="AP19" s="55" t="str">
        <f aca="false">IF(OR(AP$2="",$D19=""),"",IF(IF(ISNUMBER($F19),AND(AP$2&gt;=$F19,AP$2&lt;=IF(ISNUMBER($G19),$G19,$F19+$E19-$D19)),FALSE()),2,IF(AND(AP$2&gt;=$D19,AP$2&lt;=$E19),1,"")))</f>
        <v/>
      </c>
      <c r="AQ19" s="55" t="str">
        <f aca="false">IF(OR(AQ$2="",$D19=""),"",IF(IF(ISNUMBER($F19),AND(AQ$2&gt;=$F19,AQ$2&lt;=IF(ISNUMBER($G19),$G19,$F19+$E19-$D19)),FALSE()),2,IF(AND(AQ$2&gt;=$D19,AQ$2&lt;=$E19),1,"")))</f>
        <v/>
      </c>
      <c r="AR19" s="55" t="str">
        <f aca="false">IF(OR(AR$2="",$D19=""),"",IF(IF(ISNUMBER($F19),AND(AR$2&gt;=$F19,AR$2&lt;=IF(ISNUMBER($G19),$G19,$F19+$E19-$D19)),FALSE()),2,IF(AND(AR$2&gt;=$D19,AR$2&lt;=$E19),1,"")))</f>
        <v/>
      </c>
      <c r="AS19" s="55" t="str">
        <f aca="false">IF(OR(AS$2="",$D19=""),"",IF(IF(ISNUMBER($F19),AND(AS$2&gt;=$F19,AS$2&lt;=IF(ISNUMBER($G19),$G19,$F19+$E19-$D19)),FALSE()),2,IF(AND(AS$2&gt;=$D19,AS$2&lt;=$E19),1,"")))</f>
        <v/>
      </c>
      <c r="AT19" s="55" t="str">
        <f aca="false">IF(OR(AT$2="",$D19=""),"",IF(IF(ISNUMBER($F19),AND(AT$2&gt;=$F19,AT$2&lt;=IF(ISNUMBER($G19),$G19,$F19+$E19-$D19)),FALSE()),2,IF(AND(AT$2&gt;=$D19,AT$2&lt;=$E19),1,"")))</f>
        <v/>
      </c>
      <c r="AU19" s="55" t="str">
        <f aca="false">IF(OR(AU$2="",$D19=""),"",IF(IF(ISNUMBER($F19),AND(AU$2&gt;=$F19,AU$2&lt;=IF(ISNUMBER($G19),$G19,$F19+$E19-$D19)),FALSE()),2,IF(AND(AU$2&gt;=$D19,AU$2&lt;=$E19),1,"")))</f>
        <v/>
      </c>
      <c r="AV19" s="55" t="str">
        <f aca="false">IF(OR(AV$2="",$D19=""),"",IF(IF(ISNUMBER($F19),AND(AV$2&gt;=$F19,AV$2&lt;=IF(ISNUMBER($G19),$G19,$F19+$E19-$D19)),FALSE()),2,IF(AND(AV$2&gt;=$D19,AV$2&lt;=$E19),1,"")))</f>
        <v/>
      </c>
      <c r="AW19" s="55" t="str">
        <f aca="false">IF(OR(AW$2="",$D19=""),"",IF(IF(ISNUMBER($F19),AND(AW$2&gt;=$F19,AW$2&lt;=IF(ISNUMBER($G19),$G19,$F19+$E19-$D19)),FALSE()),2,IF(AND(AW$2&gt;=$D19,AW$2&lt;=$E19),1,"")))</f>
        <v/>
      </c>
      <c r="AX19" s="55" t="str">
        <f aca="false">IF(OR(AX$2="",$D19=""),"",IF(IF(ISNUMBER($F19),AND(AX$2&gt;=$F19,AX$2&lt;=IF(ISNUMBER($G19),$G19,$F19+$E19-$D19)),FALSE()),2,IF(AND(AX$2&gt;=$D19,AX$2&lt;=$E19),1,"")))</f>
        <v/>
      </c>
      <c r="AY19" s="55" t="str">
        <f aca="false">IF(OR(AY$2="",$D19=""),"",IF(IF(ISNUMBER($F19),AND(AY$2&gt;=$F19,AY$2&lt;=IF(ISNUMBER($G19),$G19,$F19+$E19-$D19)),FALSE()),2,IF(AND(AY$2&gt;=$D19,AY$2&lt;=$E19),1,"")))</f>
        <v/>
      </c>
      <c r="AZ19" s="55" t="str">
        <f aca="false">IF(OR(AZ$2="",$D19=""),"",IF(IF(ISNUMBER($F19),AND(AZ$2&gt;=$F19,AZ$2&lt;=IF(ISNUMBER($G19),$G19,$F19+$E19-$D19)),FALSE()),2,IF(AND(AZ$2&gt;=$D19,AZ$2&lt;=$E19),1,"")))</f>
        <v/>
      </c>
      <c r="BA19" s="55" t="str">
        <f aca="false">IF(OR(BA$2="",$D19=""),"",IF(IF(ISNUMBER($F19),AND(BA$2&gt;=$F19,BA$2&lt;=IF(ISNUMBER($G19),$G19,$F19+$E19-$D19)),FALSE()),2,IF(AND(BA$2&gt;=$D19,BA$2&lt;=$E19),1,"")))</f>
        <v/>
      </c>
      <c r="BB19" s="55" t="str">
        <f aca="false">IF(OR(BB$2="",$D19=""),"",IF(IF(ISNUMBER($F19),AND(BB$2&gt;=$F19,BB$2&lt;=IF(ISNUMBER($G19),$G19,$F19+$E19-$D19)),FALSE()),2,IF(AND(BB$2&gt;=$D19,BB$2&lt;=$E19),1,"")))</f>
        <v/>
      </c>
      <c r="BC19" s="55" t="str">
        <f aca="false">IF(OR(BC$2="",$D19=""),"",IF(IF(ISNUMBER($F19),AND(BC$2&gt;=$F19,BC$2&lt;=IF(ISNUMBER($G19),$G19,$F19+$E19-$D19)),FALSE()),2,IF(AND(BC$2&gt;=$D19,BC$2&lt;=$E19),1,"")))</f>
        <v/>
      </c>
      <c r="BD19" s="55" t="str">
        <f aca="false">IF(OR(BD$2="",$D19=""),"",IF(IF(ISNUMBER($F19),AND(BD$2&gt;=$F19,BD$2&lt;=IF(ISNUMBER($G19),$G19,$F19+$E19-$D19)),FALSE()),2,IF(AND(BD$2&gt;=$D19,BD$2&lt;=$E19),1,"")))</f>
        <v/>
      </c>
      <c r="BE19" s="55" t="str">
        <f aca="false">IF(OR(BE$2="",$D19=""),"",IF(IF(ISNUMBER($F19),AND(BE$2&gt;=$F19,BE$2&lt;=IF(ISNUMBER($G19),$G19,$F19+$E19-$D19)),FALSE()),2,IF(AND(BE$2&gt;=$D19,BE$2&lt;=$E19),1,"")))</f>
        <v/>
      </c>
      <c r="BF19" s="55" t="str">
        <f aca="false">IF(OR(BF$2="",$D19=""),"",IF(IF(ISNUMBER($F19),AND(BF$2&gt;=$F19,BF$2&lt;=IF(ISNUMBER($G19),$G19,$F19+$E19-$D19)),FALSE()),2,IF(AND(BF$2&gt;=$D19,BF$2&lt;=$E19),1,"")))</f>
        <v/>
      </c>
      <c r="BG19" s="55" t="str">
        <f aca="false">IF(OR(BG$2="",$D19=""),"",IF(IF(ISNUMBER($F19),AND(BG$2&gt;=$F19,BG$2&lt;=IF(ISNUMBER($G19),$G19,$F19+$E19-$D19)),FALSE()),2,IF(AND(BG$2&gt;=$D19,BG$2&lt;=$E19),1,"")))</f>
        <v/>
      </c>
      <c r="BH19" s="55" t="str">
        <f aca="false">IF(OR(BH$2="",$D19=""),"",IF(IF(ISNUMBER($F19),AND(BH$2&gt;=$F19,BH$2&lt;=IF(ISNUMBER($G19),$G19,$F19+$E19-$D19)),FALSE()),2,IF(AND(BH$2&gt;=$D19,BH$2&lt;=$E19),1,"")))</f>
        <v/>
      </c>
      <c r="BI19" s="55" t="str">
        <f aca="false">IF(OR(BI$2="",$D19=""),"",IF(IF(ISNUMBER($F19),AND(BI$2&gt;=$F19,BI$2&lt;=IF(ISNUMBER($G19),$G19,$F19+$E19-$D19)),FALSE()),2,IF(AND(BI$2&gt;=$D19,BI$2&lt;=$E19),1,"")))</f>
        <v/>
      </c>
      <c r="BJ19" s="55" t="str">
        <f aca="false">IF(OR(BJ$2="",$D19=""),"",IF(IF(ISNUMBER($F19),AND(BJ$2&gt;=$F19,BJ$2&lt;=IF(ISNUMBER($G19),$G19,$F19+$E19-$D19)),FALSE()),2,IF(AND(BJ$2&gt;=$D19,BJ$2&lt;=$E19),1,"")))</f>
        <v/>
      </c>
      <c r="BK19" s="55" t="str">
        <f aca="false">IF(OR(BK$2="",$D19=""),"",IF(IF(ISNUMBER($F19),AND(BK$2&gt;=$F19,BK$2&lt;=IF(ISNUMBER($G19),$G19,$F19+$E19-$D19)),FALSE()),2,IF(AND(BK$2&gt;=$D19,BK$2&lt;=$E19),1,"")))</f>
        <v/>
      </c>
      <c r="BL19" s="55" t="str">
        <f aca="false">IF(OR(BL$2="",$D19=""),"",IF(IF(ISNUMBER($F19),AND(BL$2&gt;=$F19,BL$2&lt;=IF(ISNUMBER($G19),$G19,$F19+$E19-$D19)),FALSE()),2,IF(AND(BL$2&gt;=$D19,BL$2&lt;=$E19),1,"")))</f>
        <v/>
      </c>
      <c r="BM19" s="55" t="str">
        <f aca="false">IF(OR(BM$2="",$D19=""),"",IF(IF(ISNUMBER($F19),AND(BM$2&gt;=$F19,BM$2&lt;=IF(ISNUMBER($G19),$G19,$F19+$E19-$D19)),FALSE()),2,IF(AND(BM$2&gt;=$D19,BM$2&lt;=$E19),1,"")))</f>
        <v/>
      </c>
      <c r="BN19" s="55" t="str">
        <f aca="false">IF(OR(BN$2="",$D19=""),"",IF(IF(ISNUMBER($F19),AND(BN$2&gt;=$F19,BN$2&lt;=IF(ISNUMBER($G19),$G19,$F19+$E19-$D19)),FALSE()),2,IF(AND(BN$2&gt;=$D19,BN$2&lt;=$E19),1,"")))</f>
        <v/>
      </c>
      <c r="BO19" s="55" t="str">
        <f aca="false">IF(OR(BO$2="",$D19=""),"",IF(IF(ISNUMBER($F19),AND(BO$2&gt;=$F19,BO$2&lt;=IF(ISNUMBER($G19),$G19,$F19+$E19-$D19)),FALSE()),2,IF(AND(BO$2&gt;=$D19,BO$2&lt;=$E19),1,"")))</f>
        <v/>
      </c>
      <c r="BP19" s="55" t="str">
        <f aca="false">IF(OR(BP$2="",$D19=""),"",IF(IF(ISNUMBER($F19),AND(BP$2&gt;=$F19,BP$2&lt;=IF(ISNUMBER($G19),$G19,$F19+$E19-$D19)),FALSE()),2,IF(AND(BP$2&gt;=$D19,BP$2&lt;=$E19),1,"")))</f>
        <v/>
      </c>
      <c r="BQ19" s="55" t="str">
        <f aca="false">IF(OR(BQ$2="",$D19=""),"",IF(IF(ISNUMBER($F19),AND(BQ$2&gt;=$F19,BQ$2&lt;=IF(ISNUMBER($G19),$G19,$F19+$E19-$D19)),FALSE()),2,IF(AND(BQ$2&gt;=$D19,BQ$2&lt;=$E19),1,"")))</f>
        <v/>
      </c>
      <c r="BR19" s="55" t="str">
        <f aca="false">IF(OR(BR$2="",$D19=""),"",IF(IF(ISNUMBER($F19),AND(BR$2&gt;=$F19,BR$2&lt;=IF(ISNUMBER($G19),$G19,$F19+$E19-$D19)),FALSE()),2,IF(AND(BR$2&gt;=$D19,BR$2&lt;=$E19),1,"")))</f>
        <v/>
      </c>
      <c r="BS19" s="55" t="str">
        <f aca="false">IF(OR(BS$2="",$D19=""),"",IF(IF(ISNUMBER($F19),AND(BS$2&gt;=$F19,BS$2&lt;=IF(ISNUMBER($G19),$G19,$F19+$E19-$D19)),FALSE()),2,IF(AND(BS$2&gt;=$D19,BS$2&lt;=$E19),1,"")))</f>
        <v/>
      </c>
      <c r="BT19" s="55" t="str">
        <f aca="false">IF(OR(BT$2="",$D19=""),"",IF(IF(ISNUMBER($F19),AND(BT$2&gt;=$F19,BT$2&lt;=IF(ISNUMBER($G19),$G19,$F19+$E19-$D19)),FALSE()),2,IF(AND(BT$2&gt;=$D19,BT$2&lt;=$E19),1,"")))</f>
        <v/>
      </c>
      <c r="BU19" s="55" t="str">
        <f aca="false">IF(OR(BU$2="",$D19=""),"",IF(IF(ISNUMBER($F19),AND(BU$2&gt;=$F19,BU$2&lt;=IF(ISNUMBER($G19),$G19,$F19+$E19-$D19)),FALSE()),2,IF(AND(BU$2&gt;=$D19,BU$2&lt;=$E19),1,"")))</f>
        <v/>
      </c>
      <c r="BV19" s="55" t="str">
        <f aca="false">IF(OR(BV$2="",$D19=""),"",IF(IF(ISNUMBER($F19),AND(BV$2&gt;=$F19,BV$2&lt;=IF(ISNUMBER($G19),$G19,$F19+$E19-$D19)),FALSE()),2,IF(AND(BV$2&gt;=$D19,BV$2&lt;=$E19),1,"")))</f>
        <v/>
      </c>
      <c r="BW19" s="55" t="str">
        <f aca="false">IF(OR(BW$2="",$D19=""),"",IF(IF(ISNUMBER($F19),AND(BW$2&gt;=$F19,BW$2&lt;=IF(ISNUMBER($G19),$G19,$F19+$E19-$D19)),FALSE()),2,IF(AND(BW$2&gt;=$D19,BW$2&lt;=$E19),1,"")))</f>
        <v/>
      </c>
      <c r="BX19" s="55" t="str">
        <f aca="false">IF(OR(BX$2="",$D19=""),"",IF(IF(ISNUMBER($F19),AND(BX$2&gt;=$F19,BX$2&lt;=IF(ISNUMBER($G19),$G19,$F19+$E19-$D19)),FALSE()),2,IF(AND(BX$2&gt;=$D19,BX$2&lt;=$E19),1,"")))</f>
        <v/>
      </c>
      <c r="BY19" s="55" t="str">
        <f aca="false">IF(OR(BY$2="",$D19=""),"",IF(IF(ISNUMBER($F19),AND(BY$2&gt;=$F19,BY$2&lt;=IF(ISNUMBER($G19),$G19,$F19+$E19-$D19)),FALSE()),2,IF(AND(BY$2&gt;=$D19,BY$2&lt;=$E19),1,"")))</f>
        <v/>
      </c>
      <c r="BZ19" s="55" t="str">
        <f aca="false">IF(OR(BZ$2="",$D19=""),"",IF(IF(ISNUMBER($F19),AND(BZ$2&gt;=$F19,BZ$2&lt;=IF(ISNUMBER($G19),$G19,$F19+$E19-$D19)),FALSE()),2,IF(AND(BZ$2&gt;=$D19,BZ$2&lt;=$E19),1,"")))</f>
        <v/>
      </c>
      <c r="CA19" s="55" t="str">
        <f aca="false">IF(OR(CA$2="",$D19=""),"",IF(IF(ISNUMBER($F19),AND(CA$2&gt;=$F19,CA$2&lt;=IF(ISNUMBER($G19),$G19,$F19+$E19-$D19)),FALSE()),2,IF(AND(CA$2&gt;=$D19,CA$2&lt;=$E19),1,"")))</f>
        <v/>
      </c>
      <c r="CB19" s="55" t="str">
        <f aca="false">IF(OR(CB$2="",$D19=""),"",IF(IF(ISNUMBER($F19),AND(CB$2&gt;=$F19,CB$2&lt;=IF(ISNUMBER($G19),$G19,$F19+$E19-$D19)),FALSE()),2,IF(AND(CB$2&gt;=$D19,CB$2&lt;=$E19),1,"")))</f>
        <v/>
      </c>
      <c r="CC19" s="55" t="str">
        <f aca="false">IF(OR(CC$2="",$D19=""),"",IF(IF(ISNUMBER($F19),AND(CC$2&gt;=$F19,CC$2&lt;=IF(ISNUMBER($G19),$G19,$F19+$E19-$D19)),FALSE()),2,IF(AND(CC$2&gt;=$D19,CC$2&lt;=$E19),1,"")))</f>
        <v/>
      </c>
      <c r="CD19" s="55" t="str">
        <f aca="false">IF(OR(CD$2="",$D19=""),"",IF(IF(ISNUMBER($F19),AND(CD$2&gt;=$F19,CD$2&lt;=IF(ISNUMBER($G19),$G19,$F19+$E19-$D19)),FALSE()),2,IF(AND(CD$2&gt;=$D19,CD$2&lt;=$E19),1,"")))</f>
        <v/>
      </c>
      <c r="CE19" s="55" t="str">
        <f aca="false">IF(OR(CE$2="",$D19=""),"",IF(IF(ISNUMBER($F19),AND(CE$2&gt;=$F19,CE$2&lt;=IF(ISNUMBER($G19),$G19,$F19+$E19-$D19)),FALSE()),2,IF(AND(CE$2&gt;=$D19,CE$2&lt;=$E19),1,"")))</f>
        <v/>
      </c>
      <c r="CF19" s="55" t="str">
        <f aca="false">IF(OR(CF$2="",$D19=""),"",IF(IF(ISNUMBER($F19),AND(CF$2&gt;=$F19,CF$2&lt;=IF(ISNUMBER($G19),$G19,$F19+$E19-$D19)),FALSE()),2,IF(AND(CF$2&gt;=$D19,CF$2&lt;=$E19),1,"")))</f>
        <v/>
      </c>
      <c r="CG19" s="55" t="str">
        <f aca="false">IF(OR(CG$2="",$D19=""),"",IF(IF(ISNUMBER($F19),AND(CG$2&gt;=$F19,CG$2&lt;=IF(ISNUMBER($G19),$G19,$F19+$E19-$D19)),FALSE()),2,IF(AND(CG$2&gt;=$D19,CG$2&lt;=$E19),1,"")))</f>
        <v/>
      </c>
      <c r="CH19" s="55" t="str">
        <f aca="false">IF(OR(CH$2="",$D19=""),"",IF(IF(ISNUMBER($F19),AND(CH$2&gt;=$F19,CH$2&lt;=IF(ISNUMBER($G19),$G19,$F19+$E19-$D19)),FALSE()),2,IF(AND(CH$2&gt;=$D19,CH$2&lt;=$E19),1,"")))</f>
        <v/>
      </c>
      <c r="CI19" s="55" t="str">
        <f aca="false">IF(OR(CI$2="",$D19=""),"",IF(IF(ISNUMBER($F19),AND(CI$2&gt;=$F19,CI$2&lt;=IF(ISNUMBER($G19),$G19,$F19+$E19-$D19)),FALSE()),2,IF(AND(CI$2&gt;=$D19,CI$2&lt;=$E19),1,"")))</f>
        <v/>
      </c>
      <c r="CJ19" s="55" t="str">
        <f aca="false">IF(OR(CJ$2="",$D19=""),"",IF(IF(ISNUMBER($F19),AND(CJ$2&gt;=$F19,CJ$2&lt;=IF(ISNUMBER($G19),$G19,$F19+$E19-$D19)),FALSE()),2,IF(AND(CJ$2&gt;=$D19,CJ$2&lt;=$E19),1,"")))</f>
        <v/>
      </c>
      <c r="CK19" s="55" t="str">
        <f aca="false">IF(OR(CK$2="",$D19=""),"",IF(IF(ISNUMBER($F19),AND(CK$2&gt;=$F19,CK$2&lt;=IF(ISNUMBER($G19),$G19,$F19+$E19-$D19)),FALSE()),2,IF(AND(CK$2&gt;=$D19,CK$2&lt;=$E19),1,"")))</f>
        <v/>
      </c>
      <c r="CL19" s="55" t="str">
        <f aca="false">IF(OR(CL$2="",$D19=""),"",IF(IF(ISNUMBER($F19),AND(CL$2&gt;=$F19,CL$2&lt;=IF(ISNUMBER($G19),$G19,$F19+$E19-$D19)),FALSE()),2,IF(AND(CL$2&gt;=$D19,CL$2&lt;=$E19),1,"")))</f>
        <v/>
      </c>
      <c r="CM19" s="55" t="str">
        <f aca="false">IF(OR(CM$2="",$D19=""),"",IF(IF(ISNUMBER($F19),AND(CM$2&gt;=$F19,CM$2&lt;=IF(ISNUMBER($G19),$G19,$F19+$E19-$D19)),FALSE()),2,IF(AND(CM$2&gt;=$D19,CM$2&lt;=$E19),1,"")))</f>
        <v/>
      </c>
      <c r="CN19" s="55" t="str">
        <f aca="false">IF(OR(CN$2="",$D19=""),"",IF(IF(ISNUMBER($F19),AND(CN$2&gt;=$F19,CN$2&lt;=IF(ISNUMBER($G19),$G19,$F19+$E19-$D19)),FALSE()),2,IF(AND(CN$2&gt;=$D19,CN$2&lt;=$E19),1,"")))</f>
        <v/>
      </c>
      <c r="CO19" s="55" t="str">
        <f aca="false">IF(OR(CO$2="",$D19=""),"",IF(IF(ISNUMBER($F19),AND(CO$2&gt;=$F19,CO$2&lt;=IF(ISNUMBER($G19),$G19,$F19+$E19-$D19)),FALSE()),2,IF(AND(CO$2&gt;=$D19,CO$2&lt;=$E19),1,"")))</f>
        <v/>
      </c>
      <c r="CP19" s="55" t="str">
        <f aca="false">IF(OR(CP$2="",$D19=""),"",IF(IF(ISNUMBER($F19),AND(CP$2&gt;=$F19,CP$2&lt;=IF(ISNUMBER($G19),$G19,$F19+$E19-$D19)),FALSE()),2,IF(AND(CP$2&gt;=$D19,CP$2&lt;=$E19),1,"")))</f>
        <v/>
      </c>
      <c r="CQ19" s="55" t="str">
        <f aca="false">IF(OR(CQ$2="",$D19=""),"",IF(IF(ISNUMBER($F19),AND(CQ$2&gt;=$F19,CQ$2&lt;=IF(ISNUMBER($G19),$G19,$F19+$E19-$D19)),FALSE()),2,IF(AND(CQ$2&gt;=$D19,CQ$2&lt;=$E19),1,"")))</f>
        <v/>
      </c>
      <c r="CR19" s="55" t="str">
        <f aca="false">IF(OR(CR$2="",$D19=""),"",IF(IF(ISNUMBER($F19),AND(CR$2&gt;=$F19,CR$2&lt;=IF(ISNUMBER($G19),$G19,$F19+$E19-$D19)),FALSE()),2,IF(AND(CR$2&gt;=$D19,CR$2&lt;=$E19),1,"")))</f>
        <v/>
      </c>
      <c r="CS19" s="55" t="str">
        <f aca="false">IF(OR(CS$2="",$D19=""),"",IF(IF(ISNUMBER($F19),AND(CS$2&gt;=$F19,CS$2&lt;=IF(ISNUMBER($G19),$G19,$F19+$E19-$D19)),FALSE()),2,IF(AND(CS$2&gt;=$D19,CS$2&lt;=$E19),1,"")))</f>
        <v/>
      </c>
      <c r="CT19" s="55" t="str">
        <f aca="false">IF(OR(CT$2="",$D19=""),"",IF(IF(ISNUMBER($F19),AND(CT$2&gt;=$F19,CT$2&lt;=IF(ISNUMBER($G19),$G19,$F19+$E19-$D19)),FALSE()),2,IF(AND(CT$2&gt;=$D19,CT$2&lt;=$E19),1,"")))</f>
        <v/>
      </c>
      <c r="CU19" s="55" t="str">
        <f aca="false">IF(OR(CU$2="",$D19=""),"",IF(IF(ISNUMBER($F19),AND(CU$2&gt;=$F19,CU$2&lt;=IF(ISNUMBER($G19),$G19,$F19+$E19-$D19)),FALSE()),2,IF(AND(CU$2&gt;=$D19,CU$2&lt;=$E19),1,"")))</f>
        <v/>
      </c>
      <c r="CV19" s="55" t="str">
        <f aca="false">IF(OR(CV$2="",$D19=""),"",IF(IF(ISNUMBER($F19),AND(CV$2&gt;=$F19,CV$2&lt;=IF(ISNUMBER($G19),$G19,$F19+$E19-$D19)),FALSE()),2,IF(AND(CV$2&gt;=$D19,CV$2&lt;=$E19),1,"")))</f>
        <v/>
      </c>
      <c r="CW19" s="55" t="str">
        <f aca="false">IF(OR(CW$2="",$D19=""),"",IF(IF(ISNUMBER($F19),AND(CW$2&gt;=$F19,CW$2&lt;=IF(ISNUMBER($G19),$G19,$F19+$E19-$D19)),FALSE()),2,IF(AND(CW$2&gt;=$D19,CW$2&lt;=$E19),1,"")))</f>
        <v/>
      </c>
      <c r="CX19" s="55" t="str">
        <f aca="false">IF(OR(CX$2="",$D19=""),"",IF(IF(ISNUMBER($F19),AND(CX$2&gt;=$F19,CX$2&lt;=IF(ISNUMBER($G19),$G19,$F19+$E19-$D19)),FALSE()),2,IF(AND(CX$2&gt;=$D19,CX$2&lt;=$E19),1,"")))</f>
        <v/>
      </c>
      <c r="CY19" s="55" t="str">
        <f aca="false">IF(OR(CY$2="",$D19=""),"",IF(IF(ISNUMBER($F19),AND(CY$2&gt;=$F19,CY$2&lt;=IF(ISNUMBER($G19),$G19,$F19+$E19-$D19)),FALSE()),2,IF(AND(CY$2&gt;=$D19,CY$2&lt;=$E19),1,"")))</f>
        <v/>
      </c>
      <c r="CZ19" s="55" t="str">
        <f aca="false">IF(OR(CZ$2="",$D19=""),"",IF(IF(ISNUMBER($F19),AND(CZ$2&gt;=$F19,CZ$2&lt;=IF(ISNUMBER($G19),$G19,$F19+$E19-$D19)),FALSE()),2,IF(AND(CZ$2&gt;=$D19,CZ$2&lt;=$E19),1,"")))</f>
        <v/>
      </c>
      <c r="DA19" s="55" t="str">
        <f aca="false">IF(OR(DA$2="",$D19=""),"",IF(IF(ISNUMBER($F19),AND(DA$2&gt;=$F19,DA$2&lt;=IF(ISNUMBER($G19),$G19,$F19+$E19-$D19)),FALSE()),2,IF(AND(DA$2&gt;=$D19,DA$2&lt;=$E19),1,"")))</f>
        <v/>
      </c>
      <c r="DB19" s="55" t="str">
        <f aca="false">IF(OR(DB$2="",$D19=""),"",IF(IF(ISNUMBER($F19),AND(DB$2&gt;=$F19,DB$2&lt;=IF(ISNUMBER($G19),$G19,$F19+$E19-$D19)),FALSE()),2,IF(AND(DB$2&gt;=$D19,DB$2&lt;=$E19),1,"")))</f>
        <v/>
      </c>
      <c r="DC19" s="55" t="str">
        <f aca="false">IF(OR(DC$2="",$D19=""),"",IF(IF(ISNUMBER($F19),AND(DC$2&gt;=$F19,DC$2&lt;=IF(ISNUMBER($G19),$G19,$F19+$E19-$D19)),FALSE()),2,IF(AND(DC$2&gt;=$D19,DC$2&lt;=$E19),1,"")))</f>
        <v/>
      </c>
      <c r="DD19" s="55" t="str">
        <f aca="false">IF(OR(DD$2="",$D19=""),"",IF(IF(ISNUMBER($F19),AND(DD$2&gt;=$F19,DD$2&lt;=IF(ISNUMBER($G19),$G19,$F19+$E19-$D19)),FALSE()),2,IF(AND(DD$2&gt;=$D19,DD$2&lt;=$E19),1,"")))</f>
        <v/>
      </c>
      <c r="DE19" s="55" t="str">
        <f aca="false">IF(OR(DE$2="",$D19=""),"",IF(IF(ISNUMBER($F19),AND(DE$2&gt;=$F19,DE$2&lt;=IF(ISNUMBER($G19),$G19,$F19+$E19-$D19)),FALSE()),2,IF(AND(DE$2&gt;=$D19,DE$2&lt;=$E19),1,"")))</f>
        <v/>
      </c>
      <c r="DF19" s="55" t="str">
        <f aca="false">IF(OR(DF$2="",$D19=""),"",IF(IF(ISNUMBER($F19),AND(DF$2&gt;=$F19,DF$2&lt;=IF(ISNUMBER($G19),$G19,$F19+$E19-$D19)),FALSE()),2,IF(AND(DF$2&gt;=$D19,DF$2&lt;=$E19),1,"")))</f>
        <v/>
      </c>
      <c r="DG19" s="55" t="str">
        <f aca="false">IF(OR(DG$2="",$D19=""),"",IF(IF(ISNUMBER($F19),AND(DG$2&gt;=$F19,DG$2&lt;=IF(ISNUMBER($G19),$G19,$F19+$E19-$D19)),FALSE()),2,IF(AND(DG$2&gt;=$D19,DG$2&lt;=$E19),1,"")))</f>
        <v/>
      </c>
      <c r="DH19" s="55" t="str">
        <f aca="false">IF(OR(DH$2="",$D19=""),"",IF(IF(ISNUMBER($F19),AND(DH$2&gt;=$F19,DH$2&lt;=IF(ISNUMBER($G19),$G19,$F19+$E19-$D19)),FALSE()),2,IF(AND(DH$2&gt;=$D19,DH$2&lt;=$E19),1,"")))</f>
        <v/>
      </c>
      <c r="DI19" s="55" t="str">
        <f aca="false">IF(OR(DI$2="",$D19=""),"",IF(IF(ISNUMBER($F19),AND(DI$2&gt;=$F19,DI$2&lt;=IF(ISNUMBER($G19),$G19,$F19+$E19-$D19)),FALSE()),2,IF(AND(DI$2&gt;=$D19,DI$2&lt;=$E19),1,"")))</f>
        <v/>
      </c>
      <c r="DJ19" s="55" t="str">
        <f aca="false">IF(OR(DJ$2="",$D19=""),"",IF(IF(ISNUMBER($F19),AND(DJ$2&gt;=$F19,DJ$2&lt;=IF(ISNUMBER($G19),$G19,$F19+$E19-$D19)),FALSE()),2,IF(AND(DJ$2&gt;=$D19,DJ$2&lt;=$E19),1,"")))</f>
        <v/>
      </c>
      <c r="DK19" s="55" t="str">
        <f aca="false">IF(OR(DK$2="",$D19=""),"",IF(IF(ISNUMBER($F19),AND(DK$2&gt;=$F19,DK$2&lt;=IF(ISNUMBER($G19),$G19,$F19+$E19-$D19)),FALSE()),2,IF(AND(DK$2&gt;=$D19,DK$2&lt;=$E19),1,"")))</f>
        <v/>
      </c>
      <c r="DL19" s="55" t="str">
        <f aca="false">IF(OR(DL$2="",$D19=""),"",IF(IF(ISNUMBER($F19),AND(DL$2&gt;=$F19,DL$2&lt;=IF(ISNUMBER($G19),$G19,$F19+$E19-$D19)),FALSE()),2,IF(AND(DL$2&gt;=$D19,DL$2&lt;=$E19),1,"")))</f>
        <v/>
      </c>
      <c r="DM19" s="55" t="str">
        <f aca="false">IF(OR(DM$2="",$D19=""),"",IF(IF(ISNUMBER($F19),AND(DM$2&gt;=$F19,DM$2&lt;=IF(ISNUMBER($G19),$G19,$F19+$E19-$D19)),FALSE()),2,IF(AND(DM$2&gt;=$D19,DM$2&lt;=$E19),1,"")))</f>
        <v/>
      </c>
      <c r="DN19" s="55" t="str">
        <f aca="false">IF(OR(DN$2="",$D19=""),"",IF(IF(ISNUMBER($F19),AND(DN$2&gt;=$F19,DN$2&lt;=IF(ISNUMBER($G19),$G19,$F19+$E19-$D19)),FALSE()),2,IF(AND(DN$2&gt;=$D19,DN$2&lt;=$E19),1,"")))</f>
        <v/>
      </c>
      <c r="DO19" s="55" t="str">
        <f aca="false">IF(OR(DO$2="",$D19=""),"",IF(IF(ISNUMBER($F19),AND(DO$2&gt;=$F19,DO$2&lt;=IF(ISNUMBER($G19),$G19,$F19+$E19-$D19)),FALSE()),2,IF(AND(DO$2&gt;=$D19,DO$2&lt;=$E19),1,"")))</f>
        <v/>
      </c>
      <c r="DP19" s="55" t="str">
        <f aca="false">IF(OR(DP$2="",$D19=""),"",IF(IF(ISNUMBER($F19),AND(DP$2&gt;=$F19,DP$2&lt;=IF(ISNUMBER($G19),$G19,$F19+$E19-$D19)),FALSE()),2,IF(AND(DP$2&gt;=$D19,DP$2&lt;=$E19),1,"")))</f>
        <v/>
      </c>
      <c r="DQ19" s="55" t="str">
        <f aca="false">IF(OR(DQ$2="",$D19=""),"",IF(IF(ISNUMBER($F19),AND(DQ$2&gt;=$F19,DQ$2&lt;=IF(ISNUMBER($G19),$G19,$F19+$E19-$D19)),FALSE()),2,IF(AND(DQ$2&gt;=$D19,DQ$2&lt;=$E19),1,"")))</f>
        <v/>
      </c>
      <c r="DR19" s="55" t="str">
        <f aca="false">IF(OR(DR$2="",$D19=""),"",IF(IF(ISNUMBER($F19),AND(DR$2&gt;=$F19,DR$2&lt;=IF(ISNUMBER($G19),$G19,$F19+$E19-$D19)),FALSE()),2,IF(AND(DR$2&gt;=$D19,DR$2&lt;=$E19),1,"")))</f>
        <v/>
      </c>
      <c r="DS19" s="55" t="str">
        <f aca="false">IF(OR(DS$2="",$D19=""),"",IF(IF(ISNUMBER($F19),AND(DS$2&gt;=$F19,DS$2&lt;=IF(ISNUMBER($G19),$G19,$F19+$E19-$D19)),FALSE()),2,IF(AND(DS$2&gt;=$D19,DS$2&lt;=$E19),1,"")))</f>
        <v/>
      </c>
      <c r="DT19" s="55" t="str">
        <f aca="false">IF(OR(DT$2="",$D19=""),"",IF(IF(ISNUMBER($F19),AND(DT$2&gt;=$F19,DT$2&lt;=IF(ISNUMBER($G19),$G19,$F19+$E19-$D19)),FALSE()),2,IF(AND(DT$2&gt;=$D19,DT$2&lt;=$E19),1,"")))</f>
        <v/>
      </c>
      <c r="DU19" s="55" t="str">
        <f aca="false">IF(OR(DU$2="",$D19=""),"",IF(IF(ISNUMBER($F19),AND(DU$2&gt;=$F19,DU$2&lt;=IF(ISNUMBER($G19),$G19,$F19+$E19-$D19)),FALSE()),2,IF(AND(DU$2&gt;=$D19,DU$2&lt;=$E19),1,"")))</f>
        <v/>
      </c>
      <c r="DV19" s="55" t="str">
        <f aca="false">IF(OR(DV$2="",$D19=""),"",IF(IF(ISNUMBER($F19),AND(DV$2&gt;=$F19,DV$2&lt;=IF(ISNUMBER($G19),$G19,$F19+$E19-$D19)),FALSE()),2,IF(AND(DV$2&gt;=$D19,DV$2&lt;=$E19),1,"")))</f>
        <v/>
      </c>
      <c r="DW19" s="55" t="str">
        <f aca="false">IF(OR(DW$2="",$D19=""),"",IF(IF(ISNUMBER($F19),AND(DW$2&gt;=$F19,DW$2&lt;=IF(ISNUMBER($G19),$G19,$F19+$E19-$D19)),FALSE()),2,IF(AND(DW$2&gt;=$D19,DW$2&lt;=$E19),1,"")))</f>
        <v/>
      </c>
      <c r="DX19" s="55" t="str">
        <f aca="false">IF(OR(DX$2="",$D19=""),"",IF(IF(ISNUMBER($F19),AND(DX$2&gt;=$F19,DX$2&lt;=IF(ISNUMBER($G19),$G19,$F19+$E19-$D19)),FALSE()),2,IF(AND(DX$2&gt;=$D19,DX$2&lt;=$E19),1,"")))</f>
        <v/>
      </c>
      <c r="DY19" s="55" t="str">
        <f aca="false">IF(OR(DY$2="",$D19=""),"",IF(IF(ISNUMBER($F19),AND(DY$2&gt;=$F19,DY$2&lt;=IF(ISNUMBER($G19),$G19,$F19+$E19-$D19)),FALSE()),2,IF(AND(DY$2&gt;=$D19,DY$2&lt;=$E19),1,"")))</f>
        <v/>
      </c>
      <c r="DZ19" s="55" t="str">
        <f aca="false">IF(OR(DZ$2="",$D19=""),"",IF(IF(ISNUMBER($F19),AND(DZ$2&gt;=$F19,DZ$2&lt;=IF(ISNUMBER($G19),$G19,$F19+$E19-$D19)),FALSE()),2,IF(AND(DZ$2&gt;=$D19,DZ$2&lt;=$E19),1,"")))</f>
        <v/>
      </c>
      <c r="EA19" s="55" t="str">
        <f aca="false">IF(OR(EA$2="",$D19=""),"",IF(IF(ISNUMBER($F19),AND(EA$2&gt;=$F19,EA$2&lt;=IF(ISNUMBER($G19),$G19,$F19+$E19-$D19)),FALSE()),2,IF(AND(EA$2&gt;=$D19,EA$2&lt;=$E19),1,"")))</f>
        <v/>
      </c>
      <c r="EB19" s="55" t="str">
        <f aca="false">IF(OR(EB$2="",$D19=""),"",IF(IF(ISNUMBER($F19),AND(EB$2&gt;=$F19,EB$2&lt;=IF(ISNUMBER($G19),$G19,$F19+$E19-$D19)),FALSE()),2,IF(AND(EB$2&gt;=$D19,EB$2&lt;=$E19),1,"")))</f>
        <v/>
      </c>
      <c r="EC19" s="55" t="str">
        <f aca="false">IF(OR(EC$2="",$D19=""),"",IF(IF(ISNUMBER($F19),AND(EC$2&gt;=$F19,EC$2&lt;=IF(ISNUMBER($G19),$G19,$F19+$E19-$D19)),FALSE()),2,IF(AND(EC$2&gt;=$D19,EC$2&lt;=$E19),1,"")))</f>
        <v/>
      </c>
      <c r="ED19" s="55" t="str">
        <f aca="false">IF(OR(ED$2="",$D19=""),"",IF(IF(ISNUMBER($F19),AND(ED$2&gt;=$F19,ED$2&lt;=IF(ISNUMBER($G19),$G19,$F19+$E19-$D19)),FALSE()),2,IF(AND(ED$2&gt;=$D19,ED$2&lt;=$E19),1,"")))</f>
        <v/>
      </c>
      <c r="EE19" s="55" t="str">
        <f aca="false">IF(OR(EE$2="",$D19=""),"",IF(IF(ISNUMBER($F19),AND(EE$2&gt;=$F19,EE$2&lt;=IF(ISNUMBER($G19),$G19,$F19+$E19-$D19)),FALSE()),2,IF(AND(EE$2&gt;=$D19,EE$2&lt;=$E19),1,"")))</f>
        <v/>
      </c>
      <c r="EF19" s="55" t="str">
        <f aca="false">IF(OR(EF$2="",$D19=""),"",IF(IF(ISNUMBER($F19),AND(EF$2&gt;=$F19,EF$2&lt;=IF(ISNUMBER($G19),$G19,$F19+$E19-$D19)),FALSE()),2,IF(AND(EF$2&gt;=$D19,EF$2&lt;=$E19),1,"")))</f>
        <v/>
      </c>
      <c r="EG19" s="55" t="str">
        <f aca="false">IF(OR(EG$2="",$D19=""),"",IF(IF(ISNUMBER($F19),AND(EG$2&gt;=$F19,EG$2&lt;=IF(ISNUMBER($G19),$G19,$F19+$E19-$D19)),FALSE()),2,IF(AND(EG$2&gt;=$D19,EG$2&lt;=$E19),1,"")))</f>
        <v/>
      </c>
      <c r="EH19" s="55" t="str">
        <f aca="false">IF(OR(EH$2="",$D19=""),"",IF(IF(ISNUMBER($F19),AND(EH$2&gt;=$F19,EH$2&lt;=IF(ISNUMBER($G19),$G19,$F19+$E19-$D19)),FALSE()),2,IF(AND(EH$2&gt;=$D19,EH$2&lt;=$E19),1,"")))</f>
        <v/>
      </c>
      <c r="EI19" s="55" t="str">
        <f aca="false">IF(OR(EI$2="",$D19=""),"",IF(IF(ISNUMBER($F19),AND(EI$2&gt;=$F19,EI$2&lt;=IF(ISNUMBER($G19),$G19,$F19+$E19-$D19)),FALSE()),2,IF(AND(EI$2&gt;=$D19,EI$2&lt;=$E19),1,"")))</f>
        <v/>
      </c>
      <c r="EJ19" s="55" t="str">
        <f aca="false">IF(OR(EJ$2="",$D19=""),"",IF(IF(ISNUMBER($F19),AND(EJ$2&gt;=$F19,EJ$2&lt;=IF(ISNUMBER($G19),$G19,$F19+$E19-$D19)),FALSE()),2,IF(AND(EJ$2&gt;=$D19,EJ$2&lt;=$E19),1,"")))</f>
        <v/>
      </c>
      <c r="EK19" s="55" t="n">
        <f aca="false">IF(OR(EK$2="",$D19=""),"",IF(IF(ISNUMBER($F19),AND(EK$2&gt;=$F19,EK$2&lt;=IF(ISNUMBER($G19),$G19,$F19+$E19-$D19)),FALSE()),2,IF(AND(EK$2&gt;=$D19,EK$2&lt;=$E19),1,"")))</f>
        <v>1</v>
      </c>
      <c r="EL19" s="55" t="str">
        <f aca="false">IF(OR(EL$2="",$D19=""),"",IF(IF(ISNUMBER($F19),AND(EL$2&gt;=$F19,EL$2&lt;=IF(ISNUMBER($G19),$G19,$F19+$E19-$D19)),FALSE()),2,IF(AND(EL$2&gt;=$D19,EL$2&lt;=$E19),1,"")))</f>
        <v/>
      </c>
      <c r="EM19" s="55" t="str">
        <f aca="false">IF(OR(EM$2="",$D19=""),"",IF(IF(ISNUMBER($F19),AND(EM$2&gt;=$F19,EM$2&lt;=IF(ISNUMBER($G19),$G19,$F19+$E19-$D19)),FALSE()),2,IF(AND(EM$2&gt;=$D19,EM$2&lt;=$E19),1,"")))</f>
        <v/>
      </c>
      <c r="EN19" s="55" t="str">
        <f aca="false">IF(OR(EN$2="",$D19=""),"",IF(IF(ISNUMBER($F19),AND(EN$2&gt;=$F19,EN$2&lt;=IF(ISNUMBER($G19),$G19,$F19+$E19-$D19)),FALSE()),2,IF(AND(EN$2&gt;=$D19,EN$2&lt;=$E19),1,"")))</f>
        <v/>
      </c>
      <c r="EO19" s="55" t="str">
        <f aca="false">IF(OR(EO$2="",$D19=""),"",IF(IF(ISNUMBER($F19),AND(EO$2&gt;=$F19,EO$2&lt;=IF(ISNUMBER($G19),$G19,$F19+$E19-$D19)),FALSE()),2,IF(AND(EO$2&gt;=$D19,EO$2&lt;=$E19),1,"")))</f>
        <v/>
      </c>
      <c r="EP19" s="55" t="str">
        <f aca="false">IF(OR(EP$2="",$D19=""),"",IF(IF(ISNUMBER($F19),AND(EP$2&gt;=$F19,EP$2&lt;=IF(ISNUMBER($G19),$G19,$F19+$E19-$D19)),FALSE()),2,IF(AND(EP$2&gt;=$D19,EP$2&lt;=$E19),1,"")))</f>
        <v/>
      </c>
      <c r="EQ19" s="55" t="str">
        <f aca="false">IF(OR(EQ$2="",$D19=""),"",IF(IF(ISNUMBER($F19),AND(EQ$2&gt;=$F19,EQ$2&lt;=IF(ISNUMBER($G19),$G19,$F19+$E19-$D19)),FALSE()),2,IF(AND(EQ$2&gt;=$D19,EQ$2&lt;=$E19),1,"")))</f>
        <v/>
      </c>
      <c r="ER19" s="55" t="str">
        <f aca="false">IF(OR(ER$2="",$D19=""),"",IF(IF(ISNUMBER($F19),AND(ER$2&gt;=$F19,ER$2&lt;=IF(ISNUMBER($G19),$G19,$F19+$E19-$D19)),FALSE()),2,IF(AND(ER$2&gt;=$D19,ER$2&lt;=$E19),1,"")))</f>
        <v/>
      </c>
      <c r="ES19" s="55" t="str">
        <f aca="false">IF(OR(ES$2="",$D19=""),"",IF(IF(ISNUMBER($F19),AND(ES$2&gt;=$F19,ES$2&lt;=IF(ISNUMBER($G19),$G19,$F19+$E19-$D19)),FALSE()),2,IF(AND(ES$2&gt;=$D19,ES$2&lt;=$E19),1,"")))</f>
        <v/>
      </c>
      <c r="ET19" s="55" t="str">
        <f aca="false">IF(OR(ET$2="",$D19=""),"",IF(IF(ISNUMBER($F19),AND(ET$2&gt;=$F19,ET$2&lt;=IF(ISNUMBER($G19),$G19,$F19+$E19-$D19)),FALSE()),2,IF(AND(ET$2&gt;=$D19,ET$2&lt;=$E19),1,"")))</f>
        <v/>
      </c>
      <c r="EU19" s="55" t="str">
        <f aca="false">IF(OR(EU$2="",$D19=""),"",IF(IF(ISNUMBER($F19),AND(EU$2&gt;=$F19,EU$2&lt;=IF(ISNUMBER($G19),$G19,$F19+$E19-$D19)),FALSE()),2,IF(AND(EU$2&gt;=$D19,EU$2&lt;=$E19),1,"")))</f>
        <v/>
      </c>
      <c r="EV19" s="55" t="str">
        <f aca="false">IF(OR(EV$2="",$D19=""),"",IF(IF(ISNUMBER($F19),AND(EV$2&gt;=$F19,EV$2&lt;=IF(ISNUMBER($G19),$G19,$F19+$E19-$D19)),FALSE()),2,IF(AND(EV$2&gt;=$D19,EV$2&lt;=$E19),1,"")))</f>
        <v/>
      </c>
      <c r="EW19" s="55" t="str">
        <f aca="false">IF(OR(EW$2="",$D19=""),"",IF(IF(ISNUMBER($F19),AND(EW$2&gt;=$F19,EW$2&lt;=IF(ISNUMBER($G19),$G19,$F19+$E19-$D19)),FALSE()),2,IF(AND(EW$2&gt;=$D19,EW$2&lt;=$E19),1,"")))</f>
        <v/>
      </c>
      <c r="EX19" s="55" t="str">
        <f aca="false">IF(OR(EX$2="",$D19=""),"",IF(IF(ISNUMBER($F19),AND(EX$2&gt;=$F19,EX$2&lt;=IF(ISNUMBER($G19),$G19,$F19+$E19-$D19)),FALSE()),2,IF(AND(EX$2&gt;=$D19,EX$2&lt;=$E19),1,"")))</f>
        <v/>
      </c>
      <c r="EY19" s="55" t="str">
        <f aca="false">IF(OR(EY$2="",$D19=""),"",IF(IF(ISNUMBER($F19),AND(EY$2&gt;=$F19,EY$2&lt;=IF(ISNUMBER($G19),$G19,$F19+$E19-$D19)),FALSE()),2,IF(AND(EY$2&gt;=$D19,EY$2&lt;=$E19),1,"")))</f>
        <v/>
      </c>
      <c r="EZ19" s="55" t="str">
        <f aca="false">IF(OR(EZ$2="",$D19=""),"",IF(IF(ISNUMBER($F19),AND(EZ$2&gt;=$F19,EZ$2&lt;=IF(ISNUMBER($G19),$G19,$F19+$E19-$D19)),FALSE()),2,IF(AND(EZ$2&gt;=$D19,EZ$2&lt;=$E19),1,"")))</f>
        <v/>
      </c>
      <c r="FA19" s="55" t="str">
        <f aca="false">IF(OR(FA$2="",$D19=""),"",IF(IF(ISNUMBER($F19),AND(FA$2&gt;=$F19,FA$2&lt;=IF(ISNUMBER($G19),$G19,$F19+$E19-$D19)),FALSE()),2,IF(AND(FA$2&gt;=$D19,FA$2&lt;=$E19),1,"")))</f>
        <v/>
      </c>
      <c r="FB19" s="55" t="str">
        <f aca="false">IF(OR(FB$2="",$D19=""),"",IF(IF(ISNUMBER($F19),AND(FB$2&gt;=$F19,FB$2&lt;=IF(ISNUMBER($G19),$G19,$F19+$E19-$D19)),FALSE()),2,IF(AND(FB$2&gt;=$D19,FB$2&lt;=$E19),1,"")))</f>
        <v/>
      </c>
      <c r="FC19" s="55" t="str">
        <f aca="false">IF(OR(FC$2="",$D19=""),"",IF(IF(ISNUMBER($F19),AND(FC$2&gt;=$F19,FC$2&lt;=IF(ISNUMBER($G19),$G19,$F19+$E19-$D19)),FALSE()),2,IF(AND(FC$2&gt;=$D19,FC$2&lt;=$E19),1,"")))</f>
        <v/>
      </c>
      <c r="FD19" s="55" t="str">
        <f aca="false">IF(OR(FD$2="",$D19=""),"",IF(IF(ISNUMBER($F19),AND(FD$2&gt;=$F19,FD$2&lt;=IF(ISNUMBER($G19),$G19,$F19+$E19-$D19)),FALSE()),2,IF(AND(FD$2&gt;=$D19,FD$2&lt;=$E19),1,"")))</f>
        <v/>
      </c>
      <c r="FE19" s="55" t="str">
        <f aca="false">IF(OR(FE$2="",$D19=""),"",IF(IF(ISNUMBER($F19),AND(FE$2&gt;=$F19,FE$2&lt;=IF(ISNUMBER($G19),$G19,$F19+$E19-$D19)),FALSE()),2,IF(AND(FE$2&gt;=$D19,FE$2&lt;=$E19),1,"")))</f>
        <v/>
      </c>
      <c r="FF19" s="55" t="str">
        <f aca="false">IF(OR(FF$2="",$D19=""),"",IF(IF(ISNUMBER($F19),AND(FF$2&gt;=$F19,FF$2&lt;=IF(ISNUMBER($G19),$G19,$F19+$E19-$D19)),FALSE()),2,IF(AND(FF$2&gt;=$D19,FF$2&lt;=$E19),1,"")))</f>
        <v/>
      </c>
      <c r="FG19" s="55" t="str">
        <f aca="false">IF(OR(FG$2="",$D19=""),"",IF(IF(ISNUMBER($F19),AND(FG$2&gt;=$F19,FG$2&lt;=IF(ISNUMBER($G19),$G19,$F19+$E19-$D19)),FALSE()),2,IF(AND(FG$2&gt;=$D19,FG$2&lt;=$E19),1,"")))</f>
        <v/>
      </c>
      <c r="FH19" s="55" t="str">
        <f aca="false">IF(OR(FH$2="",$D19=""),"",IF(IF(ISNUMBER($F19),AND(FH$2&gt;=$F19,FH$2&lt;=IF(ISNUMBER($G19),$G19,$F19+$E19-$D19)),FALSE()),2,IF(AND(FH$2&gt;=$D19,FH$2&lt;=$E19),1,"")))</f>
        <v/>
      </c>
      <c r="FI19" s="55" t="str">
        <f aca="false">IF(OR(FI$2="",$D19=""),"",IF(IF(ISNUMBER($F19),AND(FI$2&gt;=$F19,FI$2&lt;=IF(ISNUMBER($G19),$G19,$F19+$E19-$D19)),FALSE()),2,IF(AND(FI$2&gt;=$D19,FI$2&lt;=$E19),1,"")))</f>
        <v/>
      </c>
      <c r="FJ19" s="55" t="str">
        <f aca="false">IF(OR(FJ$2="",$D19=""),"",IF(IF(ISNUMBER($F19),AND(FJ$2&gt;=$F19,FJ$2&lt;=IF(ISNUMBER($G19),$G19,$F19+$E19-$D19)),FALSE()),2,IF(AND(FJ$2&gt;=$D19,FJ$2&lt;=$E19),1,"")))</f>
        <v/>
      </c>
      <c r="FK19" s="55" t="str">
        <f aca="false">IF(OR(FK$2="",$D19=""),"",IF(IF(ISNUMBER($F19),AND(FK$2&gt;=$F19,FK$2&lt;=IF(ISNUMBER($G19),$G19,$F19+$E19-$D19)),FALSE()),2,IF(AND(FK$2&gt;=$D19,FK$2&lt;=$E19),1,"")))</f>
        <v/>
      </c>
      <c r="FL19" s="55" t="str">
        <f aca="false">IF(OR(FL$2="",$D19=""),"",IF(IF(ISNUMBER($F19),AND(FL$2&gt;=$F19,FL$2&lt;=IF(ISNUMBER($G19),$G19,$F19+$E19-$D19)),FALSE()),2,IF(AND(FL$2&gt;=$D19,FL$2&lt;=$E19),1,"")))</f>
        <v/>
      </c>
      <c r="FM19" s="55" t="str">
        <f aca="false">IF(OR(FM$2="",$D19=""),"",IF(IF(ISNUMBER($F19),AND(FM$2&gt;=$F19,FM$2&lt;=IF(ISNUMBER($G19),$G19,$F19+$E19-$D19)),FALSE()),2,IF(AND(FM$2&gt;=$D19,FM$2&lt;=$E19),1,"")))</f>
        <v/>
      </c>
      <c r="FN19" s="55" t="str">
        <f aca="false">IF(OR(FN$2="",$D19=""),"",IF(IF(ISNUMBER($F19),AND(FN$2&gt;=$F19,FN$2&lt;=IF(ISNUMBER($G19),$G19,$F19+$E19-$D19)),FALSE()),2,IF(AND(FN$2&gt;=$D19,FN$2&lt;=$E19),1,"")))</f>
        <v/>
      </c>
      <c r="FO19" s="55" t="str">
        <f aca="false">IF(OR(FO$2="",$D19=""),"",IF(IF(ISNUMBER($F19),AND(FO$2&gt;=$F19,FO$2&lt;=IF(ISNUMBER($G19),$G19,$F19+$E19-$D19)),FALSE()),2,IF(AND(FO$2&gt;=$D19,FO$2&lt;=$E19),1,"")))</f>
        <v/>
      </c>
      <c r="FP19" s="55" t="str">
        <f aca="false">IF(OR(FP$2="",$D19=""),"",IF(IF(ISNUMBER($F19),AND(FP$2&gt;=$F19,FP$2&lt;=IF(ISNUMBER($G19),$G19,$F19+$E19-$D19)),FALSE()),2,IF(AND(FP$2&gt;=$D19,FP$2&lt;=$E19),1,"")))</f>
        <v/>
      </c>
      <c r="FQ19" s="55" t="str">
        <f aca="false">IF(OR(FQ$2="",$D19=""),"",IF(IF(ISNUMBER($F19),AND(FQ$2&gt;=$F19,FQ$2&lt;=IF(ISNUMBER($G19),$G19,$F19+$E19-$D19)),FALSE()),2,IF(AND(FQ$2&gt;=$D19,FQ$2&lt;=$E19),1,"")))</f>
        <v/>
      </c>
      <c r="FR19" s="55" t="str">
        <f aca="false">IF(OR(FR$2="",$D19=""),"",IF(IF(ISNUMBER($F19),AND(FR$2&gt;=$F19,FR$2&lt;=IF(ISNUMBER($G19),$G19,$F19+$E19-$D19)),FALSE()),2,IF(AND(FR$2&gt;=$D19,FR$2&lt;=$E19),1,"")))</f>
        <v/>
      </c>
      <c r="FS19" s="55" t="str">
        <f aca="false">IF(OR(FS$2="",$D19=""),"",IF(IF(ISNUMBER($F19),AND(FS$2&gt;=$F19,FS$2&lt;=IF(ISNUMBER($G19),$G19,$F19+$E19-$D19)),FALSE()),2,IF(AND(FS$2&gt;=$D19,FS$2&lt;=$E19),1,"")))</f>
        <v/>
      </c>
      <c r="FT19" s="55" t="str">
        <f aca="false">IF(OR(FT$2="",$D19=""),"",IF(IF(ISNUMBER($F19),AND(FT$2&gt;=$F19,FT$2&lt;=IF(ISNUMBER($G19),$G19,$F19+$E19-$D19)),FALSE()),2,IF(AND(FT$2&gt;=$D19,FT$2&lt;=$E19),1,"")))</f>
        <v/>
      </c>
      <c r="FU19" s="55" t="str">
        <f aca="false">IF(OR(FU$2="",$D19=""),"",IF(IF(ISNUMBER($F19),AND(FU$2&gt;=$F19,FU$2&lt;=IF(ISNUMBER($G19),$G19,$F19+$E19-$D19)),FALSE()),2,IF(AND(FU$2&gt;=$D19,FU$2&lt;=$E19),1,"")))</f>
        <v/>
      </c>
      <c r="FV19" s="55" t="str">
        <f aca="false">IF(OR(FV$2="",$D19=""),"",IF(IF(ISNUMBER($F19),AND(FV$2&gt;=$F19,FV$2&lt;=IF(ISNUMBER($G19),$G19,$F19+$E19-$D19)),FALSE()),2,IF(AND(FV$2&gt;=$D19,FV$2&lt;=$E19),1,"")))</f>
        <v/>
      </c>
      <c r="FW19" s="55" t="str">
        <f aca="false">IF(OR(FW$2="",$D19=""),"",IF(IF(ISNUMBER($F19),AND(FW$2&gt;=$F19,FW$2&lt;=IF(ISNUMBER($G19),$G19,$F19+$E19-$D19)),FALSE()),2,IF(AND(FW$2&gt;=$D19,FW$2&lt;=$E19),1,"")))</f>
        <v/>
      </c>
      <c r="FX19" s="55" t="str">
        <f aca="false">IF(OR(FX$2="",$D19=""),"",IF(IF(ISNUMBER($F19),AND(FX$2&gt;=$F19,FX$2&lt;=IF(ISNUMBER($G19),$G19,$F19+$E19-$D19)),FALSE()),2,IF(AND(FX$2&gt;=$D19,FX$2&lt;=$E19),1,"")))</f>
        <v/>
      </c>
      <c r="FY19" s="55" t="str">
        <f aca="false">IF(OR(FY$2="",$D19=""),"",IF(IF(ISNUMBER($F19),AND(FY$2&gt;=$F19,FY$2&lt;=IF(ISNUMBER($G19),$G19,$F19+$E19-$D19)),FALSE()),2,IF(AND(FY$2&gt;=$D19,FY$2&lt;=$E19),1,"")))</f>
        <v/>
      </c>
      <c r="FZ19" s="55" t="str">
        <f aca="false">IF(OR(FZ$2="",$D19=""),"",IF(IF(ISNUMBER($F19),AND(FZ$2&gt;=$F19,FZ$2&lt;=IF(ISNUMBER($G19),$G19,$F19+$E19-$D19)),FALSE()),2,IF(AND(FZ$2&gt;=$D19,FZ$2&lt;=$E19),1,"")))</f>
        <v/>
      </c>
      <c r="GA19" s="55" t="str">
        <f aca="false">IF(OR(GA$2="",$D19=""),"",IF(IF(ISNUMBER($F19),AND(GA$2&gt;=$F19,GA$2&lt;=IF(ISNUMBER($G19),$G19,$F19+$E19-$D19)),FALSE()),2,IF(AND(GA$2&gt;=$D19,GA$2&lt;=$E19),1,"")))</f>
        <v/>
      </c>
      <c r="GB19" s="55" t="str">
        <f aca="false">IF(OR(GB$2="",$D19=""),"",IF(IF(ISNUMBER($F19),AND(GB$2&gt;=$F19,GB$2&lt;=IF(ISNUMBER($G19),$G19,$F19+$E19-$D19)),FALSE()),2,IF(AND(GB$2&gt;=$D19,GB$2&lt;=$E19),1,"")))</f>
        <v/>
      </c>
      <c r="GC19" s="55" t="str">
        <f aca="false">IF(OR(GC$2="",$D19=""),"",IF(IF(ISNUMBER($F19),AND(GC$2&gt;=$F19,GC$2&lt;=IF(ISNUMBER($G19),$G19,$F19+$E19-$D19)),FALSE()),2,IF(AND(GC$2&gt;=$D19,GC$2&lt;=$E19),1,"")))</f>
        <v/>
      </c>
      <c r="GD19" s="55" t="str">
        <f aca="false">IF(OR(GD$2="",$D19=""),"",IF(IF(ISNUMBER($F19),AND(GD$2&gt;=$F19,GD$2&lt;=IF(ISNUMBER($G19),$G19,$F19+$E19-$D19)),FALSE()),2,IF(AND(GD$2&gt;=$D19,GD$2&lt;=$E19),1,"")))</f>
        <v/>
      </c>
      <c r="GE19" s="55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false" outlineLevel="0" collapsed="false">
      <c r="A20" s="54" t="s">
        <v>387</v>
      </c>
      <c r="B20" s="21" t="s">
        <v>388</v>
      </c>
      <c r="C20" s="21" t="s">
        <v>83</v>
      </c>
      <c r="D20" s="51" t="n">
        <f aca="false">IF(Day_0="","",Day_0+cfg_6-cfg_8+cfg_13*3)</f>
        <v>46114</v>
      </c>
      <c r="E20" s="51" t="n">
        <f aca="false">IF(Day_0="","",Day_0+cfg_6-cfg_8+cfg_13*4)</f>
        <v>46121</v>
      </c>
      <c r="F20" s="51" t="str">
        <f aca="false">IF(_xlfn.MINIFS(2_Daily_input!$D$1:$FQ$1,2_Daily_input!$D$71:$FQ$71,"3F4D-4 start")+_xlfn.MINIFS(2_Daily_input!$D$1:$FQ$1,2_Daily_input!$D$72:$FQ$72,"3F4D-4 start")=0,"",IF(_xlfn.MINIFS(2_Daily_input!$D$1:$FQ$1,2_Daily_input!$D$71:$FQ$71,"3F4D-4 start")=0,_xlfn.MINIFS(2_Daily_input!$D$1:$FQ$1,2_Daily_input!$D$72:$FQ$72,"3F4D-4 start"),IF(_xlfn.MINIFS(2_Daily_input!$D$1:$FQ$1,2_Daily_input!$D$72:$FQ$72,"3F4D-4 start")=0,_xlfn.MINIFS(2_Daily_input!$D$1:$FQ$1,2_Daily_input!$D$71:$FQ$71,"3F4D-4 start"),MIN(_xlfn.MINIFS(2_Daily_input!$D$1:$FQ$1,2_Daily_input!$D$71:$FQ$71,"3F4D-4 start"),_xlfn.MINIFS(2_Daily_input!$D$1:$FQ$1,2_Daily_input!$D$72:$FQ$72,"3F4D-4 start")))))</f>
        <v/>
      </c>
      <c r="G20" s="51" t="str">
        <f aca="false">""</f>
        <v/>
      </c>
      <c r="H20" s="50" t="str">
        <f aca="true">IF(D20="","no plan",IF(F20&lt;&gt;"",IF(F20-D20&gt;=2,"LATE","OK"),IF(TODAY()&gt;D20+2,"OVERDUE","upcoming")))</f>
        <v>OVERDUE</v>
      </c>
      <c r="I20" s="50" t="str">
        <f aca="false">IF(AND(D20&lt;&gt;"",F20&lt;&gt;""),F20-D20,"")</f>
        <v/>
      </c>
      <c r="J20" s="51" t="n">
        <f aca="false">IF(F20&lt;&gt;"",F20,D20)</f>
        <v>46114</v>
      </c>
      <c r="K20" s="51" t="n">
        <f aca="false">IF(G20&lt;&gt;"",G20,IF(AND(F20&lt;&gt;"",E20=D20),F20,E20))</f>
        <v>46121</v>
      </c>
      <c r="L20" s="50" t="str">
        <f aca="true">IF(AND(D20&lt;&gt;"",F20="",D20&gt;=TODAY()),D20+ROW()/1000,"")</f>
        <v/>
      </c>
      <c r="M20" s="55" t="str">
        <f aca="false">IF(OR(M$2="",$D20=""),"",IF(IF(ISNUMBER($F20),AND(M$2&gt;=$F20,M$2&lt;=IF(ISNUMBER($G20),$G20,$F20+$E20-$D20)),FALSE()),2,IF(AND(M$2&gt;=$D20,M$2&lt;=$E20),1,"")))</f>
        <v/>
      </c>
      <c r="N20" s="55" t="str">
        <f aca="false">IF(OR(N$2="",$D20=""),"",IF(IF(ISNUMBER($F20),AND(N$2&gt;=$F20,N$2&lt;=IF(ISNUMBER($G20),$G20,$F20+$E20-$D20)),FALSE()),2,IF(AND(N$2&gt;=$D20,N$2&lt;=$E20),1,"")))</f>
        <v/>
      </c>
      <c r="O20" s="55" t="str">
        <f aca="false">IF(OR(O$2="",$D20=""),"",IF(IF(ISNUMBER($F20),AND(O$2&gt;=$F20,O$2&lt;=IF(ISNUMBER($G20),$G20,$F20+$E20-$D20)),FALSE()),2,IF(AND(O$2&gt;=$D20,O$2&lt;=$E20),1,"")))</f>
        <v/>
      </c>
      <c r="P20" s="55" t="str">
        <f aca="false">IF(OR(P$2="",$D20=""),"",IF(IF(ISNUMBER($F20),AND(P$2&gt;=$F20,P$2&lt;=IF(ISNUMBER($G20),$G20,$F20+$E20-$D20)),FALSE()),2,IF(AND(P$2&gt;=$D20,P$2&lt;=$E20),1,"")))</f>
        <v/>
      </c>
      <c r="Q20" s="55" t="str">
        <f aca="false">IF(OR(Q$2="",$D20=""),"",IF(IF(ISNUMBER($F20),AND(Q$2&gt;=$F20,Q$2&lt;=IF(ISNUMBER($G20),$G20,$F20+$E20-$D20)),FALSE()),2,IF(AND(Q$2&gt;=$D20,Q$2&lt;=$E20),1,"")))</f>
        <v/>
      </c>
      <c r="R20" s="55" t="str">
        <f aca="false">IF(OR(R$2="",$D20=""),"",IF(IF(ISNUMBER($F20),AND(R$2&gt;=$F20,R$2&lt;=IF(ISNUMBER($G20),$G20,$F20+$E20-$D20)),FALSE()),2,IF(AND(R$2&gt;=$D20,R$2&lt;=$E20),1,"")))</f>
        <v/>
      </c>
      <c r="S20" s="55" t="str">
        <f aca="false">IF(OR(S$2="",$D20=""),"",IF(IF(ISNUMBER($F20),AND(S$2&gt;=$F20,S$2&lt;=IF(ISNUMBER($G20),$G20,$F20+$E20-$D20)),FALSE()),2,IF(AND(S$2&gt;=$D20,S$2&lt;=$E20),1,"")))</f>
        <v/>
      </c>
      <c r="T20" s="55" t="str">
        <f aca="false">IF(OR(T$2="",$D20=""),"",IF(IF(ISNUMBER($F20),AND(T$2&gt;=$F20,T$2&lt;=IF(ISNUMBER($G20),$G20,$F20+$E20-$D20)),FALSE()),2,IF(AND(T$2&gt;=$D20,T$2&lt;=$E20),1,"")))</f>
        <v/>
      </c>
      <c r="U20" s="55" t="str">
        <f aca="false">IF(OR(U$2="",$D20=""),"",IF(IF(ISNUMBER($F20),AND(U$2&gt;=$F20,U$2&lt;=IF(ISNUMBER($G20),$G20,$F20+$E20-$D20)),FALSE()),2,IF(AND(U$2&gt;=$D20,U$2&lt;=$E20),1,"")))</f>
        <v/>
      </c>
      <c r="V20" s="55" t="str">
        <f aca="false">IF(OR(V$2="",$D20=""),"",IF(IF(ISNUMBER($F20),AND(V$2&gt;=$F20,V$2&lt;=IF(ISNUMBER($G20),$G20,$F20+$E20-$D20)),FALSE()),2,IF(AND(V$2&gt;=$D20,V$2&lt;=$E20),1,"")))</f>
        <v/>
      </c>
      <c r="W20" s="55" t="str">
        <f aca="false">IF(OR(W$2="",$D20=""),"",IF(IF(ISNUMBER($F20),AND(W$2&gt;=$F20,W$2&lt;=IF(ISNUMBER($G20),$G20,$F20+$E20-$D20)),FALSE()),2,IF(AND(W$2&gt;=$D20,W$2&lt;=$E20),1,"")))</f>
        <v/>
      </c>
      <c r="X20" s="55" t="str">
        <f aca="false">IF(OR(X$2="",$D20=""),"",IF(IF(ISNUMBER($F20),AND(X$2&gt;=$F20,X$2&lt;=IF(ISNUMBER($G20),$G20,$F20+$E20-$D20)),FALSE()),2,IF(AND(X$2&gt;=$D20,X$2&lt;=$E20),1,"")))</f>
        <v/>
      </c>
      <c r="Y20" s="55" t="str">
        <f aca="false">IF(OR(Y$2="",$D20=""),"",IF(IF(ISNUMBER($F20),AND(Y$2&gt;=$F20,Y$2&lt;=IF(ISNUMBER($G20),$G20,$F20+$E20-$D20)),FALSE()),2,IF(AND(Y$2&gt;=$D20,Y$2&lt;=$E20),1,"")))</f>
        <v/>
      </c>
      <c r="Z20" s="55" t="str">
        <f aca="false">IF(OR(Z$2="",$D20=""),"",IF(IF(ISNUMBER($F20),AND(Z$2&gt;=$F20,Z$2&lt;=IF(ISNUMBER($G20),$G20,$F20+$E20-$D20)),FALSE()),2,IF(AND(Z$2&gt;=$D20,Z$2&lt;=$E20),1,"")))</f>
        <v/>
      </c>
      <c r="AA20" s="55" t="str">
        <f aca="false">IF(OR(AA$2="",$D20=""),"",IF(IF(ISNUMBER($F20),AND(AA$2&gt;=$F20,AA$2&lt;=IF(ISNUMBER($G20),$G20,$F20+$E20-$D20)),FALSE()),2,IF(AND(AA$2&gt;=$D20,AA$2&lt;=$E20),1,"")))</f>
        <v/>
      </c>
      <c r="AB20" s="55" t="str">
        <f aca="false">IF(OR(AB$2="",$D20=""),"",IF(IF(ISNUMBER($F20),AND(AB$2&gt;=$F20,AB$2&lt;=IF(ISNUMBER($G20),$G20,$F20+$E20-$D20)),FALSE()),2,IF(AND(AB$2&gt;=$D20,AB$2&lt;=$E20),1,"")))</f>
        <v/>
      </c>
      <c r="AC20" s="55" t="str">
        <f aca="false">IF(OR(AC$2="",$D20=""),"",IF(IF(ISNUMBER($F20),AND(AC$2&gt;=$F20,AC$2&lt;=IF(ISNUMBER($G20),$G20,$F20+$E20-$D20)),FALSE()),2,IF(AND(AC$2&gt;=$D20,AC$2&lt;=$E20),1,"")))</f>
        <v/>
      </c>
      <c r="AD20" s="55" t="str">
        <f aca="false">IF(OR(AD$2="",$D20=""),"",IF(IF(ISNUMBER($F20),AND(AD$2&gt;=$F20,AD$2&lt;=IF(ISNUMBER($G20),$G20,$F20+$E20-$D20)),FALSE()),2,IF(AND(AD$2&gt;=$D20,AD$2&lt;=$E20),1,"")))</f>
        <v/>
      </c>
      <c r="AE20" s="55" t="str">
        <f aca="false">IF(OR(AE$2="",$D20=""),"",IF(IF(ISNUMBER($F20),AND(AE$2&gt;=$F20,AE$2&lt;=IF(ISNUMBER($G20),$G20,$F20+$E20-$D20)),FALSE()),2,IF(AND(AE$2&gt;=$D20,AE$2&lt;=$E20),1,"")))</f>
        <v/>
      </c>
      <c r="AF20" s="55" t="str">
        <f aca="false">IF(OR(AF$2="",$D20=""),"",IF(IF(ISNUMBER($F20),AND(AF$2&gt;=$F20,AF$2&lt;=IF(ISNUMBER($G20),$G20,$F20+$E20-$D20)),FALSE()),2,IF(AND(AF$2&gt;=$D20,AF$2&lt;=$E20),1,"")))</f>
        <v/>
      </c>
      <c r="AG20" s="55" t="str">
        <f aca="false">IF(OR(AG$2="",$D20=""),"",IF(IF(ISNUMBER($F20),AND(AG$2&gt;=$F20,AG$2&lt;=IF(ISNUMBER($G20),$G20,$F20+$E20-$D20)),FALSE()),2,IF(AND(AG$2&gt;=$D20,AG$2&lt;=$E20),1,"")))</f>
        <v/>
      </c>
      <c r="AH20" s="55" t="str">
        <f aca="false">IF(OR(AH$2="",$D20=""),"",IF(IF(ISNUMBER($F20),AND(AH$2&gt;=$F20,AH$2&lt;=IF(ISNUMBER($G20),$G20,$F20+$E20-$D20)),FALSE()),2,IF(AND(AH$2&gt;=$D20,AH$2&lt;=$E20),1,"")))</f>
        <v/>
      </c>
      <c r="AI20" s="55" t="str">
        <f aca="false">IF(OR(AI$2="",$D20=""),"",IF(IF(ISNUMBER($F20),AND(AI$2&gt;=$F20,AI$2&lt;=IF(ISNUMBER($G20),$G20,$F20+$E20-$D20)),FALSE()),2,IF(AND(AI$2&gt;=$D20,AI$2&lt;=$E20),1,"")))</f>
        <v/>
      </c>
      <c r="AJ20" s="55" t="str">
        <f aca="false">IF(OR(AJ$2="",$D20=""),"",IF(IF(ISNUMBER($F20),AND(AJ$2&gt;=$F20,AJ$2&lt;=IF(ISNUMBER($G20),$G20,$F20+$E20-$D20)),FALSE()),2,IF(AND(AJ$2&gt;=$D20,AJ$2&lt;=$E20),1,"")))</f>
        <v/>
      </c>
      <c r="AK20" s="55" t="str">
        <f aca="false">IF(OR(AK$2="",$D20=""),"",IF(IF(ISNUMBER($F20),AND(AK$2&gt;=$F20,AK$2&lt;=IF(ISNUMBER($G20),$G20,$F20+$E20-$D20)),FALSE()),2,IF(AND(AK$2&gt;=$D20,AK$2&lt;=$E20),1,"")))</f>
        <v/>
      </c>
      <c r="AL20" s="55" t="str">
        <f aca="false">IF(OR(AL$2="",$D20=""),"",IF(IF(ISNUMBER($F20),AND(AL$2&gt;=$F20,AL$2&lt;=IF(ISNUMBER($G20),$G20,$F20+$E20-$D20)),FALSE()),2,IF(AND(AL$2&gt;=$D20,AL$2&lt;=$E20),1,"")))</f>
        <v/>
      </c>
      <c r="AM20" s="55" t="str">
        <f aca="false">IF(OR(AM$2="",$D20=""),"",IF(IF(ISNUMBER($F20),AND(AM$2&gt;=$F20,AM$2&lt;=IF(ISNUMBER($G20),$G20,$F20+$E20-$D20)),FALSE()),2,IF(AND(AM$2&gt;=$D20,AM$2&lt;=$E20),1,"")))</f>
        <v/>
      </c>
      <c r="AN20" s="55" t="str">
        <f aca="false">IF(OR(AN$2="",$D20=""),"",IF(IF(ISNUMBER($F20),AND(AN$2&gt;=$F20,AN$2&lt;=IF(ISNUMBER($G20),$G20,$F20+$E20-$D20)),FALSE()),2,IF(AND(AN$2&gt;=$D20,AN$2&lt;=$E20),1,"")))</f>
        <v/>
      </c>
      <c r="AO20" s="55" t="str">
        <f aca="false">IF(OR(AO$2="",$D20=""),"",IF(IF(ISNUMBER($F20),AND(AO$2&gt;=$F20,AO$2&lt;=IF(ISNUMBER($G20),$G20,$F20+$E20-$D20)),FALSE()),2,IF(AND(AO$2&gt;=$D20,AO$2&lt;=$E20),1,"")))</f>
        <v/>
      </c>
      <c r="AP20" s="55" t="str">
        <f aca="false">IF(OR(AP$2="",$D20=""),"",IF(IF(ISNUMBER($F20),AND(AP$2&gt;=$F20,AP$2&lt;=IF(ISNUMBER($G20),$G20,$F20+$E20-$D20)),FALSE()),2,IF(AND(AP$2&gt;=$D20,AP$2&lt;=$E20),1,"")))</f>
        <v/>
      </c>
      <c r="AQ20" s="55" t="str">
        <f aca="false">IF(OR(AQ$2="",$D20=""),"",IF(IF(ISNUMBER($F20),AND(AQ$2&gt;=$F20,AQ$2&lt;=IF(ISNUMBER($G20),$G20,$F20+$E20-$D20)),FALSE()),2,IF(AND(AQ$2&gt;=$D20,AQ$2&lt;=$E20),1,"")))</f>
        <v/>
      </c>
      <c r="AR20" s="55" t="str">
        <f aca="false">IF(OR(AR$2="",$D20=""),"",IF(IF(ISNUMBER($F20),AND(AR$2&gt;=$F20,AR$2&lt;=IF(ISNUMBER($G20),$G20,$F20+$E20-$D20)),FALSE()),2,IF(AND(AR$2&gt;=$D20,AR$2&lt;=$E20),1,"")))</f>
        <v/>
      </c>
      <c r="AS20" s="55" t="str">
        <f aca="false">IF(OR(AS$2="",$D20=""),"",IF(IF(ISNUMBER($F20),AND(AS$2&gt;=$F20,AS$2&lt;=IF(ISNUMBER($G20),$G20,$F20+$E20-$D20)),FALSE()),2,IF(AND(AS$2&gt;=$D20,AS$2&lt;=$E20),1,"")))</f>
        <v/>
      </c>
      <c r="AT20" s="55" t="str">
        <f aca="false">IF(OR(AT$2="",$D20=""),"",IF(IF(ISNUMBER($F20),AND(AT$2&gt;=$F20,AT$2&lt;=IF(ISNUMBER($G20),$G20,$F20+$E20-$D20)),FALSE()),2,IF(AND(AT$2&gt;=$D20,AT$2&lt;=$E20),1,"")))</f>
        <v/>
      </c>
      <c r="AU20" s="55" t="str">
        <f aca="false">IF(OR(AU$2="",$D20=""),"",IF(IF(ISNUMBER($F20),AND(AU$2&gt;=$F20,AU$2&lt;=IF(ISNUMBER($G20),$G20,$F20+$E20-$D20)),FALSE()),2,IF(AND(AU$2&gt;=$D20,AU$2&lt;=$E20),1,"")))</f>
        <v/>
      </c>
      <c r="AV20" s="55" t="str">
        <f aca="false">IF(OR(AV$2="",$D20=""),"",IF(IF(ISNUMBER($F20),AND(AV$2&gt;=$F20,AV$2&lt;=IF(ISNUMBER($G20),$G20,$F20+$E20-$D20)),FALSE()),2,IF(AND(AV$2&gt;=$D20,AV$2&lt;=$E20),1,"")))</f>
        <v/>
      </c>
      <c r="AW20" s="55" t="str">
        <f aca="false">IF(OR(AW$2="",$D20=""),"",IF(IF(ISNUMBER($F20),AND(AW$2&gt;=$F20,AW$2&lt;=IF(ISNUMBER($G20),$G20,$F20+$E20-$D20)),FALSE()),2,IF(AND(AW$2&gt;=$D20,AW$2&lt;=$E20),1,"")))</f>
        <v/>
      </c>
      <c r="AX20" s="55" t="str">
        <f aca="false">IF(OR(AX$2="",$D20=""),"",IF(IF(ISNUMBER($F20),AND(AX$2&gt;=$F20,AX$2&lt;=IF(ISNUMBER($G20),$G20,$F20+$E20-$D20)),FALSE()),2,IF(AND(AX$2&gt;=$D20,AX$2&lt;=$E20),1,"")))</f>
        <v/>
      </c>
      <c r="AY20" s="55" t="str">
        <f aca="false">IF(OR(AY$2="",$D20=""),"",IF(IF(ISNUMBER($F20),AND(AY$2&gt;=$F20,AY$2&lt;=IF(ISNUMBER($G20),$G20,$F20+$E20-$D20)),FALSE()),2,IF(AND(AY$2&gt;=$D20,AY$2&lt;=$E20),1,"")))</f>
        <v/>
      </c>
      <c r="AZ20" s="55" t="str">
        <f aca="false">IF(OR(AZ$2="",$D20=""),"",IF(IF(ISNUMBER($F20),AND(AZ$2&gt;=$F20,AZ$2&lt;=IF(ISNUMBER($G20),$G20,$F20+$E20-$D20)),FALSE()),2,IF(AND(AZ$2&gt;=$D20,AZ$2&lt;=$E20),1,"")))</f>
        <v/>
      </c>
      <c r="BA20" s="55" t="str">
        <f aca="false">IF(OR(BA$2="",$D20=""),"",IF(IF(ISNUMBER($F20),AND(BA$2&gt;=$F20,BA$2&lt;=IF(ISNUMBER($G20),$G20,$F20+$E20-$D20)),FALSE()),2,IF(AND(BA$2&gt;=$D20,BA$2&lt;=$E20),1,"")))</f>
        <v/>
      </c>
      <c r="BB20" s="55" t="str">
        <f aca="false">IF(OR(BB$2="",$D20=""),"",IF(IF(ISNUMBER($F20),AND(BB$2&gt;=$F20,BB$2&lt;=IF(ISNUMBER($G20),$G20,$F20+$E20-$D20)),FALSE()),2,IF(AND(BB$2&gt;=$D20,BB$2&lt;=$E20),1,"")))</f>
        <v/>
      </c>
      <c r="BC20" s="55" t="str">
        <f aca="false">IF(OR(BC$2="",$D20=""),"",IF(IF(ISNUMBER($F20),AND(BC$2&gt;=$F20,BC$2&lt;=IF(ISNUMBER($G20),$G20,$F20+$E20-$D20)),FALSE()),2,IF(AND(BC$2&gt;=$D20,BC$2&lt;=$E20),1,"")))</f>
        <v/>
      </c>
      <c r="BD20" s="55" t="str">
        <f aca="false">IF(OR(BD$2="",$D20=""),"",IF(IF(ISNUMBER($F20),AND(BD$2&gt;=$F20,BD$2&lt;=IF(ISNUMBER($G20),$G20,$F20+$E20-$D20)),FALSE()),2,IF(AND(BD$2&gt;=$D20,BD$2&lt;=$E20),1,"")))</f>
        <v/>
      </c>
      <c r="BE20" s="55" t="str">
        <f aca="false">IF(OR(BE$2="",$D20=""),"",IF(IF(ISNUMBER($F20),AND(BE$2&gt;=$F20,BE$2&lt;=IF(ISNUMBER($G20),$G20,$F20+$E20-$D20)),FALSE()),2,IF(AND(BE$2&gt;=$D20,BE$2&lt;=$E20),1,"")))</f>
        <v/>
      </c>
      <c r="BF20" s="55" t="str">
        <f aca="false">IF(OR(BF$2="",$D20=""),"",IF(IF(ISNUMBER($F20),AND(BF$2&gt;=$F20,BF$2&lt;=IF(ISNUMBER($G20),$G20,$F20+$E20-$D20)),FALSE()),2,IF(AND(BF$2&gt;=$D20,BF$2&lt;=$E20),1,"")))</f>
        <v/>
      </c>
      <c r="BG20" s="55" t="str">
        <f aca="false">IF(OR(BG$2="",$D20=""),"",IF(IF(ISNUMBER($F20),AND(BG$2&gt;=$F20,BG$2&lt;=IF(ISNUMBER($G20),$G20,$F20+$E20-$D20)),FALSE()),2,IF(AND(BG$2&gt;=$D20,BG$2&lt;=$E20),1,"")))</f>
        <v/>
      </c>
      <c r="BH20" s="55" t="str">
        <f aca="false">IF(OR(BH$2="",$D20=""),"",IF(IF(ISNUMBER($F20),AND(BH$2&gt;=$F20,BH$2&lt;=IF(ISNUMBER($G20),$G20,$F20+$E20-$D20)),FALSE()),2,IF(AND(BH$2&gt;=$D20,BH$2&lt;=$E20),1,"")))</f>
        <v/>
      </c>
      <c r="BI20" s="55" t="str">
        <f aca="false">IF(OR(BI$2="",$D20=""),"",IF(IF(ISNUMBER($F20),AND(BI$2&gt;=$F20,BI$2&lt;=IF(ISNUMBER($G20),$G20,$F20+$E20-$D20)),FALSE()),2,IF(AND(BI$2&gt;=$D20,BI$2&lt;=$E20),1,"")))</f>
        <v/>
      </c>
      <c r="BJ20" s="55" t="str">
        <f aca="false">IF(OR(BJ$2="",$D20=""),"",IF(IF(ISNUMBER($F20),AND(BJ$2&gt;=$F20,BJ$2&lt;=IF(ISNUMBER($G20),$G20,$F20+$E20-$D20)),FALSE()),2,IF(AND(BJ$2&gt;=$D20,BJ$2&lt;=$E20),1,"")))</f>
        <v/>
      </c>
      <c r="BK20" s="55" t="str">
        <f aca="false">IF(OR(BK$2="",$D20=""),"",IF(IF(ISNUMBER($F20),AND(BK$2&gt;=$F20,BK$2&lt;=IF(ISNUMBER($G20),$G20,$F20+$E20-$D20)),FALSE()),2,IF(AND(BK$2&gt;=$D20,BK$2&lt;=$E20),1,"")))</f>
        <v/>
      </c>
      <c r="BL20" s="55" t="str">
        <f aca="false">IF(OR(BL$2="",$D20=""),"",IF(IF(ISNUMBER($F20),AND(BL$2&gt;=$F20,BL$2&lt;=IF(ISNUMBER($G20),$G20,$F20+$E20-$D20)),FALSE()),2,IF(AND(BL$2&gt;=$D20,BL$2&lt;=$E20),1,"")))</f>
        <v/>
      </c>
      <c r="BM20" s="55" t="str">
        <f aca="false">IF(OR(BM$2="",$D20=""),"",IF(IF(ISNUMBER($F20),AND(BM$2&gt;=$F20,BM$2&lt;=IF(ISNUMBER($G20),$G20,$F20+$E20-$D20)),FALSE()),2,IF(AND(BM$2&gt;=$D20,BM$2&lt;=$E20),1,"")))</f>
        <v/>
      </c>
      <c r="BN20" s="55" t="str">
        <f aca="false">IF(OR(BN$2="",$D20=""),"",IF(IF(ISNUMBER($F20),AND(BN$2&gt;=$F20,BN$2&lt;=IF(ISNUMBER($G20),$G20,$F20+$E20-$D20)),FALSE()),2,IF(AND(BN$2&gt;=$D20,BN$2&lt;=$E20),1,"")))</f>
        <v/>
      </c>
      <c r="BO20" s="55" t="str">
        <f aca="false">IF(OR(BO$2="",$D20=""),"",IF(IF(ISNUMBER($F20),AND(BO$2&gt;=$F20,BO$2&lt;=IF(ISNUMBER($G20),$G20,$F20+$E20-$D20)),FALSE()),2,IF(AND(BO$2&gt;=$D20,BO$2&lt;=$E20),1,"")))</f>
        <v/>
      </c>
      <c r="BP20" s="55" t="str">
        <f aca="false">IF(OR(BP$2="",$D20=""),"",IF(IF(ISNUMBER($F20),AND(BP$2&gt;=$F20,BP$2&lt;=IF(ISNUMBER($G20),$G20,$F20+$E20-$D20)),FALSE()),2,IF(AND(BP$2&gt;=$D20,BP$2&lt;=$E20),1,"")))</f>
        <v/>
      </c>
      <c r="BQ20" s="55" t="str">
        <f aca="false">IF(OR(BQ$2="",$D20=""),"",IF(IF(ISNUMBER($F20),AND(BQ$2&gt;=$F20,BQ$2&lt;=IF(ISNUMBER($G20),$G20,$F20+$E20-$D20)),FALSE()),2,IF(AND(BQ$2&gt;=$D20,BQ$2&lt;=$E20),1,"")))</f>
        <v/>
      </c>
      <c r="BR20" s="55" t="str">
        <f aca="false">IF(OR(BR$2="",$D20=""),"",IF(IF(ISNUMBER($F20),AND(BR$2&gt;=$F20,BR$2&lt;=IF(ISNUMBER($G20),$G20,$F20+$E20-$D20)),FALSE()),2,IF(AND(BR$2&gt;=$D20,BR$2&lt;=$E20),1,"")))</f>
        <v/>
      </c>
      <c r="BS20" s="55" t="str">
        <f aca="false">IF(OR(BS$2="",$D20=""),"",IF(IF(ISNUMBER($F20),AND(BS$2&gt;=$F20,BS$2&lt;=IF(ISNUMBER($G20),$G20,$F20+$E20-$D20)),FALSE()),2,IF(AND(BS$2&gt;=$D20,BS$2&lt;=$E20),1,"")))</f>
        <v/>
      </c>
      <c r="BT20" s="55" t="str">
        <f aca="false">IF(OR(BT$2="",$D20=""),"",IF(IF(ISNUMBER($F20),AND(BT$2&gt;=$F20,BT$2&lt;=IF(ISNUMBER($G20),$G20,$F20+$E20-$D20)),FALSE()),2,IF(AND(BT$2&gt;=$D20,BT$2&lt;=$E20),1,"")))</f>
        <v/>
      </c>
      <c r="BU20" s="55" t="str">
        <f aca="false">IF(OR(BU$2="",$D20=""),"",IF(IF(ISNUMBER($F20),AND(BU$2&gt;=$F20,BU$2&lt;=IF(ISNUMBER($G20),$G20,$F20+$E20-$D20)),FALSE()),2,IF(AND(BU$2&gt;=$D20,BU$2&lt;=$E20),1,"")))</f>
        <v/>
      </c>
      <c r="BV20" s="55" t="str">
        <f aca="false">IF(OR(BV$2="",$D20=""),"",IF(IF(ISNUMBER($F20),AND(BV$2&gt;=$F20,BV$2&lt;=IF(ISNUMBER($G20),$G20,$F20+$E20-$D20)),FALSE()),2,IF(AND(BV$2&gt;=$D20,BV$2&lt;=$E20),1,"")))</f>
        <v/>
      </c>
      <c r="BW20" s="55" t="str">
        <f aca="false">IF(OR(BW$2="",$D20=""),"",IF(IF(ISNUMBER($F20),AND(BW$2&gt;=$F20,BW$2&lt;=IF(ISNUMBER($G20),$G20,$F20+$E20-$D20)),FALSE()),2,IF(AND(BW$2&gt;=$D20,BW$2&lt;=$E20),1,"")))</f>
        <v/>
      </c>
      <c r="BX20" s="55" t="str">
        <f aca="false">IF(OR(BX$2="",$D20=""),"",IF(IF(ISNUMBER($F20),AND(BX$2&gt;=$F20,BX$2&lt;=IF(ISNUMBER($G20),$G20,$F20+$E20-$D20)),FALSE()),2,IF(AND(BX$2&gt;=$D20,BX$2&lt;=$E20),1,"")))</f>
        <v/>
      </c>
      <c r="BY20" s="55" t="str">
        <f aca="false">IF(OR(BY$2="",$D20=""),"",IF(IF(ISNUMBER($F20),AND(BY$2&gt;=$F20,BY$2&lt;=IF(ISNUMBER($G20),$G20,$F20+$E20-$D20)),FALSE()),2,IF(AND(BY$2&gt;=$D20,BY$2&lt;=$E20),1,"")))</f>
        <v/>
      </c>
      <c r="BZ20" s="55" t="str">
        <f aca="false">IF(OR(BZ$2="",$D20=""),"",IF(IF(ISNUMBER($F20),AND(BZ$2&gt;=$F20,BZ$2&lt;=IF(ISNUMBER($G20),$G20,$F20+$E20-$D20)),FALSE()),2,IF(AND(BZ$2&gt;=$D20,BZ$2&lt;=$E20),1,"")))</f>
        <v/>
      </c>
      <c r="CA20" s="55" t="str">
        <f aca="false">IF(OR(CA$2="",$D20=""),"",IF(IF(ISNUMBER($F20),AND(CA$2&gt;=$F20,CA$2&lt;=IF(ISNUMBER($G20),$G20,$F20+$E20-$D20)),FALSE()),2,IF(AND(CA$2&gt;=$D20,CA$2&lt;=$E20),1,"")))</f>
        <v/>
      </c>
      <c r="CB20" s="55" t="str">
        <f aca="false">IF(OR(CB$2="",$D20=""),"",IF(IF(ISNUMBER($F20),AND(CB$2&gt;=$F20,CB$2&lt;=IF(ISNUMBER($G20),$G20,$F20+$E20-$D20)),FALSE()),2,IF(AND(CB$2&gt;=$D20,CB$2&lt;=$E20),1,"")))</f>
        <v/>
      </c>
      <c r="CC20" s="55" t="str">
        <f aca="false">IF(OR(CC$2="",$D20=""),"",IF(IF(ISNUMBER($F20),AND(CC$2&gt;=$F20,CC$2&lt;=IF(ISNUMBER($G20),$G20,$F20+$E20-$D20)),FALSE()),2,IF(AND(CC$2&gt;=$D20,CC$2&lt;=$E20),1,"")))</f>
        <v/>
      </c>
      <c r="CD20" s="55" t="str">
        <f aca="false">IF(OR(CD$2="",$D20=""),"",IF(IF(ISNUMBER($F20),AND(CD$2&gt;=$F20,CD$2&lt;=IF(ISNUMBER($G20),$G20,$F20+$E20-$D20)),FALSE()),2,IF(AND(CD$2&gt;=$D20,CD$2&lt;=$E20),1,"")))</f>
        <v/>
      </c>
      <c r="CE20" s="55" t="str">
        <f aca="false">IF(OR(CE$2="",$D20=""),"",IF(IF(ISNUMBER($F20),AND(CE$2&gt;=$F20,CE$2&lt;=IF(ISNUMBER($G20),$G20,$F20+$E20-$D20)),FALSE()),2,IF(AND(CE$2&gt;=$D20,CE$2&lt;=$E20),1,"")))</f>
        <v/>
      </c>
      <c r="CF20" s="55" t="str">
        <f aca="false">IF(OR(CF$2="",$D20=""),"",IF(IF(ISNUMBER($F20),AND(CF$2&gt;=$F20,CF$2&lt;=IF(ISNUMBER($G20),$G20,$F20+$E20-$D20)),FALSE()),2,IF(AND(CF$2&gt;=$D20,CF$2&lt;=$E20),1,"")))</f>
        <v/>
      </c>
      <c r="CG20" s="55" t="str">
        <f aca="false">IF(OR(CG$2="",$D20=""),"",IF(IF(ISNUMBER($F20),AND(CG$2&gt;=$F20,CG$2&lt;=IF(ISNUMBER($G20),$G20,$F20+$E20-$D20)),FALSE()),2,IF(AND(CG$2&gt;=$D20,CG$2&lt;=$E20),1,"")))</f>
        <v/>
      </c>
      <c r="CH20" s="55" t="str">
        <f aca="false">IF(OR(CH$2="",$D20=""),"",IF(IF(ISNUMBER($F20),AND(CH$2&gt;=$F20,CH$2&lt;=IF(ISNUMBER($G20),$G20,$F20+$E20-$D20)),FALSE()),2,IF(AND(CH$2&gt;=$D20,CH$2&lt;=$E20),1,"")))</f>
        <v/>
      </c>
      <c r="CI20" s="55" t="str">
        <f aca="false">IF(OR(CI$2="",$D20=""),"",IF(IF(ISNUMBER($F20),AND(CI$2&gt;=$F20,CI$2&lt;=IF(ISNUMBER($G20),$G20,$F20+$E20-$D20)),FALSE()),2,IF(AND(CI$2&gt;=$D20,CI$2&lt;=$E20),1,"")))</f>
        <v/>
      </c>
      <c r="CJ20" s="55" t="str">
        <f aca="false">IF(OR(CJ$2="",$D20=""),"",IF(IF(ISNUMBER($F20),AND(CJ$2&gt;=$F20,CJ$2&lt;=IF(ISNUMBER($G20),$G20,$F20+$E20-$D20)),FALSE()),2,IF(AND(CJ$2&gt;=$D20,CJ$2&lt;=$E20),1,"")))</f>
        <v/>
      </c>
      <c r="CK20" s="55" t="str">
        <f aca="false">IF(OR(CK$2="",$D20=""),"",IF(IF(ISNUMBER($F20),AND(CK$2&gt;=$F20,CK$2&lt;=IF(ISNUMBER($G20),$G20,$F20+$E20-$D20)),FALSE()),2,IF(AND(CK$2&gt;=$D20,CK$2&lt;=$E20),1,"")))</f>
        <v/>
      </c>
      <c r="CL20" s="55" t="str">
        <f aca="false">IF(OR(CL$2="",$D20=""),"",IF(IF(ISNUMBER($F20),AND(CL$2&gt;=$F20,CL$2&lt;=IF(ISNUMBER($G20),$G20,$F20+$E20-$D20)),FALSE()),2,IF(AND(CL$2&gt;=$D20,CL$2&lt;=$E20),1,"")))</f>
        <v/>
      </c>
      <c r="CM20" s="55" t="str">
        <f aca="false">IF(OR(CM$2="",$D20=""),"",IF(IF(ISNUMBER($F20),AND(CM$2&gt;=$F20,CM$2&lt;=IF(ISNUMBER($G20),$G20,$F20+$E20-$D20)),FALSE()),2,IF(AND(CM$2&gt;=$D20,CM$2&lt;=$E20),1,"")))</f>
        <v/>
      </c>
      <c r="CN20" s="55" t="str">
        <f aca="false">IF(OR(CN$2="",$D20=""),"",IF(IF(ISNUMBER($F20),AND(CN$2&gt;=$F20,CN$2&lt;=IF(ISNUMBER($G20),$G20,$F20+$E20-$D20)),FALSE()),2,IF(AND(CN$2&gt;=$D20,CN$2&lt;=$E20),1,"")))</f>
        <v/>
      </c>
      <c r="CO20" s="55" t="str">
        <f aca="false">IF(OR(CO$2="",$D20=""),"",IF(IF(ISNUMBER($F20),AND(CO$2&gt;=$F20,CO$2&lt;=IF(ISNUMBER($G20),$G20,$F20+$E20-$D20)),FALSE()),2,IF(AND(CO$2&gt;=$D20,CO$2&lt;=$E20),1,"")))</f>
        <v/>
      </c>
      <c r="CP20" s="55" t="str">
        <f aca="false">IF(OR(CP$2="",$D20=""),"",IF(IF(ISNUMBER($F20),AND(CP$2&gt;=$F20,CP$2&lt;=IF(ISNUMBER($G20),$G20,$F20+$E20-$D20)),FALSE()),2,IF(AND(CP$2&gt;=$D20,CP$2&lt;=$E20),1,"")))</f>
        <v/>
      </c>
      <c r="CQ20" s="55" t="str">
        <f aca="false">IF(OR(CQ$2="",$D20=""),"",IF(IF(ISNUMBER($F20),AND(CQ$2&gt;=$F20,CQ$2&lt;=IF(ISNUMBER($G20),$G20,$F20+$E20-$D20)),FALSE()),2,IF(AND(CQ$2&gt;=$D20,CQ$2&lt;=$E20),1,"")))</f>
        <v/>
      </c>
      <c r="CR20" s="55" t="str">
        <f aca="false">IF(OR(CR$2="",$D20=""),"",IF(IF(ISNUMBER($F20),AND(CR$2&gt;=$F20,CR$2&lt;=IF(ISNUMBER($G20),$G20,$F20+$E20-$D20)),FALSE()),2,IF(AND(CR$2&gt;=$D20,CR$2&lt;=$E20),1,"")))</f>
        <v/>
      </c>
      <c r="CS20" s="55" t="str">
        <f aca="false">IF(OR(CS$2="",$D20=""),"",IF(IF(ISNUMBER($F20),AND(CS$2&gt;=$F20,CS$2&lt;=IF(ISNUMBER($G20),$G20,$F20+$E20-$D20)),FALSE()),2,IF(AND(CS$2&gt;=$D20,CS$2&lt;=$E20),1,"")))</f>
        <v/>
      </c>
      <c r="CT20" s="55" t="str">
        <f aca="false">IF(OR(CT$2="",$D20=""),"",IF(IF(ISNUMBER($F20),AND(CT$2&gt;=$F20,CT$2&lt;=IF(ISNUMBER($G20),$G20,$F20+$E20-$D20)),FALSE()),2,IF(AND(CT$2&gt;=$D20,CT$2&lt;=$E20),1,"")))</f>
        <v/>
      </c>
      <c r="CU20" s="55" t="str">
        <f aca="false">IF(OR(CU$2="",$D20=""),"",IF(IF(ISNUMBER($F20),AND(CU$2&gt;=$F20,CU$2&lt;=IF(ISNUMBER($G20),$G20,$F20+$E20-$D20)),FALSE()),2,IF(AND(CU$2&gt;=$D20,CU$2&lt;=$E20),1,"")))</f>
        <v/>
      </c>
      <c r="CV20" s="55" t="str">
        <f aca="false">IF(OR(CV$2="",$D20=""),"",IF(IF(ISNUMBER($F20),AND(CV$2&gt;=$F20,CV$2&lt;=IF(ISNUMBER($G20),$G20,$F20+$E20-$D20)),FALSE()),2,IF(AND(CV$2&gt;=$D20,CV$2&lt;=$E20),1,"")))</f>
        <v/>
      </c>
      <c r="CW20" s="55" t="str">
        <f aca="false">IF(OR(CW$2="",$D20=""),"",IF(IF(ISNUMBER($F20),AND(CW$2&gt;=$F20,CW$2&lt;=IF(ISNUMBER($G20),$G20,$F20+$E20-$D20)),FALSE()),2,IF(AND(CW$2&gt;=$D20,CW$2&lt;=$E20),1,"")))</f>
        <v/>
      </c>
      <c r="CX20" s="55" t="str">
        <f aca="false">IF(OR(CX$2="",$D20=""),"",IF(IF(ISNUMBER($F20),AND(CX$2&gt;=$F20,CX$2&lt;=IF(ISNUMBER($G20),$G20,$F20+$E20-$D20)),FALSE()),2,IF(AND(CX$2&gt;=$D20,CX$2&lt;=$E20),1,"")))</f>
        <v/>
      </c>
      <c r="CY20" s="55" t="str">
        <f aca="false">IF(OR(CY$2="",$D20=""),"",IF(IF(ISNUMBER($F20),AND(CY$2&gt;=$F20,CY$2&lt;=IF(ISNUMBER($G20),$G20,$F20+$E20-$D20)),FALSE()),2,IF(AND(CY$2&gt;=$D20,CY$2&lt;=$E20),1,"")))</f>
        <v/>
      </c>
      <c r="CZ20" s="55" t="str">
        <f aca="false">IF(OR(CZ$2="",$D20=""),"",IF(IF(ISNUMBER($F20),AND(CZ$2&gt;=$F20,CZ$2&lt;=IF(ISNUMBER($G20),$G20,$F20+$E20-$D20)),FALSE()),2,IF(AND(CZ$2&gt;=$D20,CZ$2&lt;=$E20),1,"")))</f>
        <v/>
      </c>
      <c r="DA20" s="55" t="str">
        <f aca="false">IF(OR(DA$2="",$D20=""),"",IF(IF(ISNUMBER($F20),AND(DA$2&gt;=$F20,DA$2&lt;=IF(ISNUMBER($G20),$G20,$F20+$E20-$D20)),FALSE()),2,IF(AND(DA$2&gt;=$D20,DA$2&lt;=$E20),1,"")))</f>
        <v/>
      </c>
      <c r="DB20" s="55" t="str">
        <f aca="false">IF(OR(DB$2="",$D20=""),"",IF(IF(ISNUMBER($F20),AND(DB$2&gt;=$F20,DB$2&lt;=IF(ISNUMBER($G20),$G20,$F20+$E20-$D20)),FALSE()),2,IF(AND(DB$2&gt;=$D20,DB$2&lt;=$E20),1,"")))</f>
        <v/>
      </c>
      <c r="DC20" s="55" t="str">
        <f aca="false">IF(OR(DC$2="",$D20=""),"",IF(IF(ISNUMBER($F20),AND(DC$2&gt;=$F20,DC$2&lt;=IF(ISNUMBER($G20),$G20,$F20+$E20-$D20)),FALSE()),2,IF(AND(DC$2&gt;=$D20,DC$2&lt;=$E20),1,"")))</f>
        <v/>
      </c>
      <c r="DD20" s="55" t="str">
        <f aca="false">IF(OR(DD$2="",$D20=""),"",IF(IF(ISNUMBER($F20),AND(DD$2&gt;=$F20,DD$2&lt;=IF(ISNUMBER($G20),$G20,$F20+$E20-$D20)),FALSE()),2,IF(AND(DD$2&gt;=$D20,DD$2&lt;=$E20),1,"")))</f>
        <v/>
      </c>
      <c r="DE20" s="55" t="str">
        <f aca="false">IF(OR(DE$2="",$D20=""),"",IF(IF(ISNUMBER($F20),AND(DE$2&gt;=$F20,DE$2&lt;=IF(ISNUMBER($G20),$G20,$F20+$E20-$D20)),FALSE()),2,IF(AND(DE$2&gt;=$D20,DE$2&lt;=$E20),1,"")))</f>
        <v/>
      </c>
      <c r="DF20" s="55" t="str">
        <f aca="false">IF(OR(DF$2="",$D20=""),"",IF(IF(ISNUMBER($F20),AND(DF$2&gt;=$F20,DF$2&lt;=IF(ISNUMBER($G20),$G20,$F20+$E20-$D20)),FALSE()),2,IF(AND(DF$2&gt;=$D20,DF$2&lt;=$E20),1,"")))</f>
        <v/>
      </c>
      <c r="DG20" s="55" t="str">
        <f aca="false">IF(OR(DG$2="",$D20=""),"",IF(IF(ISNUMBER($F20),AND(DG$2&gt;=$F20,DG$2&lt;=IF(ISNUMBER($G20),$G20,$F20+$E20-$D20)),FALSE()),2,IF(AND(DG$2&gt;=$D20,DG$2&lt;=$E20),1,"")))</f>
        <v/>
      </c>
      <c r="DH20" s="55" t="str">
        <f aca="false">IF(OR(DH$2="",$D20=""),"",IF(IF(ISNUMBER($F20),AND(DH$2&gt;=$F20,DH$2&lt;=IF(ISNUMBER($G20),$G20,$F20+$E20-$D20)),FALSE()),2,IF(AND(DH$2&gt;=$D20,DH$2&lt;=$E20),1,"")))</f>
        <v/>
      </c>
      <c r="DI20" s="55" t="str">
        <f aca="false">IF(OR(DI$2="",$D20=""),"",IF(IF(ISNUMBER($F20),AND(DI$2&gt;=$F20,DI$2&lt;=IF(ISNUMBER($G20),$G20,$F20+$E20-$D20)),FALSE()),2,IF(AND(DI$2&gt;=$D20,DI$2&lt;=$E20),1,"")))</f>
        <v/>
      </c>
      <c r="DJ20" s="55" t="str">
        <f aca="false">IF(OR(DJ$2="",$D20=""),"",IF(IF(ISNUMBER($F20),AND(DJ$2&gt;=$F20,DJ$2&lt;=IF(ISNUMBER($G20),$G20,$F20+$E20-$D20)),FALSE()),2,IF(AND(DJ$2&gt;=$D20,DJ$2&lt;=$E20),1,"")))</f>
        <v/>
      </c>
      <c r="DK20" s="55" t="str">
        <f aca="false">IF(OR(DK$2="",$D20=""),"",IF(IF(ISNUMBER($F20),AND(DK$2&gt;=$F20,DK$2&lt;=IF(ISNUMBER($G20),$G20,$F20+$E20-$D20)),FALSE()),2,IF(AND(DK$2&gt;=$D20,DK$2&lt;=$E20),1,"")))</f>
        <v/>
      </c>
      <c r="DL20" s="55" t="str">
        <f aca="false">IF(OR(DL$2="",$D20=""),"",IF(IF(ISNUMBER($F20),AND(DL$2&gt;=$F20,DL$2&lt;=IF(ISNUMBER($G20),$G20,$F20+$E20-$D20)),FALSE()),2,IF(AND(DL$2&gt;=$D20,DL$2&lt;=$E20),1,"")))</f>
        <v/>
      </c>
      <c r="DM20" s="55" t="str">
        <f aca="false">IF(OR(DM$2="",$D20=""),"",IF(IF(ISNUMBER($F20),AND(DM$2&gt;=$F20,DM$2&lt;=IF(ISNUMBER($G20),$G20,$F20+$E20-$D20)),FALSE()),2,IF(AND(DM$2&gt;=$D20,DM$2&lt;=$E20),1,"")))</f>
        <v/>
      </c>
      <c r="DN20" s="55" t="str">
        <f aca="false">IF(OR(DN$2="",$D20=""),"",IF(IF(ISNUMBER($F20),AND(DN$2&gt;=$F20,DN$2&lt;=IF(ISNUMBER($G20),$G20,$F20+$E20-$D20)),FALSE()),2,IF(AND(DN$2&gt;=$D20,DN$2&lt;=$E20),1,"")))</f>
        <v/>
      </c>
      <c r="DO20" s="55" t="str">
        <f aca="false">IF(OR(DO$2="",$D20=""),"",IF(IF(ISNUMBER($F20),AND(DO$2&gt;=$F20,DO$2&lt;=IF(ISNUMBER($G20),$G20,$F20+$E20-$D20)),FALSE()),2,IF(AND(DO$2&gt;=$D20,DO$2&lt;=$E20),1,"")))</f>
        <v/>
      </c>
      <c r="DP20" s="55" t="str">
        <f aca="false">IF(OR(DP$2="",$D20=""),"",IF(IF(ISNUMBER($F20),AND(DP$2&gt;=$F20,DP$2&lt;=IF(ISNUMBER($G20),$G20,$F20+$E20-$D20)),FALSE()),2,IF(AND(DP$2&gt;=$D20,DP$2&lt;=$E20),1,"")))</f>
        <v/>
      </c>
      <c r="DQ20" s="55" t="str">
        <f aca="false">IF(OR(DQ$2="",$D20=""),"",IF(IF(ISNUMBER($F20),AND(DQ$2&gt;=$F20,DQ$2&lt;=IF(ISNUMBER($G20),$G20,$F20+$E20-$D20)),FALSE()),2,IF(AND(DQ$2&gt;=$D20,DQ$2&lt;=$E20),1,"")))</f>
        <v/>
      </c>
      <c r="DR20" s="55" t="str">
        <f aca="false">IF(OR(DR$2="",$D20=""),"",IF(IF(ISNUMBER($F20),AND(DR$2&gt;=$F20,DR$2&lt;=IF(ISNUMBER($G20),$G20,$F20+$E20-$D20)),FALSE()),2,IF(AND(DR$2&gt;=$D20,DR$2&lt;=$E20),1,"")))</f>
        <v/>
      </c>
      <c r="DS20" s="55" t="str">
        <f aca="false">IF(OR(DS$2="",$D20=""),"",IF(IF(ISNUMBER($F20),AND(DS$2&gt;=$F20,DS$2&lt;=IF(ISNUMBER($G20),$G20,$F20+$E20-$D20)),FALSE()),2,IF(AND(DS$2&gt;=$D20,DS$2&lt;=$E20),1,"")))</f>
        <v/>
      </c>
      <c r="DT20" s="55" t="str">
        <f aca="false">IF(OR(DT$2="",$D20=""),"",IF(IF(ISNUMBER($F20),AND(DT$2&gt;=$F20,DT$2&lt;=IF(ISNUMBER($G20),$G20,$F20+$E20-$D20)),FALSE()),2,IF(AND(DT$2&gt;=$D20,DT$2&lt;=$E20),1,"")))</f>
        <v/>
      </c>
      <c r="DU20" s="55" t="str">
        <f aca="false">IF(OR(DU$2="",$D20=""),"",IF(IF(ISNUMBER($F20),AND(DU$2&gt;=$F20,DU$2&lt;=IF(ISNUMBER($G20),$G20,$F20+$E20-$D20)),FALSE()),2,IF(AND(DU$2&gt;=$D20,DU$2&lt;=$E20),1,"")))</f>
        <v/>
      </c>
      <c r="DV20" s="55" t="str">
        <f aca="false">IF(OR(DV$2="",$D20=""),"",IF(IF(ISNUMBER($F20),AND(DV$2&gt;=$F20,DV$2&lt;=IF(ISNUMBER($G20),$G20,$F20+$E20-$D20)),FALSE()),2,IF(AND(DV$2&gt;=$D20,DV$2&lt;=$E20),1,"")))</f>
        <v/>
      </c>
      <c r="DW20" s="55" t="str">
        <f aca="false">IF(OR(DW$2="",$D20=""),"",IF(IF(ISNUMBER($F20),AND(DW$2&gt;=$F20,DW$2&lt;=IF(ISNUMBER($G20),$G20,$F20+$E20-$D20)),FALSE()),2,IF(AND(DW$2&gt;=$D20,DW$2&lt;=$E20),1,"")))</f>
        <v/>
      </c>
      <c r="DX20" s="55" t="str">
        <f aca="false">IF(OR(DX$2="",$D20=""),"",IF(IF(ISNUMBER($F20),AND(DX$2&gt;=$F20,DX$2&lt;=IF(ISNUMBER($G20),$G20,$F20+$E20-$D20)),FALSE()),2,IF(AND(DX$2&gt;=$D20,DX$2&lt;=$E20),1,"")))</f>
        <v/>
      </c>
      <c r="DY20" s="55" t="str">
        <f aca="false">IF(OR(DY$2="",$D20=""),"",IF(IF(ISNUMBER($F20),AND(DY$2&gt;=$F20,DY$2&lt;=IF(ISNUMBER($G20),$G20,$F20+$E20-$D20)),FALSE()),2,IF(AND(DY$2&gt;=$D20,DY$2&lt;=$E20),1,"")))</f>
        <v/>
      </c>
      <c r="DZ20" s="55" t="str">
        <f aca="false">IF(OR(DZ$2="",$D20=""),"",IF(IF(ISNUMBER($F20),AND(DZ$2&gt;=$F20,DZ$2&lt;=IF(ISNUMBER($G20),$G20,$F20+$E20-$D20)),FALSE()),2,IF(AND(DZ$2&gt;=$D20,DZ$2&lt;=$E20),1,"")))</f>
        <v/>
      </c>
      <c r="EA20" s="55" t="str">
        <f aca="false">IF(OR(EA$2="",$D20=""),"",IF(IF(ISNUMBER($F20),AND(EA$2&gt;=$F20,EA$2&lt;=IF(ISNUMBER($G20),$G20,$F20+$E20-$D20)),FALSE()),2,IF(AND(EA$2&gt;=$D20,EA$2&lt;=$E20),1,"")))</f>
        <v/>
      </c>
      <c r="EB20" s="55" t="str">
        <f aca="false">IF(OR(EB$2="",$D20=""),"",IF(IF(ISNUMBER($F20),AND(EB$2&gt;=$F20,EB$2&lt;=IF(ISNUMBER($G20),$G20,$F20+$E20-$D20)),FALSE()),2,IF(AND(EB$2&gt;=$D20,EB$2&lt;=$E20),1,"")))</f>
        <v/>
      </c>
      <c r="EC20" s="55" t="str">
        <f aca="false">IF(OR(EC$2="",$D20=""),"",IF(IF(ISNUMBER($F20),AND(EC$2&gt;=$F20,EC$2&lt;=IF(ISNUMBER($G20),$G20,$F20+$E20-$D20)),FALSE()),2,IF(AND(EC$2&gt;=$D20,EC$2&lt;=$E20),1,"")))</f>
        <v/>
      </c>
      <c r="ED20" s="55" t="str">
        <f aca="false">IF(OR(ED$2="",$D20=""),"",IF(IF(ISNUMBER($F20),AND(ED$2&gt;=$F20,ED$2&lt;=IF(ISNUMBER($G20),$G20,$F20+$E20-$D20)),FALSE()),2,IF(AND(ED$2&gt;=$D20,ED$2&lt;=$E20),1,"")))</f>
        <v/>
      </c>
      <c r="EE20" s="55" t="str">
        <f aca="false">IF(OR(EE$2="",$D20=""),"",IF(IF(ISNUMBER($F20),AND(EE$2&gt;=$F20,EE$2&lt;=IF(ISNUMBER($G20),$G20,$F20+$E20-$D20)),FALSE()),2,IF(AND(EE$2&gt;=$D20,EE$2&lt;=$E20),1,"")))</f>
        <v/>
      </c>
      <c r="EF20" s="55" t="str">
        <f aca="false">IF(OR(EF$2="",$D20=""),"",IF(IF(ISNUMBER($F20),AND(EF$2&gt;=$F20,EF$2&lt;=IF(ISNUMBER($G20),$G20,$F20+$E20-$D20)),FALSE()),2,IF(AND(EF$2&gt;=$D20,EF$2&lt;=$E20),1,"")))</f>
        <v/>
      </c>
      <c r="EG20" s="55" t="str">
        <f aca="false">IF(OR(EG$2="",$D20=""),"",IF(IF(ISNUMBER($F20),AND(EG$2&gt;=$F20,EG$2&lt;=IF(ISNUMBER($G20),$G20,$F20+$E20-$D20)),FALSE()),2,IF(AND(EG$2&gt;=$D20,EG$2&lt;=$E20),1,"")))</f>
        <v/>
      </c>
      <c r="EH20" s="55" t="str">
        <f aca="false">IF(OR(EH$2="",$D20=""),"",IF(IF(ISNUMBER($F20),AND(EH$2&gt;=$F20,EH$2&lt;=IF(ISNUMBER($G20),$G20,$F20+$E20-$D20)),FALSE()),2,IF(AND(EH$2&gt;=$D20,EH$2&lt;=$E20),1,"")))</f>
        <v/>
      </c>
      <c r="EI20" s="55" t="str">
        <f aca="false">IF(OR(EI$2="",$D20=""),"",IF(IF(ISNUMBER($F20),AND(EI$2&gt;=$F20,EI$2&lt;=IF(ISNUMBER($G20),$G20,$F20+$E20-$D20)),FALSE()),2,IF(AND(EI$2&gt;=$D20,EI$2&lt;=$E20),1,"")))</f>
        <v/>
      </c>
      <c r="EJ20" s="55" t="str">
        <f aca="false">IF(OR(EJ$2="",$D20=""),"",IF(IF(ISNUMBER($F20),AND(EJ$2&gt;=$F20,EJ$2&lt;=IF(ISNUMBER($G20),$G20,$F20+$E20-$D20)),FALSE()),2,IF(AND(EJ$2&gt;=$D20,EJ$2&lt;=$E20),1,"")))</f>
        <v/>
      </c>
      <c r="EK20" s="55" t="n">
        <f aca="false">IF(OR(EK$2="",$D20=""),"",IF(IF(ISNUMBER($F20),AND(EK$2&gt;=$F20,EK$2&lt;=IF(ISNUMBER($G20),$G20,$F20+$E20-$D20)),FALSE()),2,IF(AND(EK$2&gt;=$D20,EK$2&lt;=$E20),1,"")))</f>
        <v>1</v>
      </c>
      <c r="EL20" s="55" t="n">
        <f aca="false">IF(OR(EL$2="",$D20=""),"",IF(IF(ISNUMBER($F20),AND(EL$2&gt;=$F20,EL$2&lt;=IF(ISNUMBER($G20),$G20,$F20+$E20-$D20)),FALSE()),2,IF(AND(EL$2&gt;=$D20,EL$2&lt;=$E20),1,"")))</f>
        <v>1</v>
      </c>
      <c r="EM20" s="55" t="n">
        <f aca="false">IF(OR(EM$2="",$D20=""),"",IF(IF(ISNUMBER($F20),AND(EM$2&gt;=$F20,EM$2&lt;=IF(ISNUMBER($G20),$G20,$F20+$E20-$D20)),FALSE()),2,IF(AND(EM$2&gt;=$D20,EM$2&lt;=$E20),1,"")))</f>
        <v>1</v>
      </c>
      <c r="EN20" s="55" t="n">
        <f aca="false">IF(OR(EN$2="",$D20=""),"",IF(IF(ISNUMBER($F20),AND(EN$2&gt;=$F20,EN$2&lt;=IF(ISNUMBER($G20),$G20,$F20+$E20-$D20)),FALSE()),2,IF(AND(EN$2&gt;=$D20,EN$2&lt;=$E20),1,"")))</f>
        <v>1</v>
      </c>
      <c r="EO20" s="55" t="n">
        <f aca="false">IF(OR(EO$2="",$D20=""),"",IF(IF(ISNUMBER($F20),AND(EO$2&gt;=$F20,EO$2&lt;=IF(ISNUMBER($G20),$G20,$F20+$E20-$D20)),FALSE()),2,IF(AND(EO$2&gt;=$D20,EO$2&lt;=$E20),1,"")))</f>
        <v>1</v>
      </c>
      <c r="EP20" s="55" t="n">
        <f aca="false">IF(OR(EP$2="",$D20=""),"",IF(IF(ISNUMBER($F20),AND(EP$2&gt;=$F20,EP$2&lt;=IF(ISNUMBER($G20),$G20,$F20+$E20-$D20)),FALSE()),2,IF(AND(EP$2&gt;=$D20,EP$2&lt;=$E20),1,"")))</f>
        <v>1</v>
      </c>
      <c r="EQ20" s="55" t="n">
        <f aca="false">IF(OR(EQ$2="",$D20=""),"",IF(IF(ISNUMBER($F20),AND(EQ$2&gt;=$F20,EQ$2&lt;=IF(ISNUMBER($G20),$G20,$F20+$E20-$D20)),FALSE()),2,IF(AND(EQ$2&gt;=$D20,EQ$2&lt;=$E20),1,"")))</f>
        <v>1</v>
      </c>
      <c r="ER20" s="55" t="n">
        <f aca="false">IF(OR(ER$2="",$D20=""),"",IF(IF(ISNUMBER($F20),AND(ER$2&gt;=$F20,ER$2&lt;=IF(ISNUMBER($G20),$G20,$F20+$E20-$D20)),FALSE()),2,IF(AND(ER$2&gt;=$D20,ER$2&lt;=$E20),1,"")))</f>
        <v>1</v>
      </c>
      <c r="ES20" s="55" t="str">
        <f aca="false">IF(OR(ES$2="",$D20=""),"",IF(IF(ISNUMBER($F20),AND(ES$2&gt;=$F20,ES$2&lt;=IF(ISNUMBER($G20),$G20,$F20+$E20-$D20)),FALSE()),2,IF(AND(ES$2&gt;=$D20,ES$2&lt;=$E20),1,"")))</f>
        <v/>
      </c>
      <c r="ET20" s="55" t="str">
        <f aca="false">IF(OR(ET$2="",$D20=""),"",IF(IF(ISNUMBER($F20),AND(ET$2&gt;=$F20,ET$2&lt;=IF(ISNUMBER($G20),$G20,$F20+$E20-$D20)),FALSE()),2,IF(AND(ET$2&gt;=$D20,ET$2&lt;=$E20),1,"")))</f>
        <v/>
      </c>
      <c r="EU20" s="55" t="str">
        <f aca="false">IF(OR(EU$2="",$D20=""),"",IF(IF(ISNUMBER($F20),AND(EU$2&gt;=$F20,EU$2&lt;=IF(ISNUMBER($G20),$G20,$F20+$E20-$D20)),FALSE()),2,IF(AND(EU$2&gt;=$D20,EU$2&lt;=$E20),1,"")))</f>
        <v/>
      </c>
      <c r="EV20" s="55" t="str">
        <f aca="false">IF(OR(EV$2="",$D20=""),"",IF(IF(ISNUMBER($F20),AND(EV$2&gt;=$F20,EV$2&lt;=IF(ISNUMBER($G20),$G20,$F20+$E20-$D20)),FALSE()),2,IF(AND(EV$2&gt;=$D20,EV$2&lt;=$E20),1,"")))</f>
        <v/>
      </c>
      <c r="EW20" s="55" t="str">
        <f aca="false">IF(OR(EW$2="",$D20=""),"",IF(IF(ISNUMBER($F20),AND(EW$2&gt;=$F20,EW$2&lt;=IF(ISNUMBER($G20),$G20,$F20+$E20-$D20)),FALSE()),2,IF(AND(EW$2&gt;=$D20,EW$2&lt;=$E20),1,"")))</f>
        <v/>
      </c>
      <c r="EX20" s="55" t="str">
        <f aca="false">IF(OR(EX$2="",$D20=""),"",IF(IF(ISNUMBER($F20),AND(EX$2&gt;=$F20,EX$2&lt;=IF(ISNUMBER($G20),$G20,$F20+$E20-$D20)),FALSE()),2,IF(AND(EX$2&gt;=$D20,EX$2&lt;=$E20),1,"")))</f>
        <v/>
      </c>
      <c r="EY20" s="55" t="str">
        <f aca="false">IF(OR(EY$2="",$D20=""),"",IF(IF(ISNUMBER($F20),AND(EY$2&gt;=$F20,EY$2&lt;=IF(ISNUMBER($G20),$G20,$F20+$E20-$D20)),FALSE()),2,IF(AND(EY$2&gt;=$D20,EY$2&lt;=$E20),1,"")))</f>
        <v/>
      </c>
      <c r="EZ20" s="55" t="str">
        <f aca="false">IF(OR(EZ$2="",$D20=""),"",IF(IF(ISNUMBER($F20),AND(EZ$2&gt;=$F20,EZ$2&lt;=IF(ISNUMBER($G20),$G20,$F20+$E20-$D20)),FALSE()),2,IF(AND(EZ$2&gt;=$D20,EZ$2&lt;=$E20),1,"")))</f>
        <v/>
      </c>
      <c r="FA20" s="55" t="str">
        <f aca="false">IF(OR(FA$2="",$D20=""),"",IF(IF(ISNUMBER($F20),AND(FA$2&gt;=$F20,FA$2&lt;=IF(ISNUMBER($G20),$G20,$F20+$E20-$D20)),FALSE()),2,IF(AND(FA$2&gt;=$D20,FA$2&lt;=$E20),1,"")))</f>
        <v/>
      </c>
      <c r="FB20" s="55" t="str">
        <f aca="false">IF(OR(FB$2="",$D20=""),"",IF(IF(ISNUMBER($F20),AND(FB$2&gt;=$F20,FB$2&lt;=IF(ISNUMBER($G20),$G20,$F20+$E20-$D20)),FALSE()),2,IF(AND(FB$2&gt;=$D20,FB$2&lt;=$E20),1,"")))</f>
        <v/>
      </c>
      <c r="FC20" s="55" t="str">
        <f aca="false">IF(OR(FC$2="",$D20=""),"",IF(IF(ISNUMBER($F20),AND(FC$2&gt;=$F20,FC$2&lt;=IF(ISNUMBER($G20),$G20,$F20+$E20-$D20)),FALSE()),2,IF(AND(FC$2&gt;=$D20,FC$2&lt;=$E20),1,"")))</f>
        <v/>
      </c>
      <c r="FD20" s="55" t="str">
        <f aca="false">IF(OR(FD$2="",$D20=""),"",IF(IF(ISNUMBER($F20),AND(FD$2&gt;=$F20,FD$2&lt;=IF(ISNUMBER($G20),$G20,$F20+$E20-$D20)),FALSE()),2,IF(AND(FD$2&gt;=$D20,FD$2&lt;=$E20),1,"")))</f>
        <v/>
      </c>
      <c r="FE20" s="55" t="str">
        <f aca="false">IF(OR(FE$2="",$D20=""),"",IF(IF(ISNUMBER($F20),AND(FE$2&gt;=$F20,FE$2&lt;=IF(ISNUMBER($G20),$G20,$F20+$E20-$D20)),FALSE()),2,IF(AND(FE$2&gt;=$D20,FE$2&lt;=$E20),1,"")))</f>
        <v/>
      </c>
      <c r="FF20" s="55" t="str">
        <f aca="false">IF(OR(FF$2="",$D20=""),"",IF(IF(ISNUMBER($F20),AND(FF$2&gt;=$F20,FF$2&lt;=IF(ISNUMBER($G20),$G20,$F20+$E20-$D20)),FALSE()),2,IF(AND(FF$2&gt;=$D20,FF$2&lt;=$E20),1,"")))</f>
        <v/>
      </c>
      <c r="FG20" s="55" t="str">
        <f aca="false">IF(OR(FG$2="",$D20=""),"",IF(IF(ISNUMBER($F20),AND(FG$2&gt;=$F20,FG$2&lt;=IF(ISNUMBER($G20),$G20,$F20+$E20-$D20)),FALSE()),2,IF(AND(FG$2&gt;=$D20,FG$2&lt;=$E20),1,"")))</f>
        <v/>
      </c>
      <c r="FH20" s="55" t="str">
        <f aca="false">IF(OR(FH$2="",$D20=""),"",IF(IF(ISNUMBER($F20),AND(FH$2&gt;=$F20,FH$2&lt;=IF(ISNUMBER($G20),$G20,$F20+$E20-$D20)),FALSE()),2,IF(AND(FH$2&gt;=$D20,FH$2&lt;=$E20),1,"")))</f>
        <v/>
      </c>
      <c r="FI20" s="55" t="str">
        <f aca="false">IF(OR(FI$2="",$D20=""),"",IF(IF(ISNUMBER($F20),AND(FI$2&gt;=$F20,FI$2&lt;=IF(ISNUMBER($G20),$G20,$F20+$E20-$D20)),FALSE()),2,IF(AND(FI$2&gt;=$D20,FI$2&lt;=$E20),1,"")))</f>
        <v/>
      </c>
      <c r="FJ20" s="55" t="str">
        <f aca="false">IF(OR(FJ$2="",$D20=""),"",IF(IF(ISNUMBER($F20),AND(FJ$2&gt;=$F20,FJ$2&lt;=IF(ISNUMBER($G20),$G20,$F20+$E20-$D20)),FALSE()),2,IF(AND(FJ$2&gt;=$D20,FJ$2&lt;=$E20),1,"")))</f>
        <v/>
      </c>
      <c r="FK20" s="55" t="str">
        <f aca="false">IF(OR(FK$2="",$D20=""),"",IF(IF(ISNUMBER($F20),AND(FK$2&gt;=$F20,FK$2&lt;=IF(ISNUMBER($G20),$G20,$F20+$E20-$D20)),FALSE()),2,IF(AND(FK$2&gt;=$D20,FK$2&lt;=$E20),1,"")))</f>
        <v/>
      </c>
      <c r="FL20" s="55" t="str">
        <f aca="false">IF(OR(FL$2="",$D20=""),"",IF(IF(ISNUMBER($F20),AND(FL$2&gt;=$F20,FL$2&lt;=IF(ISNUMBER($G20),$G20,$F20+$E20-$D20)),FALSE()),2,IF(AND(FL$2&gt;=$D20,FL$2&lt;=$E20),1,"")))</f>
        <v/>
      </c>
      <c r="FM20" s="55" t="str">
        <f aca="false">IF(OR(FM$2="",$D20=""),"",IF(IF(ISNUMBER($F20),AND(FM$2&gt;=$F20,FM$2&lt;=IF(ISNUMBER($G20),$G20,$F20+$E20-$D20)),FALSE()),2,IF(AND(FM$2&gt;=$D20,FM$2&lt;=$E20),1,"")))</f>
        <v/>
      </c>
      <c r="FN20" s="55" t="str">
        <f aca="false">IF(OR(FN$2="",$D20=""),"",IF(IF(ISNUMBER($F20),AND(FN$2&gt;=$F20,FN$2&lt;=IF(ISNUMBER($G20),$G20,$F20+$E20-$D20)),FALSE()),2,IF(AND(FN$2&gt;=$D20,FN$2&lt;=$E20),1,"")))</f>
        <v/>
      </c>
      <c r="FO20" s="55" t="str">
        <f aca="false">IF(OR(FO$2="",$D20=""),"",IF(IF(ISNUMBER($F20),AND(FO$2&gt;=$F20,FO$2&lt;=IF(ISNUMBER($G20),$G20,$F20+$E20-$D20)),FALSE()),2,IF(AND(FO$2&gt;=$D20,FO$2&lt;=$E20),1,"")))</f>
        <v/>
      </c>
      <c r="FP20" s="55" t="str">
        <f aca="false">IF(OR(FP$2="",$D20=""),"",IF(IF(ISNUMBER($F20),AND(FP$2&gt;=$F20,FP$2&lt;=IF(ISNUMBER($G20),$G20,$F20+$E20-$D20)),FALSE()),2,IF(AND(FP$2&gt;=$D20,FP$2&lt;=$E20),1,"")))</f>
        <v/>
      </c>
      <c r="FQ20" s="55" t="str">
        <f aca="false">IF(OR(FQ$2="",$D20=""),"",IF(IF(ISNUMBER($F20),AND(FQ$2&gt;=$F20,FQ$2&lt;=IF(ISNUMBER($G20),$G20,$F20+$E20-$D20)),FALSE()),2,IF(AND(FQ$2&gt;=$D20,FQ$2&lt;=$E20),1,"")))</f>
        <v/>
      </c>
      <c r="FR20" s="55" t="str">
        <f aca="false">IF(OR(FR$2="",$D20=""),"",IF(IF(ISNUMBER($F20),AND(FR$2&gt;=$F20,FR$2&lt;=IF(ISNUMBER($G20),$G20,$F20+$E20-$D20)),FALSE()),2,IF(AND(FR$2&gt;=$D20,FR$2&lt;=$E20),1,"")))</f>
        <v/>
      </c>
      <c r="FS20" s="55" t="str">
        <f aca="false">IF(OR(FS$2="",$D20=""),"",IF(IF(ISNUMBER($F20),AND(FS$2&gt;=$F20,FS$2&lt;=IF(ISNUMBER($G20),$G20,$F20+$E20-$D20)),FALSE()),2,IF(AND(FS$2&gt;=$D20,FS$2&lt;=$E20),1,"")))</f>
        <v/>
      </c>
      <c r="FT20" s="55" t="str">
        <f aca="false">IF(OR(FT$2="",$D20=""),"",IF(IF(ISNUMBER($F20),AND(FT$2&gt;=$F20,FT$2&lt;=IF(ISNUMBER($G20),$G20,$F20+$E20-$D20)),FALSE()),2,IF(AND(FT$2&gt;=$D20,FT$2&lt;=$E20),1,"")))</f>
        <v/>
      </c>
      <c r="FU20" s="55" t="str">
        <f aca="false">IF(OR(FU$2="",$D20=""),"",IF(IF(ISNUMBER($F20),AND(FU$2&gt;=$F20,FU$2&lt;=IF(ISNUMBER($G20),$G20,$F20+$E20-$D20)),FALSE()),2,IF(AND(FU$2&gt;=$D20,FU$2&lt;=$E20),1,"")))</f>
        <v/>
      </c>
      <c r="FV20" s="55" t="str">
        <f aca="false">IF(OR(FV$2="",$D20=""),"",IF(IF(ISNUMBER($F20),AND(FV$2&gt;=$F20,FV$2&lt;=IF(ISNUMBER($G20),$G20,$F20+$E20-$D20)),FALSE()),2,IF(AND(FV$2&gt;=$D20,FV$2&lt;=$E20),1,"")))</f>
        <v/>
      </c>
      <c r="FW20" s="55" t="str">
        <f aca="false">IF(OR(FW$2="",$D20=""),"",IF(IF(ISNUMBER($F20),AND(FW$2&gt;=$F20,FW$2&lt;=IF(ISNUMBER($G20),$G20,$F20+$E20-$D20)),FALSE()),2,IF(AND(FW$2&gt;=$D20,FW$2&lt;=$E20),1,"")))</f>
        <v/>
      </c>
      <c r="FX20" s="55" t="str">
        <f aca="false">IF(OR(FX$2="",$D20=""),"",IF(IF(ISNUMBER($F20),AND(FX$2&gt;=$F20,FX$2&lt;=IF(ISNUMBER($G20),$G20,$F20+$E20-$D20)),FALSE()),2,IF(AND(FX$2&gt;=$D20,FX$2&lt;=$E20),1,"")))</f>
        <v/>
      </c>
      <c r="FY20" s="55" t="str">
        <f aca="false">IF(OR(FY$2="",$D20=""),"",IF(IF(ISNUMBER($F20),AND(FY$2&gt;=$F20,FY$2&lt;=IF(ISNUMBER($G20),$G20,$F20+$E20-$D20)),FALSE()),2,IF(AND(FY$2&gt;=$D20,FY$2&lt;=$E20),1,"")))</f>
        <v/>
      </c>
      <c r="FZ20" s="55" t="str">
        <f aca="false">IF(OR(FZ$2="",$D20=""),"",IF(IF(ISNUMBER($F20),AND(FZ$2&gt;=$F20,FZ$2&lt;=IF(ISNUMBER($G20),$G20,$F20+$E20-$D20)),FALSE()),2,IF(AND(FZ$2&gt;=$D20,FZ$2&lt;=$E20),1,"")))</f>
        <v/>
      </c>
      <c r="GA20" s="55" t="str">
        <f aca="false">IF(OR(GA$2="",$D20=""),"",IF(IF(ISNUMBER($F20),AND(GA$2&gt;=$F20,GA$2&lt;=IF(ISNUMBER($G20),$G20,$F20+$E20-$D20)),FALSE()),2,IF(AND(GA$2&gt;=$D20,GA$2&lt;=$E20),1,"")))</f>
        <v/>
      </c>
      <c r="GB20" s="55" t="str">
        <f aca="false">IF(OR(GB$2="",$D20=""),"",IF(IF(ISNUMBER($F20),AND(GB$2&gt;=$F20,GB$2&lt;=IF(ISNUMBER($G20),$G20,$F20+$E20-$D20)),FALSE()),2,IF(AND(GB$2&gt;=$D20,GB$2&lt;=$E20),1,"")))</f>
        <v/>
      </c>
      <c r="GC20" s="55" t="str">
        <f aca="false">IF(OR(GC$2="",$D20=""),"",IF(IF(ISNUMBER($F20),AND(GC$2&gt;=$F20,GC$2&lt;=IF(ISNUMBER($G20),$G20,$F20+$E20-$D20)),FALSE()),2,IF(AND(GC$2&gt;=$D20,GC$2&lt;=$E20),1,"")))</f>
        <v/>
      </c>
      <c r="GD20" s="55" t="str">
        <f aca="false">IF(OR(GD$2="",$D20=""),"",IF(IF(ISNUMBER($F20),AND(GD$2&gt;=$F20,GD$2&lt;=IF(ISNUMBER($G20),$G20,$F20+$E20-$D20)),FALSE()),2,IF(AND(GD$2&gt;=$D20,GD$2&lt;=$E20),1,"")))</f>
        <v/>
      </c>
      <c r="GE20" s="55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false" outlineLevel="0" collapsed="false">
      <c r="A21" s="54" t="s">
        <v>389</v>
      </c>
      <c r="B21" s="21" t="s">
        <v>390</v>
      </c>
      <c r="C21" s="21" t="s">
        <v>83</v>
      </c>
      <c r="D21" s="51" t="n">
        <f aca="false">IF(Day_0="","",Day_0+cfg_6-cfg_8+cfg_13*4)</f>
        <v>46121</v>
      </c>
      <c r="E21" s="51" t="n">
        <f aca="false">IF(Day_0="","",Day_0+cfg_6-cfg_8+cfg_13*5)</f>
        <v>46128</v>
      </c>
      <c r="F21" s="51" t="n">
        <f aca="false">IF(_xlfn.MINIFS(2_Daily_input!$D$1:$FQ$1,2_Daily_input!$D$71:$FQ$71,"3F4D-5 start")+_xlfn.MINIFS(2_Daily_input!$D$1:$FQ$1,2_Daily_input!$D$72:$FQ$72,"3F4D-5 start")=0,"",IF(_xlfn.MINIFS(2_Daily_input!$D$1:$FQ$1,2_Daily_input!$D$71:$FQ$71,"3F4D-5 start")=0,_xlfn.MINIFS(2_Daily_input!$D$1:$FQ$1,2_Daily_input!$D$72:$FQ$72,"3F4D-5 start"),IF(_xlfn.MINIFS(2_Daily_input!$D$1:$FQ$1,2_Daily_input!$D$72:$FQ$72,"3F4D-5 start")=0,_xlfn.MINIFS(2_Daily_input!$D$1:$FQ$1,2_Daily_input!$D$71:$FQ$71,"3F4D-5 start"),MIN(_xlfn.MINIFS(2_Daily_input!$D$1:$FQ$1,2_Daily_input!$D$71:$FQ$71,"3F4D-5 start"),_xlfn.MINIFS(2_Daily_input!$D$1:$FQ$1,2_Daily_input!$D$72:$FQ$72,"3F4D-5 start")))))</f>
        <v>46122</v>
      </c>
      <c r="G21" s="51" t="str">
        <f aca="false">""</f>
        <v/>
      </c>
      <c r="H21" s="50" t="str">
        <f aca="true">IF(D21="","no plan",IF(F21&lt;&gt;"",IF(F21-D21&gt;=2,"LATE","OK"),IF(TODAY()&gt;D21+2,"OVERDUE","upcoming")))</f>
        <v>OK</v>
      </c>
      <c r="I21" s="50" t="n">
        <f aca="false">IF(AND(D21&lt;&gt;"",F21&lt;&gt;""),F21-D21,"")</f>
        <v>1</v>
      </c>
      <c r="J21" s="51" t="n">
        <f aca="false">IF(F21&lt;&gt;"",F21,D21)</f>
        <v>46122</v>
      </c>
      <c r="K21" s="51" t="n">
        <f aca="false">IF(G21&lt;&gt;"",G21,IF(AND(F21&lt;&gt;"",E21=D21),F21,E21))</f>
        <v>46128</v>
      </c>
      <c r="L21" s="50" t="str">
        <f aca="true">IF(AND(D21&lt;&gt;"",F21="",D21&gt;=TODAY()),D21+ROW()/1000,"")</f>
        <v/>
      </c>
      <c r="M21" s="55" t="str">
        <f aca="false">IF(OR(M$2="",$D21=""),"",IF(IF(ISNUMBER($F21),AND(M$2&gt;=$F21,M$2&lt;=IF(ISNUMBER($G21),$G21,$F21+$E21-$D21)),FALSE()),2,IF(AND(M$2&gt;=$D21,M$2&lt;=$E21),1,"")))</f>
        <v/>
      </c>
      <c r="N21" s="55" t="str">
        <f aca="false">IF(OR(N$2="",$D21=""),"",IF(IF(ISNUMBER($F21),AND(N$2&gt;=$F21,N$2&lt;=IF(ISNUMBER($G21),$G21,$F21+$E21-$D21)),FALSE()),2,IF(AND(N$2&gt;=$D21,N$2&lt;=$E21),1,"")))</f>
        <v/>
      </c>
      <c r="O21" s="55" t="str">
        <f aca="false">IF(OR(O$2="",$D21=""),"",IF(IF(ISNUMBER($F21),AND(O$2&gt;=$F21,O$2&lt;=IF(ISNUMBER($G21),$G21,$F21+$E21-$D21)),FALSE()),2,IF(AND(O$2&gt;=$D21,O$2&lt;=$E21),1,"")))</f>
        <v/>
      </c>
      <c r="P21" s="55" t="str">
        <f aca="false">IF(OR(P$2="",$D21=""),"",IF(IF(ISNUMBER($F21),AND(P$2&gt;=$F21,P$2&lt;=IF(ISNUMBER($G21),$G21,$F21+$E21-$D21)),FALSE()),2,IF(AND(P$2&gt;=$D21,P$2&lt;=$E21),1,"")))</f>
        <v/>
      </c>
      <c r="Q21" s="55" t="str">
        <f aca="false">IF(OR(Q$2="",$D21=""),"",IF(IF(ISNUMBER($F21),AND(Q$2&gt;=$F21,Q$2&lt;=IF(ISNUMBER($G21),$G21,$F21+$E21-$D21)),FALSE()),2,IF(AND(Q$2&gt;=$D21,Q$2&lt;=$E21),1,"")))</f>
        <v/>
      </c>
      <c r="R21" s="55" t="str">
        <f aca="false">IF(OR(R$2="",$D21=""),"",IF(IF(ISNUMBER($F21),AND(R$2&gt;=$F21,R$2&lt;=IF(ISNUMBER($G21),$G21,$F21+$E21-$D21)),FALSE()),2,IF(AND(R$2&gt;=$D21,R$2&lt;=$E21),1,"")))</f>
        <v/>
      </c>
      <c r="S21" s="55" t="str">
        <f aca="false">IF(OR(S$2="",$D21=""),"",IF(IF(ISNUMBER($F21),AND(S$2&gt;=$F21,S$2&lt;=IF(ISNUMBER($G21),$G21,$F21+$E21-$D21)),FALSE()),2,IF(AND(S$2&gt;=$D21,S$2&lt;=$E21),1,"")))</f>
        <v/>
      </c>
      <c r="T21" s="55" t="str">
        <f aca="false">IF(OR(T$2="",$D21=""),"",IF(IF(ISNUMBER($F21),AND(T$2&gt;=$F21,T$2&lt;=IF(ISNUMBER($G21),$G21,$F21+$E21-$D21)),FALSE()),2,IF(AND(T$2&gt;=$D21,T$2&lt;=$E21),1,"")))</f>
        <v/>
      </c>
      <c r="U21" s="55" t="str">
        <f aca="false">IF(OR(U$2="",$D21=""),"",IF(IF(ISNUMBER($F21),AND(U$2&gt;=$F21,U$2&lt;=IF(ISNUMBER($G21),$G21,$F21+$E21-$D21)),FALSE()),2,IF(AND(U$2&gt;=$D21,U$2&lt;=$E21),1,"")))</f>
        <v/>
      </c>
      <c r="V21" s="55" t="str">
        <f aca="false">IF(OR(V$2="",$D21=""),"",IF(IF(ISNUMBER($F21),AND(V$2&gt;=$F21,V$2&lt;=IF(ISNUMBER($G21),$G21,$F21+$E21-$D21)),FALSE()),2,IF(AND(V$2&gt;=$D21,V$2&lt;=$E21),1,"")))</f>
        <v/>
      </c>
      <c r="W21" s="55" t="str">
        <f aca="false">IF(OR(W$2="",$D21=""),"",IF(IF(ISNUMBER($F21),AND(W$2&gt;=$F21,W$2&lt;=IF(ISNUMBER($G21),$G21,$F21+$E21-$D21)),FALSE()),2,IF(AND(W$2&gt;=$D21,W$2&lt;=$E21),1,"")))</f>
        <v/>
      </c>
      <c r="X21" s="55" t="str">
        <f aca="false">IF(OR(X$2="",$D21=""),"",IF(IF(ISNUMBER($F21),AND(X$2&gt;=$F21,X$2&lt;=IF(ISNUMBER($G21),$G21,$F21+$E21-$D21)),FALSE()),2,IF(AND(X$2&gt;=$D21,X$2&lt;=$E21),1,"")))</f>
        <v/>
      </c>
      <c r="Y21" s="55" t="str">
        <f aca="false">IF(OR(Y$2="",$D21=""),"",IF(IF(ISNUMBER($F21),AND(Y$2&gt;=$F21,Y$2&lt;=IF(ISNUMBER($G21),$G21,$F21+$E21-$D21)),FALSE()),2,IF(AND(Y$2&gt;=$D21,Y$2&lt;=$E21),1,"")))</f>
        <v/>
      </c>
      <c r="Z21" s="55" t="str">
        <f aca="false">IF(OR(Z$2="",$D21=""),"",IF(IF(ISNUMBER($F21),AND(Z$2&gt;=$F21,Z$2&lt;=IF(ISNUMBER($G21),$G21,$F21+$E21-$D21)),FALSE()),2,IF(AND(Z$2&gt;=$D21,Z$2&lt;=$E21),1,"")))</f>
        <v/>
      </c>
      <c r="AA21" s="55" t="str">
        <f aca="false">IF(OR(AA$2="",$D21=""),"",IF(IF(ISNUMBER($F21),AND(AA$2&gt;=$F21,AA$2&lt;=IF(ISNUMBER($G21),$G21,$F21+$E21-$D21)),FALSE()),2,IF(AND(AA$2&gt;=$D21,AA$2&lt;=$E21),1,"")))</f>
        <v/>
      </c>
      <c r="AB21" s="55" t="str">
        <f aca="false">IF(OR(AB$2="",$D21=""),"",IF(IF(ISNUMBER($F21),AND(AB$2&gt;=$F21,AB$2&lt;=IF(ISNUMBER($G21),$G21,$F21+$E21-$D21)),FALSE()),2,IF(AND(AB$2&gt;=$D21,AB$2&lt;=$E21),1,"")))</f>
        <v/>
      </c>
      <c r="AC21" s="55" t="str">
        <f aca="false">IF(OR(AC$2="",$D21=""),"",IF(IF(ISNUMBER($F21),AND(AC$2&gt;=$F21,AC$2&lt;=IF(ISNUMBER($G21),$G21,$F21+$E21-$D21)),FALSE()),2,IF(AND(AC$2&gt;=$D21,AC$2&lt;=$E21),1,"")))</f>
        <v/>
      </c>
      <c r="AD21" s="55" t="str">
        <f aca="false">IF(OR(AD$2="",$D21=""),"",IF(IF(ISNUMBER($F21),AND(AD$2&gt;=$F21,AD$2&lt;=IF(ISNUMBER($G21),$G21,$F21+$E21-$D21)),FALSE()),2,IF(AND(AD$2&gt;=$D21,AD$2&lt;=$E21),1,"")))</f>
        <v/>
      </c>
      <c r="AE21" s="55" t="str">
        <f aca="false">IF(OR(AE$2="",$D21=""),"",IF(IF(ISNUMBER($F21),AND(AE$2&gt;=$F21,AE$2&lt;=IF(ISNUMBER($G21),$G21,$F21+$E21-$D21)),FALSE()),2,IF(AND(AE$2&gt;=$D21,AE$2&lt;=$E21),1,"")))</f>
        <v/>
      </c>
      <c r="AF21" s="55" t="str">
        <f aca="false">IF(OR(AF$2="",$D21=""),"",IF(IF(ISNUMBER($F21),AND(AF$2&gt;=$F21,AF$2&lt;=IF(ISNUMBER($G21),$G21,$F21+$E21-$D21)),FALSE()),2,IF(AND(AF$2&gt;=$D21,AF$2&lt;=$E21),1,"")))</f>
        <v/>
      </c>
      <c r="AG21" s="55" t="str">
        <f aca="false">IF(OR(AG$2="",$D21=""),"",IF(IF(ISNUMBER($F21),AND(AG$2&gt;=$F21,AG$2&lt;=IF(ISNUMBER($G21),$G21,$F21+$E21-$D21)),FALSE()),2,IF(AND(AG$2&gt;=$D21,AG$2&lt;=$E21),1,"")))</f>
        <v/>
      </c>
      <c r="AH21" s="55" t="str">
        <f aca="false">IF(OR(AH$2="",$D21=""),"",IF(IF(ISNUMBER($F21),AND(AH$2&gt;=$F21,AH$2&lt;=IF(ISNUMBER($G21),$G21,$F21+$E21-$D21)),FALSE()),2,IF(AND(AH$2&gt;=$D21,AH$2&lt;=$E21),1,"")))</f>
        <v/>
      </c>
      <c r="AI21" s="55" t="str">
        <f aca="false">IF(OR(AI$2="",$D21=""),"",IF(IF(ISNUMBER($F21),AND(AI$2&gt;=$F21,AI$2&lt;=IF(ISNUMBER($G21),$G21,$F21+$E21-$D21)),FALSE()),2,IF(AND(AI$2&gt;=$D21,AI$2&lt;=$E21),1,"")))</f>
        <v/>
      </c>
      <c r="AJ21" s="55" t="str">
        <f aca="false">IF(OR(AJ$2="",$D21=""),"",IF(IF(ISNUMBER($F21),AND(AJ$2&gt;=$F21,AJ$2&lt;=IF(ISNUMBER($G21),$G21,$F21+$E21-$D21)),FALSE()),2,IF(AND(AJ$2&gt;=$D21,AJ$2&lt;=$E21),1,"")))</f>
        <v/>
      </c>
      <c r="AK21" s="55" t="str">
        <f aca="false">IF(OR(AK$2="",$D21=""),"",IF(IF(ISNUMBER($F21),AND(AK$2&gt;=$F21,AK$2&lt;=IF(ISNUMBER($G21),$G21,$F21+$E21-$D21)),FALSE()),2,IF(AND(AK$2&gt;=$D21,AK$2&lt;=$E21),1,"")))</f>
        <v/>
      </c>
      <c r="AL21" s="55" t="str">
        <f aca="false">IF(OR(AL$2="",$D21=""),"",IF(IF(ISNUMBER($F21),AND(AL$2&gt;=$F21,AL$2&lt;=IF(ISNUMBER($G21),$G21,$F21+$E21-$D21)),FALSE()),2,IF(AND(AL$2&gt;=$D21,AL$2&lt;=$E21),1,"")))</f>
        <v/>
      </c>
      <c r="AM21" s="55" t="str">
        <f aca="false">IF(OR(AM$2="",$D21=""),"",IF(IF(ISNUMBER($F21),AND(AM$2&gt;=$F21,AM$2&lt;=IF(ISNUMBER($G21),$G21,$F21+$E21-$D21)),FALSE()),2,IF(AND(AM$2&gt;=$D21,AM$2&lt;=$E21),1,"")))</f>
        <v/>
      </c>
      <c r="AN21" s="55" t="str">
        <f aca="false">IF(OR(AN$2="",$D21=""),"",IF(IF(ISNUMBER($F21),AND(AN$2&gt;=$F21,AN$2&lt;=IF(ISNUMBER($G21),$G21,$F21+$E21-$D21)),FALSE()),2,IF(AND(AN$2&gt;=$D21,AN$2&lt;=$E21),1,"")))</f>
        <v/>
      </c>
      <c r="AO21" s="55" t="str">
        <f aca="false">IF(OR(AO$2="",$D21=""),"",IF(IF(ISNUMBER($F21),AND(AO$2&gt;=$F21,AO$2&lt;=IF(ISNUMBER($G21),$G21,$F21+$E21-$D21)),FALSE()),2,IF(AND(AO$2&gt;=$D21,AO$2&lt;=$E21),1,"")))</f>
        <v/>
      </c>
      <c r="AP21" s="55" t="str">
        <f aca="false">IF(OR(AP$2="",$D21=""),"",IF(IF(ISNUMBER($F21),AND(AP$2&gt;=$F21,AP$2&lt;=IF(ISNUMBER($G21),$G21,$F21+$E21-$D21)),FALSE()),2,IF(AND(AP$2&gt;=$D21,AP$2&lt;=$E21),1,"")))</f>
        <v/>
      </c>
      <c r="AQ21" s="55" t="str">
        <f aca="false">IF(OR(AQ$2="",$D21=""),"",IF(IF(ISNUMBER($F21),AND(AQ$2&gt;=$F21,AQ$2&lt;=IF(ISNUMBER($G21),$G21,$F21+$E21-$D21)),FALSE()),2,IF(AND(AQ$2&gt;=$D21,AQ$2&lt;=$E21),1,"")))</f>
        <v/>
      </c>
      <c r="AR21" s="55" t="str">
        <f aca="false">IF(OR(AR$2="",$D21=""),"",IF(IF(ISNUMBER($F21),AND(AR$2&gt;=$F21,AR$2&lt;=IF(ISNUMBER($G21),$G21,$F21+$E21-$D21)),FALSE()),2,IF(AND(AR$2&gt;=$D21,AR$2&lt;=$E21),1,"")))</f>
        <v/>
      </c>
      <c r="AS21" s="55" t="str">
        <f aca="false">IF(OR(AS$2="",$D21=""),"",IF(IF(ISNUMBER($F21),AND(AS$2&gt;=$F21,AS$2&lt;=IF(ISNUMBER($G21),$G21,$F21+$E21-$D21)),FALSE()),2,IF(AND(AS$2&gt;=$D21,AS$2&lt;=$E21),1,"")))</f>
        <v/>
      </c>
      <c r="AT21" s="55" t="str">
        <f aca="false">IF(OR(AT$2="",$D21=""),"",IF(IF(ISNUMBER($F21),AND(AT$2&gt;=$F21,AT$2&lt;=IF(ISNUMBER($G21),$G21,$F21+$E21-$D21)),FALSE()),2,IF(AND(AT$2&gt;=$D21,AT$2&lt;=$E21),1,"")))</f>
        <v/>
      </c>
      <c r="AU21" s="55" t="str">
        <f aca="false">IF(OR(AU$2="",$D21=""),"",IF(IF(ISNUMBER($F21),AND(AU$2&gt;=$F21,AU$2&lt;=IF(ISNUMBER($G21),$G21,$F21+$E21-$D21)),FALSE()),2,IF(AND(AU$2&gt;=$D21,AU$2&lt;=$E21),1,"")))</f>
        <v/>
      </c>
      <c r="AV21" s="55" t="str">
        <f aca="false">IF(OR(AV$2="",$D21=""),"",IF(IF(ISNUMBER($F21),AND(AV$2&gt;=$F21,AV$2&lt;=IF(ISNUMBER($G21),$G21,$F21+$E21-$D21)),FALSE()),2,IF(AND(AV$2&gt;=$D21,AV$2&lt;=$E21),1,"")))</f>
        <v/>
      </c>
      <c r="AW21" s="55" t="str">
        <f aca="false">IF(OR(AW$2="",$D21=""),"",IF(IF(ISNUMBER($F21),AND(AW$2&gt;=$F21,AW$2&lt;=IF(ISNUMBER($G21),$G21,$F21+$E21-$D21)),FALSE()),2,IF(AND(AW$2&gt;=$D21,AW$2&lt;=$E21),1,"")))</f>
        <v/>
      </c>
      <c r="AX21" s="55" t="str">
        <f aca="false">IF(OR(AX$2="",$D21=""),"",IF(IF(ISNUMBER($F21),AND(AX$2&gt;=$F21,AX$2&lt;=IF(ISNUMBER($G21),$G21,$F21+$E21-$D21)),FALSE()),2,IF(AND(AX$2&gt;=$D21,AX$2&lt;=$E21),1,"")))</f>
        <v/>
      </c>
      <c r="AY21" s="55" t="str">
        <f aca="false">IF(OR(AY$2="",$D21=""),"",IF(IF(ISNUMBER($F21),AND(AY$2&gt;=$F21,AY$2&lt;=IF(ISNUMBER($G21),$G21,$F21+$E21-$D21)),FALSE()),2,IF(AND(AY$2&gt;=$D21,AY$2&lt;=$E21),1,"")))</f>
        <v/>
      </c>
      <c r="AZ21" s="55" t="str">
        <f aca="false">IF(OR(AZ$2="",$D21=""),"",IF(IF(ISNUMBER($F21),AND(AZ$2&gt;=$F21,AZ$2&lt;=IF(ISNUMBER($G21),$G21,$F21+$E21-$D21)),FALSE()),2,IF(AND(AZ$2&gt;=$D21,AZ$2&lt;=$E21),1,"")))</f>
        <v/>
      </c>
      <c r="BA21" s="55" t="str">
        <f aca="false">IF(OR(BA$2="",$D21=""),"",IF(IF(ISNUMBER($F21),AND(BA$2&gt;=$F21,BA$2&lt;=IF(ISNUMBER($G21),$G21,$F21+$E21-$D21)),FALSE()),2,IF(AND(BA$2&gt;=$D21,BA$2&lt;=$E21),1,"")))</f>
        <v/>
      </c>
      <c r="BB21" s="55" t="str">
        <f aca="false">IF(OR(BB$2="",$D21=""),"",IF(IF(ISNUMBER($F21),AND(BB$2&gt;=$F21,BB$2&lt;=IF(ISNUMBER($G21),$G21,$F21+$E21-$D21)),FALSE()),2,IF(AND(BB$2&gt;=$D21,BB$2&lt;=$E21),1,"")))</f>
        <v/>
      </c>
      <c r="BC21" s="55" t="str">
        <f aca="false">IF(OR(BC$2="",$D21=""),"",IF(IF(ISNUMBER($F21),AND(BC$2&gt;=$F21,BC$2&lt;=IF(ISNUMBER($G21),$G21,$F21+$E21-$D21)),FALSE()),2,IF(AND(BC$2&gt;=$D21,BC$2&lt;=$E21),1,"")))</f>
        <v/>
      </c>
      <c r="BD21" s="55" t="str">
        <f aca="false">IF(OR(BD$2="",$D21=""),"",IF(IF(ISNUMBER($F21),AND(BD$2&gt;=$F21,BD$2&lt;=IF(ISNUMBER($G21),$G21,$F21+$E21-$D21)),FALSE()),2,IF(AND(BD$2&gt;=$D21,BD$2&lt;=$E21),1,"")))</f>
        <v/>
      </c>
      <c r="BE21" s="55" t="str">
        <f aca="false">IF(OR(BE$2="",$D21=""),"",IF(IF(ISNUMBER($F21),AND(BE$2&gt;=$F21,BE$2&lt;=IF(ISNUMBER($G21),$G21,$F21+$E21-$D21)),FALSE()),2,IF(AND(BE$2&gt;=$D21,BE$2&lt;=$E21),1,"")))</f>
        <v/>
      </c>
      <c r="BF21" s="55" t="str">
        <f aca="false">IF(OR(BF$2="",$D21=""),"",IF(IF(ISNUMBER($F21),AND(BF$2&gt;=$F21,BF$2&lt;=IF(ISNUMBER($G21),$G21,$F21+$E21-$D21)),FALSE()),2,IF(AND(BF$2&gt;=$D21,BF$2&lt;=$E21),1,"")))</f>
        <v/>
      </c>
      <c r="BG21" s="55" t="str">
        <f aca="false">IF(OR(BG$2="",$D21=""),"",IF(IF(ISNUMBER($F21),AND(BG$2&gt;=$F21,BG$2&lt;=IF(ISNUMBER($G21),$G21,$F21+$E21-$D21)),FALSE()),2,IF(AND(BG$2&gt;=$D21,BG$2&lt;=$E21),1,"")))</f>
        <v/>
      </c>
      <c r="BH21" s="55" t="str">
        <f aca="false">IF(OR(BH$2="",$D21=""),"",IF(IF(ISNUMBER($F21),AND(BH$2&gt;=$F21,BH$2&lt;=IF(ISNUMBER($G21),$G21,$F21+$E21-$D21)),FALSE()),2,IF(AND(BH$2&gt;=$D21,BH$2&lt;=$E21),1,"")))</f>
        <v/>
      </c>
      <c r="BI21" s="55" t="str">
        <f aca="false">IF(OR(BI$2="",$D21=""),"",IF(IF(ISNUMBER($F21),AND(BI$2&gt;=$F21,BI$2&lt;=IF(ISNUMBER($G21),$G21,$F21+$E21-$D21)),FALSE()),2,IF(AND(BI$2&gt;=$D21,BI$2&lt;=$E21),1,"")))</f>
        <v/>
      </c>
      <c r="BJ21" s="55" t="str">
        <f aca="false">IF(OR(BJ$2="",$D21=""),"",IF(IF(ISNUMBER($F21),AND(BJ$2&gt;=$F21,BJ$2&lt;=IF(ISNUMBER($G21),$G21,$F21+$E21-$D21)),FALSE()),2,IF(AND(BJ$2&gt;=$D21,BJ$2&lt;=$E21),1,"")))</f>
        <v/>
      </c>
      <c r="BK21" s="55" t="str">
        <f aca="false">IF(OR(BK$2="",$D21=""),"",IF(IF(ISNUMBER($F21),AND(BK$2&gt;=$F21,BK$2&lt;=IF(ISNUMBER($G21),$G21,$F21+$E21-$D21)),FALSE()),2,IF(AND(BK$2&gt;=$D21,BK$2&lt;=$E21),1,"")))</f>
        <v/>
      </c>
      <c r="BL21" s="55" t="str">
        <f aca="false">IF(OR(BL$2="",$D21=""),"",IF(IF(ISNUMBER($F21),AND(BL$2&gt;=$F21,BL$2&lt;=IF(ISNUMBER($G21),$G21,$F21+$E21-$D21)),FALSE()),2,IF(AND(BL$2&gt;=$D21,BL$2&lt;=$E21),1,"")))</f>
        <v/>
      </c>
      <c r="BM21" s="55" t="str">
        <f aca="false">IF(OR(BM$2="",$D21=""),"",IF(IF(ISNUMBER($F21),AND(BM$2&gt;=$F21,BM$2&lt;=IF(ISNUMBER($G21),$G21,$F21+$E21-$D21)),FALSE()),2,IF(AND(BM$2&gt;=$D21,BM$2&lt;=$E21),1,"")))</f>
        <v/>
      </c>
      <c r="BN21" s="55" t="str">
        <f aca="false">IF(OR(BN$2="",$D21=""),"",IF(IF(ISNUMBER($F21),AND(BN$2&gt;=$F21,BN$2&lt;=IF(ISNUMBER($G21),$G21,$F21+$E21-$D21)),FALSE()),2,IF(AND(BN$2&gt;=$D21,BN$2&lt;=$E21),1,"")))</f>
        <v/>
      </c>
      <c r="BO21" s="55" t="str">
        <f aca="false">IF(OR(BO$2="",$D21=""),"",IF(IF(ISNUMBER($F21),AND(BO$2&gt;=$F21,BO$2&lt;=IF(ISNUMBER($G21),$G21,$F21+$E21-$D21)),FALSE()),2,IF(AND(BO$2&gt;=$D21,BO$2&lt;=$E21),1,"")))</f>
        <v/>
      </c>
      <c r="BP21" s="55" t="str">
        <f aca="false">IF(OR(BP$2="",$D21=""),"",IF(IF(ISNUMBER($F21),AND(BP$2&gt;=$F21,BP$2&lt;=IF(ISNUMBER($G21),$G21,$F21+$E21-$D21)),FALSE()),2,IF(AND(BP$2&gt;=$D21,BP$2&lt;=$E21),1,"")))</f>
        <v/>
      </c>
      <c r="BQ21" s="55" t="str">
        <f aca="false">IF(OR(BQ$2="",$D21=""),"",IF(IF(ISNUMBER($F21),AND(BQ$2&gt;=$F21,BQ$2&lt;=IF(ISNUMBER($G21),$G21,$F21+$E21-$D21)),FALSE()),2,IF(AND(BQ$2&gt;=$D21,BQ$2&lt;=$E21),1,"")))</f>
        <v/>
      </c>
      <c r="BR21" s="55" t="str">
        <f aca="false">IF(OR(BR$2="",$D21=""),"",IF(IF(ISNUMBER($F21),AND(BR$2&gt;=$F21,BR$2&lt;=IF(ISNUMBER($G21),$G21,$F21+$E21-$D21)),FALSE()),2,IF(AND(BR$2&gt;=$D21,BR$2&lt;=$E21),1,"")))</f>
        <v/>
      </c>
      <c r="BS21" s="55" t="str">
        <f aca="false">IF(OR(BS$2="",$D21=""),"",IF(IF(ISNUMBER($F21),AND(BS$2&gt;=$F21,BS$2&lt;=IF(ISNUMBER($G21),$G21,$F21+$E21-$D21)),FALSE()),2,IF(AND(BS$2&gt;=$D21,BS$2&lt;=$E21),1,"")))</f>
        <v/>
      </c>
      <c r="BT21" s="55" t="str">
        <f aca="false">IF(OR(BT$2="",$D21=""),"",IF(IF(ISNUMBER($F21),AND(BT$2&gt;=$F21,BT$2&lt;=IF(ISNUMBER($G21),$G21,$F21+$E21-$D21)),FALSE()),2,IF(AND(BT$2&gt;=$D21,BT$2&lt;=$E21),1,"")))</f>
        <v/>
      </c>
      <c r="BU21" s="55" t="str">
        <f aca="false">IF(OR(BU$2="",$D21=""),"",IF(IF(ISNUMBER($F21),AND(BU$2&gt;=$F21,BU$2&lt;=IF(ISNUMBER($G21),$G21,$F21+$E21-$D21)),FALSE()),2,IF(AND(BU$2&gt;=$D21,BU$2&lt;=$E21),1,"")))</f>
        <v/>
      </c>
      <c r="BV21" s="55" t="str">
        <f aca="false">IF(OR(BV$2="",$D21=""),"",IF(IF(ISNUMBER($F21),AND(BV$2&gt;=$F21,BV$2&lt;=IF(ISNUMBER($G21),$G21,$F21+$E21-$D21)),FALSE()),2,IF(AND(BV$2&gt;=$D21,BV$2&lt;=$E21),1,"")))</f>
        <v/>
      </c>
      <c r="BW21" s="55" t="str">
        <f aca="false">IF(OR(BW$2="",$D21=""),"",IF(IF(ISNUMBER($F21),AND(BW$2&gt;=$F21,BW$2&lt;=IF(ISNUMBER($G21),$G21,$F21+$E21-$D21)),FALSE()),2,IF(AND(BW$2&gt;=$D21,BW$2&lt;=$E21),1,"")))</f>
        <v/>
      </c>
      <c r="BX21" s="55" t="str">
        <f aca="false">IF(OR(BX$2="",$D21=""),"",IF(IF(ISNUMBER($F21),AND(BX$2&gt;=$F21,BX$2&lt;=IF(ISNUMBER($G21),$G21,$F21+$E21-$D21)),FALSE()),2,IF(AND(BX$2&gt;=$D21,BX$2&lt;=$E21),1,"")))</f>
        <v/>
      </c>
      <c r="BY21" s="55" t="str">
        <f aca="false">IF(OR(BY$2="",$D21=""),"",IF(IF(ISNUMBER($F21),AND(BY$2&gt;=$F21,BY$2&lt;=IF(ISNUMBER($G21),$G21,$F21+$E21-$D21)),FALSE()),2,IF(AND(BY$2&gt;=$D21,BY$2&lt;=$E21),1,"")))</f>
        <v/>
      </c>
      <c r="BZ21" s="55" t="str">
        <f aca="false">IF(OR(BZ$2="",$D21=""),"",IF(IF(ISNUMBER($F21),AND(BZ$2&gt;=$F21,BZ$2&lt;=IF(ISNUMBER($G21),$G21,$F21+$E21-$D21)),FALSE()),2,IF(AND(BZ$2&gt;=$D21,BZ$2&lt;=$E21),1,"")))</f>
        <v/>
      </c>
      <c r="CA21" s="55" t="str">
        <f aca="false">IF(OR(CA$2="",$D21=""),"",IF(IF(ISNUMBER($F21),AND(CA$2&gt;=$F21,CA$2&lt;=IF(ISNUMBER($G21),$G21,$F21+$E21-$D21)),FALSE()),2,IF(AND(CA$2&gt;=$D21,CA$2&lt;=$E21),1,"")))</f>
        <v/>
      </c>
      <c r="CB21" s="55" t="str">
        <f aca="false">IF(OR(CB$2="",$D21=""),"",IF(IF(ISNUMBER($F21),AND(CB$2&gt;=$F21,CB$2&lt;=IF(ISNUMBER($G21),$G21,$F21+$E21-$D21)),FALSE()),2,IF(AND(CB$2&gt;=$D21,CB$2&lt;=$E21),1,"")))</f>
        <v/>
      </c>
      <c r="CC21" s="55" t="str">
        <f aca="false">IF(OR(CC$2="",$D21=""),"",IF(IF(ISNUMBER($F21),AND(CC$2&gt;=$F21,CC$2&lt;=IF(ISNUMBER($G21),$G21,$F21+$E21-$D21)),FALSE()),2,IF(AND(CC$2&gt;=$D21,CC$2&lt;=$E21),1,"")))</f>
        <v/>
      </c>
      <c r="CD21" s="55" t="str">
        <f aca="false">IF(OR(CD$2="",$D21=""),"",IF(IF(ISNUMBER($F21),AND(CD$2&gt;=$F21,CD$2&lt;=IF(ISNUMBER($G21),$G21,$F21+$E21-$D21)),FALSE()),2,IF(AND(CD$2&gt;=$D21,CD$2&lt;=$E21),1,"")))</f>
        <v/>
      </c>
      <c r="CE21" s="55" t="str">
        <f aca="false">IF(OR(CE$2="",$D21=""),"",IF(IF(ISNUMBER($F21),AND(CE$2&gt;=$F21,CE$2&lt;=IF(ISNUMBER($G21),$G21,$F21+$E21-$D21)),FALSE()),2,IF(AND(CE$2&gt;=$D21,CE$2&lt;=$E21),1,"")))</f>
        <v/>
      </c>
      <c r="CF21" s="55" t="str">
        <f aca="false">IF(OR(CF$2="",$D21=""),"",IF(IF(ISNUMBER($F21),AND(CF$2&gt;=$F21,CF$2&lt;=IF(ISNUMBER($G21),$G21,$F21+$E21-$D21)),FALSE()),2,IF(AND(CF$2&gt;=$D21,CF$2&lt;=$E21),1,"")))</f>
        <v/>
      </c>
      <c r="CG21" s="55" t="str">
        <f aca="false">IF(OR(CG$2="",$D21=""),"",IF(IF(ISNUMBER($F21),AND(CG$2&gt;=$F21,CG$2&lt;=IF(ISNUMBER($G21),$G21,$F21+$E21-$D21)),FALSE()),2,IF(AND(CG$2&gt;=$D21,CG$2&lt;=$E21),1,"")))</f>
        <v/>
      </c>
      <c r="CH21" s="55" t="str">
        <f aca="false">IF(OR(CH$2="",$D21=""),"",IF(IF(ISNUMBER($F21),AND(CH$2&gt;=$F21,CH$2&lt;=IF(ISNUMBER($G21),$G21,$F21+$E21-$D21)),FALSE()),2,IF(AND(CH$2&gt;=$D21,CH$2&lt;=$E21),1,"")))</f>
        <v/>
      </c>
      <c r="CI21" s="55" t="str">
        <f aca="false">IF(OR(CI$2="",$D21=""),"",IF(IF(ISNUMBER($F21),AND(CI$2&gt;=$F21,CI$2&lt;=IF(ISNUMBER($G21),$G21,$F21+$E21-$D21)),FALSE()),2,IF(AND(CI$2&gt;=$D21,CI$2&lt;=$E21),1,"")))</f>
        <v/>
      </c>
      <c r="CJ21" s="55" t="str">
        <f aca="false">IF(OR(CJ$2="",$D21=""),"",IF(IF(ISNUMBER($F21),AND(CJ$2&gt;=$F21,CJ$2&lt;=IF(ISNUMBER($G21),$G21,$F21+$E21-$D21)),FALSE()),2,IF(AND(CJ$2&gt;=$D21,CJ$2&lt;=$E21),1,"")))</f>
        <v/>
      </c>
      <c r="CK21" s="55" t="str">
        <f aca="false">IF(OR(CK$2="",$D21=""),"",IF(IF(ISNUMBER($F21),AND(CK$2&gt;=$F21,CK$2&lt;=IF(ISNUMBER($G21),$G21,$F21+$E21-$D21)),FALSE()),2,IF(AND(CK$2&gt;=$D21,CK$2&lt;=$E21),1,"")))</f>
        <v/>
      </c>
      <c r="CL21" s="55" t="str">
        <f aca="false">IF(OR(CL$2="",$D21=""),"",IF(IF(ISNUMBER($F21),AND(CL$2&gt;=$F21,CL$2&lt;=IF(ISNUMBER($G21),$G21,$F21+$E21-$D21)),FALSE()),2,IF(AND(CL$2&gt;=$D21,CL$2&lt;=$E21),1,"")))</f>
        <v/>
      </c>
      <c r="CM21" s="55" t="str">
        <f aca="false">IF(OR(CM$2="",$D21=""),"",IF(IF(ISNUMBER($F21),AND(CM$2&gt;=$F21,CM$2&lt;=IF(ISNUMBER($G21),$G21,$F21+$E21-$D21)),FALSE()),2,IF(AND(CM$2&gt;=$D21,CM$2&lt;=$E21),1,"")))</f>
        <v/>
      </c>
      <c r="CN21" s="55" t="str">
        <f aca="false">IF(OR(CN$2="",$D21=""),"",IF(IF(ISNUMBER($F21),AND(CN$2&gt;=$F21,CN$2&lt;=IF(ISNUMBER($G21),$G21,$F21+$E21-$D21)),FALSE()),2,IF(AND(CN$2&gt;=$D21,CN$2&lt;=$E21),1,"")))</f>
        <v/>
      </c>
      <c r="CO21" s="55" t="str">
        <f aca="false">IF(OR(CO$2="",$D21=""),"",IF(IF(ISNUMBER($F21),AND(CO$2&gt;=$F21,CO$2&lt;=IF(ISNUMBER($G21),$G21,$F21+$E21-$D21)),FALSE()),2,IF(AND(CO$2&gt;=$D21,CO$2&lt;=$E21),1,"")))</f>
        <v/>
      </c>
      <c r="CP21" s="55" t="str">
        <f aca="false">IF(OR(CP$2="",$D21=""),"",IF(IF(ISNUMBER($F21),AND(CP$2&gt;=$F21,CP$2&lt;=IF(ISNUMBER($G21),$G21,$F21+$E21-$D21)),FALSE()),2,IF(AND(CP$2&gt;=$D21,CP$2&lt;=$E21),1,"")))</f>
        <v/>
      </c>
      <c r="CQ21" s="55" t="str">
        <f aca="false">IF(OR(CQ$2="",$D21=""),"",IF(IF(ISNUMBER($F21),AND(CQ$2&gt;=$F21,CQ$2&lt;=IF(ISNUMBER($G21),$G21,$F21+$E21-$D21)),FALSE()),2,IF(AND(CQ$2&gt;=$D21,CQ$2&lt;=$E21),1,"")))</f>
        <v/>
      </c>
      <c r="CR21" s="55" t="str">
        <f aca="false">IF(OR(CR$2="",$D21=""),"",IF(IF(ISNUMBER($F21),AND(CR$2&gt;=$F21,CR$2&lt;=IF(ISNUMBER($G21),$G21,$F21+$E21-$D21)),FALSE()),2,IF(AND(CR$2&gt;=$D21,CR$2&lt;=$E21),1,"")))</f>
        <v/>
      </c>
      <c r="CS21" s="55" t="str">
        <f aca="false">IF(OR(CS$2="",$D21=""),"",IF(IF(ISNUMBER($F21),AND(CS$2&gt;=$F21,CS$2&lt;=IF(ISNUMBER($G21),$G21,$F21+$E21-$D21)),FALSE()),2,IF(AND(CS$2&gt;=$D21,CS$2&lt;=$E21),1,"")))</f>
        <v/>
      </c>
      <c r="CT21" s="55" t="str">
        <f aca="false">IF(OR(CT$2="",$D21=""),"",IF(IF(ISNUMBER($F21),AND(CT$2&gt;=$F21,CT$2&lt;=IF(ISNUMBER($G21),$G21,$F21+$E21-$D21)),FALSE()),2,IF(AND(CT$2&gt;=$D21,CT$2&lt;=$E21),1,"")))</f>
        <v/>
      </c>
      <c r="CU21" s="55" t="str">
        <f aca="false">IF(OR(CU$2="",$D21=""),"",IF(IF(ISNUMBER($F21),AND(CU$2&gt;=$F21,CU$2&lt;=IF(ISNUMBER($G21),$G21,$F21+$E21-$D21)),FALSE()),2,IF(AND(CU$2&gt;=$D21,CU$2&lt;=$E21),1,"")))</f>
        <v/>
      </c>
      <c r="CV21" s="55" t="str">
        <f aca="false">IF(OR(CV$2="",$D21=""),"",IF(IF(ISNUMBER($F21),AND(CV$2&gt;=$F21,CV$2&lt;=IF(ISNUMBER($G21),$G21,$F21+$E21-$D21)),FALSE()),2,IF(AND(CV$2&gt;=$D21,CV$2&lt;=$E21),1,"")))</f>
        <v/>
      </c>
      <c r="CW21" s="55" t="str">
        <f aca="false">IF(OR(CW$2="",$D21=""),"",IF(IF(ISNUMBER($F21),AND(CW$2&gt;=$F21,CW$2&lt;=IF(ISNUMBER($G21),$G21,$F21+$E21-$D21)),FALSE()),2,IF(AND(CW$2&gt;=$D21,CW$2&lt;=$E21),1,"")))</f>
        <v/>
      </c>
      <c r="CX21" s="55" t="str">
        <f aca="false">IF(OR(CX$2="",$D21=""),"",IF(IF(ISNUMBER($F21),AND(CX$2&gt;=$F21,CX$2&lt;=IF(ISNUMBER($G21),$G21,$F21+$E21-$D21)),FALSE()),2,IF(AND(CX$2&gt;=$D21,CX$2&lt;=$E21),1,"")))</f>
        <v/>
      </c>
      <c r="CY21" s="55" t="str">
        <f aca="false">IF(OR(CY$2="",$D21=""),"",IF(IF(ISNUMBER($F21),AND(CY$2&gt;=$F21,CY$2&lt;=IF(ISNUMBER($G21),$G21,$F21+$E21-$D21)),FALSE()),2,IF(AND(CY$2&gt;=$D21,CY$2&lt;=$E21),1,"")))</f>
        <v/>
      </c>
      <c r="CZ21" s="55" t="str">
        <f aca="false">IF(OR(CZ$2="",$D21=""),"",IF(IF(ISNUMBER($F21),AND(CZ$2&gt;=$F21,CZ$2&lt;=IF(ISNUMBER($G21),$G21,$F21+$E21-$D21)),FALSE()),2,IF(AND(CZ$2&gt;=$D21,CZ$2&lt;=$E21),1,"")))</f>
        <v/>
      </c>
      <c r="DA21" s="55" t="str">
        <f aca="false">IF(OR(DA$2="",$D21=""),"",IF(IF(ISNUMBER($F21),AND(DA$2&gt;=$F21,DA$2&lt;=IF(ISNUMBER($G21),$G21,$F21+$E21-$D21)),FALSE()),2,IF(AND(DA$2&gt;=$D21,DA$2&lt;=$E21),1,"")))</f>
        <v/>
      </c>
      <c r="DB21" s="55" t="str">
        <f aca="false">IF(OR(DB$2="",$D21=""),"",IF(IF(ISNUMBER($F21),AND(DB$2&gt;=$F21,DB$2&lt;=IF(ISNUMBER($G21),$G21,$F21+$E21-$D21)),FALSE()),2,IF(AND(DB$2&gt;=$D21,DB$2&lt;=$E21),1,"")))</f>
        <v/>
      </c>
      <c r="DC21" s="55" t="str">
        <f aca="false">IF(OR(DC$2="",$D21=""),"",IF(IF(ISNUMBER($F21),AND(DC$2&gt;=$F21,DC$2&lt;=IF(ISNUMBER($G21),$G21,$F21+$E21-$D21)),FALSE()),2,IF(AND(DC$2&gt;=$D21,DC$2&lt;=$E21),1,"")))</f>
        <v/>
      </c>
      <c r="DD21" s="55" t="str">
        <f aca="false">IF(OR(DD$2="",$D21=""),"",IF(IF(ISNUMBER($F21),AND(DD$2&gt;=$F21,DD$2&lt;=IF(ISNUMBER($G21),$G21,$F21+$E21-$D21)),FALSE()),2,IF(AND(DD$2&gt;=$D21,DD$2&lt;=$E21),1,"")))</f>
        <v/>
      </c>
      <c r="DE21" s="55" t="str">
        <f aca="false">IF(OR(DE$2="",$D21=""),"",IF(IF(ISNUMBER($F21),AND(DE$2&gt;=$F21,DE$2&lt;=IF(ISNUMBER($G21),$G21,$F21+$E21-$D21)),FALSE()),2,IF(AND(DE$2&gt;=$D21,DE$2&lt;=$E21),1,"")))</f>
        <v/>
      </c>
      <c r="DF21" s="55" t="str">
        <f aca="false">IF(OR(DF$2="",$D21=""),"",IF(IF(ISNUMBER($F21),AND(DF$2&gt;=$F21,DF$2&lt;=IF(ISNUMBER($G21),$G21,$F21+$E21-$D21)),FALSE()),2,IF(AND(DF$2&gt;=$D21,DF$2&lt;=$E21),1,"")))</f>
        <v/>
      </c>
      <c r="DG21" s="55" t="str">
        <f aca="false">IF(OR(DG$2="",$D21=""),"",IF(IF(ISNUMBER($F21),AND(DG$2&gt;=$F21,DG$2&lt;=IF(ISNUMBER($G21),$G21,$F21+$E21-$D21)),FALSE()),2,IF(AND(DG$2&gt;=$D21,DG$2&lt;=$E21),1,"")))</f>
        <v/>
      </c>
      <c r="DH21" s="55" t="str">
        <f aca="false">IF(OR(DH$2="",$D21=""),"",IF(IF(ISNUMBER($F21),AND(DH$2&gt;=$F21,DH$2&lt;=IF(ISNUMBER($G21),$G21,$F21+$E21-$D21)),FALSE()),2,IF(AND(DH$2&gt;=$D21,DH$2&lt;=$E21),1,"")))</f>
        <v/>
      </c>
      <c r="DI21" s="55" t="str">
        <f aca="false">IF(OR(DI$2="",$D21=""),"",IF(IF(ISNUMBER($F21),AND(DI$2&gt;=$F21,DI$2&lt;=IF(ISNUMBER($G21),$G21,$F21+$E21-$D21)),FALSE()),2,IF(AND(DI$2&gt;=$D21,DI$2&lt;=$E21),1,"")))</f>
        <v/>
      </c>
      <c r="DJ21" s="55" t="str">
        <f aca="false">IF(OR(DJ$2="",$D21=""),"",IF(IF(ISNUMBER($F21),AND(DJ$2&gt;=$F21,DJ$2&lt;=IF(ISNUMBER($G21),$G21,$F21+$E21-$D21)),FALSE()),2,IF(AND(DJ$2&gt;=$D21,DJ$2&lt;=$E21),1,"")))</f>
        <v/>
      </c>
      <c r="DK21" s="55" t="str">
        <f aca="false">IF(OR(DK$2="",$D21=""),"",IF(IF(ISNUMBER($F21),AND(DK$2&gt;=$F21,DK$2&lt;=IF(ISNUMBER($G21),$G21,$F21+$E21-$D21)),FALSE()),2,IF(AND(DK$2&gt;=$D21,DK$2&lt;=$E21),1,"")))</f>
        <v/>
      </c>
      <c r="DL21" s="55" t="str">
        <f aca="false">IF(OR(DL$2="",$D21=""),"",IF(IF(ISNUMBER($F21),AND(DL$2&gt;=$F21,DL$2&lt;=IF(ISNUMBER($G21),$G21,$F21+$E21-$D21)),FALSE()),2,IF(AND(DL$2&gt;=$D21,DL$2&lt;=$E21),1,"")))</f>
        <v/>
      </c>
      <c r="DM21" s="55" t="str">
        <f aca="false">IF(OR(DM$2="",$D21=""),"",IF(IF(ISNUMBER($F21),AND(DM$2&gt;=$F21,DM$2&lt;=IF(ISNUMBER($G21),$G21,$F21+$E21-$D21)),FALSE()),2,IF(AND(DM$2&gt;=$D21,DM$2&lt;=$E21),1,"")))</f>
        <v/>
      </c>
      <c r="DN21" s="55" t="str">
        <f aca="false">IF(OR(DN$2="",$D21=""),"",IF(IF(ISNUMBER($F21),AND(DN$2&gt;=$F21,DN$2&lt;=IF(ISNUMBER($G21),$G21,$F21+$E21-$D21)),FALSE()),2,IF(AND(DN$2&gt;=$D21,DN$2&lt;=$E21),1,"")))</f>
        <v/>
      </c>
      <c r="DO21" s="55" t="str">
        <f aca="false">IF(OR(DO$2="",$D21=""),"",IF(IF(ISNUMBER($F21),AND(DO$2&gt;=$F21,DO$2&lt;=IF(ISNUMBER($G21),$G21,$F21+$E21-$D21)),FALSE()),2,IF(AND(DO$2&gt;=$D21,DO$2&lt;=$E21),1,"")))</f>
        <v/>
      </c>
      <c r="DP21" s="55" t="str">
        <f aca="false">IF(OR(DP$2="",$D21=""),"",IF(IF(ISNUMBER($F21),AND(DP$2&gt;=$F21,DP$2&lt;=IF(ISNUMBER($G21),$G21,$F21+$E21-$D21)),FALSE()),2,IF(AND(DP$2&gt;=$D21,DP$2&lt;=$E21),1,"")))</f>
        <v/>
      </c>
      <c r="DQ21" s="55" t="str">
        <f aca="false">IF(OR(DQ$2="",$D21=""),"",IF(IF(ISNUMBER($F21),AND(DQ$2&gt;=$F21,DQ$2&lt;=IF(ISNUMBER($G21),$G21,$F21+$E21-$D21)),FALSE()),2,IF(AND(DQ$2&gt;=$D21,DQ$2&lt;=$E21),1,"")))</f>
        <v/>
      </c>
      <c r="DR21" s="55" t="str">
        <f aca="false">IF(OR(DR$2="",$D21=""),"",IF(IF(ISNUMBER($F21),AND(DR$2&gt;=$F21,DR$2&lt;=IF(ISNUMBER($G21),$G21,$F21+$E21-$D21)),FALSE()),2,IF(AND(DR$2&gt;=$D21,DR$2&lt;=$E21),1,"")))</f>
        <v/>
      </c>
      <c r="DS21" s="55" t="str">
        <f aca="false">IF(OR(DS$2="",$D21=""),"",IF(IF(ISNUMBER($F21),AND(DS$2&gt;=$F21,DS$2&lt;=IF(ISNUMBER($G21),$G21,$F21+$E21-$D21)),FALSE()),2,IF(AND(DS$2&gt;=$D21,DS$2&lt;=$E21),1,"")))</f>
        <v/>
      </c>
      <c r="DT21" s="55" t="str">
        <f aca="false">IF(OR(DT$2="",$D21=""),"",IF(IF(ISNUMBER($F21),AND(DT$2&gt;=$F21,DT$2&lt;=IF(ISNUMBER($G21),$G21,$F21+$E21-$D21)),FALSE()),2,IF(AND(DT$2&gt;=$D21,DT$2&lt;=$E21),1,"")))</f>
        <v/>
      </c>
      <c r="DU21" s="55" t="str">
        <f aca="false">IF(OR(DU$2="",$D21=""),"",IF(IF(ISNUMBER($F21),AND(DU$2&gt;=$F21,DU$2&lt;=IF(ISNUMBER($G21),$G21,$F21+$E21-$D21)),FALSE()),2,IF(AND(DU$2&gt;=$D21,DU$2&lt;=$E21),1,"")))</f>
        <v/>
      </c>
      <c r="DV21" s="55" t="str">
        <f aca="false">IF(OR(DV$2="",$D21=""),"",IF(IF(ISNUMBER($F21),AND(DV$2&gt;=$F21,DV$2&lt;=IF(ISNUMBER($G21),$G21,$F21+$E21-$D21)),FALSE()),2,IF(AND(DV$2&gt;=$D21,DV$2&lt;=$E21),1,"")))</f>
        <v/>
      </c>
      <c r="DW21" s="55" t="str">
        <f aca="false">IF(OR(DW$2="",$D21=""),"",IF(IF(ISNUMBER($F21),AND(DW$2&gt;=$F21,DW$2&lt;=IF(ISNUMBER($G21),$G21,$F21+$E21-$D21)),FALSE()),2,IF(AND(DW$2&gt;=$D21,DW$2&lt;=$E21),1,"")))</f>
        <v/>
      </c>
      <c r="DX21" s="55" t="str">
        <f aca="false">IF(OR(DX$2="",$D21=""),"",IF(IF(ISNUMBER($F21),AND(DX$2&gt;=$F21,DX$2&lt;=IF(ISNUMBER($G21),$G21,$F21+$E21-$D21)),FALSE()),2,IF(AND(DX$2&gt;=$D21,DX$2&lt;=$E21),1,"")))</f>
        <v/>
      </c>
      <c r="DY21" s="55" t="str">
        <f aca="false">IF(OR(DY$2="",$D21=""),"",IF(IF(ISNUMBER($F21),AND(DY$2&gt;=$F21,DY$2&lt;=IF(ISNUMBER($G21),$G21,$F21+$E21-$D21)),FALSE()),2,IF(AND(DY$2&gt;=$D21,DY$2&lt;=$E21),1,"")))</f>
        <v/>
      </c>
      <c r="DZ21" s="55" t="str">
        <f aca="false">IF(OR(DZ$2="",$D21=""),"",IF(IF(ISNUMBER($F21),AND(DZ$2&gt;=$F21,DZ$2&lt;=IF(ISNUMBER($G21),$G21,$F21+$E21-$D21)),FALSE()),2,IF(AND(DZ$2&gt;=$D21,DZ$2&lt;=$E21),1,"")))</f>
        <v/>
      </c>
      <c r="EA21" s="55" t="str">
        <f aca="false">IF(OR(EA$2="",$D21=""),"",IF(IF(ISNUMBER($F21),AND(EA$2&gt;=$F21,EA$2&lt;=IF(ISNUMBER($G21),$G21,$F21+$E21-$D21)),FALSE()),2,IF(AND(EA$2&gt;=$D21,EA$2&lt;=$E21),1,"")))</f>
        <v/>
      </c>
      <c r="EB21" s="55" t="str">
        <f aca="false">IF(OR(EB$2="",$D21=""),"",IF(IF(ISNUMBER($F21),AND(EB$2&gt;=$F21,EB$2&lt;=IF(ISNUMBER($G21),$G21,$F21+$E21-$D21)),FALSE()),2,IF(AND(EB$2&gt;=$D21,EB$2&lt;=$E21),1,"")))</f>
        <v/>
      </c>
      <c r="EC21" s="55" t="str">
        <f aca="false">IF(OR(EC$2="",$D21=""),"",IF(IF(ISNUMBER($F21),AND(EC$2&gt;=$F21,EC$2&lt;=IF(ISNUMBER($G21),$G21,$F21+$E21-$D21)),FALSE()),2,IF(AND(EC$2&gt;=$D21,EC$2&lt;=$E21),1,"")))</f>
        <v/>
      </c>
      <c r="ED21" s="55" t="str">
        <f aca="false">IF(OR(ED$2="",$D21=""),"",IF(IF(ISNUMBER($F21),AND(ED$2&gt;=$F21,ED$2&lt;=IF(ISNUMBER($G21),$G21,$F21+$E21-$D21)),FALSE()),2,IF(AND(ED$2&gt;=$D21,ED$2&lt;=$E21),1,"")))</f>
        <v/>
      </c>
      <c r="EE21" s="55" t="str">
        <f aca="false">IF(OR(EE$2="",$D21=""),"",IF(IF(ISNUMBER($F21),AND(EE$2&gt;=$F21,EE$2&lt;=IF(ISNUMBER($G21),$G21,$F21+$E21-$D21)),FALSE()),2,IF(AND(EE$2&gt;=$D21,EE$2&lt;=$E21),1,"")))</f>
        <v/>
      </c>
      <c r="EF21" s="55" t="str">
        <f aca="false">IF(OR(EF$2="",$D21=""),"",IF(IF(ISNUMBER($F21),AND(EF$2&gt;=$F21,EF$2&lt;=IF(ISNUMBER($G21),$G21,$F21+$E21-$D21)),FALSE()),2,IF(AND(EF$2&gt;=$D21,EF$2&lt;=$E21),1,"")))</f>
        <v/>
      </c>
      <c r="EG21" s="55" t="str">
        <f aca="false">IF(OR(EG$2="",$D21=""),"",IF(IF(ISNUMBER($F21),AND(EG$2&gt;=$F21,EG$2&lt;=IF(ISNUMBER($G21),$G21,$F21+$E21-$D21)),FALSE()),2,IF(AND(EG$2&gt;=$D21,EG$2&lt;=$E21),1,"")))</f>
        <v/>
      </c>
      <c r="EH21" s="55" t="str">
        <f aca="false">IF(OR(EH$2="",$D21=""),"",IF(IF(ISNUMBER($F21),AND(EH$2&gt;=$F21,EH$2&lt;=IF(ISNUMBER($G21),$G21,$F21+$E21-$D21)),FALSE()),2,IF(AND(EH$2&gt;=$D21,EH$2&lt;=$E21),1,"")))</f>
        <v/>
      </c>
      <c r="EI21" s="55" t="str">
        <f aca="false">IF(OR(EI$2="",$D21=""),"",IF(IF(ISNUMBER($F21),AND(EI$2&gt;=$F21,EI$2&lt;=IF(ISNUMBER($G21),$G21,$F21+$E21-$D21)),FALSE()),2,IF(AND(EI$2&gt;=$D21,EI$2&lt;=$E21),1,"")))</f>
        <v/>
      </c>
      <c r="EJ21" s="55" t="str">
        <f aca="false">IF(OR(EJ$2="",$D21=""),"",IF(IF(ISNUMBER($F21),AND(EJ$2&gt;=$F21,EJ$2&lt;=IF(ISNUMBER($G21),$G21,$F21+$E21-$D21)),FALSE()),2,IF(AND(EJ$2&gt;=$D21,EJ$2&lt;=$E21),1,"")))</f>
        <v/>
      </c>
      <c r="EK21" s="55" t="str">
        <f aca="false">IF(OR(EK$2="",$D21=""),"",IF(IF(ISNUMBER($F21),AND(EK$2&gt;=$F21,EK$2&lt;=IF(ISNUMBER($G21),$G21,$F21+$E21-$D21)),FALSE()),2,IF(AND(EK$2&gt;=$D21,EK$2&lt;=$E21),1,"")))</f>
        <v/>
      </c>
      <c r="EL21" s="55" t="str">
        <f aca="false">IF(OR(EL$2="",$D21=""),"",IF(IF(ISNUMBER($F21),AND(EL$2&gt;=$F21,EL$2&lt;=IF(ISNUMBER($G21),$G21,$F21+$E21-$D21)),FALSE()),2,IF(AND(EL$2&gt;=$D21,EL$2&lt;=$E21),1,"")))</f>
        <v/>
      </c>
      <c r="EM21" s="55" t="str">
        <f aca="false">IF(OR(EM$2="",$D21=""),"",IF(IF(ISNUMBER($F21),AND(EM$2&gt;=$F21,EM$2&lt;=IF(ISNUMBER($G21),$G21,$F21+$E21-$D21)),FALSE()),2,IF(AND(EM$2&gt;=$D21,EM$2&lt;=$E21),1,"")))</f>
        <v/>
      </c>
      <c r="EN21" s="55" t="str">
        <f aca="false">IF(OR(EN$2="",$D21=""),"",IF(IF(ISNUMBER($F21),AND(EN$2&gt;=$F21,EN$2&lt;=IF(ISNUMBER($G21),$G21,$F21+$E21-$D21)),FALSE()),2,IF(AND(EN$2&gt;=$D21,EN$2&lt;=$E21),1,"")))</f>
        <v/>
      </c>
      <c r="EO21" s="55" t="str">
        <f aca="false">IF(OR(EO$2="",$D21=""),"",IF(IF(ISNUMBER($F21),AND(EO$2&gt;=$F21,EO$2&lt;=IF(ISNUMBER($G21),$G21,$F21+$E21-$D21)),FALSE()),2,IF(AND(EO$2&gt;=$D21,EO$2&lt;=$E21),1,"")))</f>
        <v/>
      </c>
      <c r="EP21" s="55" t="str">
        <f aca="false">IF(OR(EP$2="",$D21=""),"",IF(IF(ISNUMBER($F21),AND(EP$2&gt;=$F21,EP$2&lt;=IF(ISNUMBER($G21),$G21,$F21+$E21-$D21)),FALSE()),2,IF(AND(EP$2&gt;=$D21,EP$2&lt;=$E21),1,"")))</f>
        <v/>
      </c>
      <c r="EQ21" s="55" t="str">
        <f aca="false">IF(OR(EQ$2="",$D21=""),"",IF(IF(ISNUMBER($F21),AND(EQ$2&gt;=$F21,EQ$2&lt;=IF(ISNUMBER($G21),$G21,$F21+$E21-$D21)),FALSE()),2,IF(AND(EQ$2&gt;=$D21,EQ$2&lt;=$E21),1,"")))</f>
        <v/>
      </c>
      <c r="ER21" s="55" t="n">
        <f aca="false">IF(OR(ER$2="",$D21=""),"",IF(IF(ISNUMBER($F21),AND(ER$2&gt;=$F21,ER$2&lt;=IF(ISNUMBER($G21),$G21,$F21+$E21-$D21)),FALSE()),2,IF(AND(ER$2&gt;=$D21,ER$2&lt;=$E21),1,"")))</f>
        <v>1</v>
      </c>
      <c r="ES21" s="55" t="n">
        <f aca="false">IF(OR(ES$2="",$D21=""),"",IF(IF(ISNUMBER($F21),AND(ES$2&gt;=$F21,ES$2&lt;=IF(ISNUMBER($G21),$G21,$F21+$E21-$D21)),FALSE()),2,IF(AND(ES$2&gt;=$D21,ES$2&lt;=$E21),1,"")))</f>
        <v>2</v>
      </c>
      <c r="ET21" s="55" t="n">
        <f aca="false">IF(OR(ET$2="",$D21=""),"",IF(IF(ISNUMBER($F21),AND(ET$2&gt;=$F21,ET$2&lt;=IF(ISNUMBER($G21),$G21,$F21+$E21-$D21)),FALSE()),2,IF(AND(ET$2&gt;=$D21,ET$2&lt;=$E21),1,"")))</f>
        <v>2</v>
      </c>
      <c r="EU21" s="55" t="n">
        <f aca="false">IF(OR(EU$2="",$D21=""),"",IF(IF(ISNUMBER($F21),AND(EU$2&gt;=$F21,EU$2&lt;=IF(ISNUMBER($G21),$G21,$F21+$E21-$D21)),FALSE()),2,IF(AND(EU$2&gt;=$D21,EU$2&lt;=$E21),1,"")))</f>
        <v>2</v>
      </c>
      <c r="EV21" s="55" t="n">
        <f aca="false">IF(OR(EV$2="",$D21=""),"",IF(IF(ISNUMBER($F21),AND(EV$2&gt;=$F21,EV$2&lt;=IF(ISNUMBER($G21),$G21,$F21+$E21-$D21)),FALSE()),2,IF(AND(EV$2&gt;=$D21,EV$2&lt;=$E21),1,"")))</f>
        <v>2</v>
      </c>
      <c r="EW21" s="55" t="n">
        <f aca="false">IF(OR(EW$2="",$D21=""),"",IF(IF(ISNUMBER($F21),AND(EW$2&gt;=$F21,EW$2&lt;=IF(ISNUMBER($G21),$G21,$F21+$E21-$D21)),FALSE()),2,IF(AND(EW$2&gt;=$D21,EW$2&lt;=$E21),1,"")))</f>
        <v>2</v>
      </c>
      <c r="EX21" s="55" t="n">
        <f aca="false">IF(OR(EX$2="",$D21=""),"",IF(IF(ISNUMBER($F21),AND(EX$2&gt;=$F21,EX$2&lt;=IF(ISNUMBER($G21),$G21,$F21+$E21-$D21)),FALSE()),2,IF(AND(EX$2&gt;=$D21,EX$2&lt;=$E21),1,"")))</f>
        <v>2</v>
      </c>
      <c r="EY21" s="55" t="n">
        <f aca="false">IF(OR(EY$2="",$D21=""),"",IF(IF(ISNUMBER($F21),AND(EY$2&gt;=$F21,EY$2&lt;=IF(ISNUMBER($G21),$G21,$F21+$E21-$D21)),FALSE()),2,IF(AND(EY$2&gt;=$D21,EY$2&lt;=$E21),1,"")))</f>
        <v>2</v>
      </c>
      <c r="EZ21" s="55" t="n">
        <f aca="false">IF(OR(EZ$2="",$D21=""),"",IF(IF(ISNUMBER($F21),AND(EZ$2&gt;=$F21,EZ$2&lt;=IF(ISNUMBER($G21),$G21,$F21+$E21-$D21)),FALSE()),2,IF(AND(EZ$2&gt;=$D21,EZ$2&lt;=$E21),1,"")))</f>
        <v>2</v>
      </c>
      <c r="FA21" s="55" t="str">
        <f aca="false">IF(OR(FA$2="",$D21=""),"",IF(IF(ISNUMBER($F21),AND(FA$2&gt;=$F21,FA$2&lt;=IF(ISNUMBER($G21),$G21,$F21+$E21-$D21)),FALSE()),2,IF(AND(FA$2&gt;=$D21,FA$2&lt;=$E21),1,"")))</f>
        <v/>
      </c>
      <c r="FB21" s="55" t="str">
        <f aca="false">IF(OR(FB$2="",$D21=""),"",IF(IF(ISNUMBER($F21),AND(FB$2&gt;=$F21,FB$2&lt;=IF(ISNUMBER($G21),$G21,$F21+$E21-$D21)),FALSE()),2,IF(AND(FB$2&gt;=$D21,FB$2&lt;=$E21),1,"")))</f>
        <v/>
      </c>
      <c r="FC21" s="55" t="str">
        <f aca="false">IF(OR(FC$2="",$D21=""),"",IF(IF(ISNUMBER($F21),AND(FC$2&gt;=$F21,FC$2&lt;=IF(ISNUMBER($G21),$G21,$F21+$E21-$D21)),FALSE()),2,IF(AND(FC$2&gt;=$D21,FC$2&lt;=$E21),1,"")))</f>
        <v/>
      </c>
      <c r="FD21" s="55" t="str">
        <f aca="false">IF(OR(FD$2="",$D21=""),"",IF(IF(ISNUMBER($F21),AND(FD$2&gt;=$F21,FD$2&lt;=IF(ISNUMBER($G21),$G21,$F21+$E21-$D21)),FALSE()),2,IF(AND(FD$2&gt;=$D21,FD$2&lt;=$E21),1,"")))</f>
        <v/>
      </c>
      <c r="FE21" s="55" t="str">
        <f aca="false">IF(OR(FE$2="",$D21=""),"",IF(IF(ISNUMBER($F21),AND(FE$2&gt;=$F21,FE$2&lt;=IF(ISNUMBER($G21),$G21,$F21+$E21-$D21)),FALSE()),2,IF(AND(FE$2&gt;=$D21,FE$2&lt;=$E21),1,"")))</f>
        <v/>
      </c>
      <c r="FF21" s="55" t="str">
        <f aca="false">IF(OR(FF$2="",$D21=""),"",IF(IF(ISNUMBER($F21),AND(FF$2&gt;=$F21,FF$2&lt;=IF(ISNUMBER($G21),$G21,$F21+$E21-$D21)),FALSE()),2,IF(AND(FF$2&gt;=$D21,FF$2&lt;=$E21),1,"")))</f>
        <v/>
      </c>
      <c r="FG21" s="55" t="str">
        <f aca="false">IF(OR(FG$2="",$D21=""),"",IF(IF(ISNUMBER($F21),AND(FG$2&gt;=$F21,FG$2&lt;=IF(ISNUMBER($G21),$G21,$F21+$E21-$D21)),FALSE()),2,IF(AND(FG$2&gt;=$D21,FG$2&lt;=$E21),1,"")))</f>
        <v/>
      </c>
      <c r="FH21" s="55" t="str">
        <f aca="false">IF(OR(FH$2="",$D21=""),"",IF(IF(ISNUMBER($F21),AND(FH$2&gt;=$F21,FH$2&lt;=IF(ISNUMBER($G21),$G21,$F21+$E21-$D21)),FALSE()),2,IF(AND(FH$2&gt;=$D21,FH$2&lt;=$E21),1,"")))</f>
        <v/>
      </c>
      <c r="FI21" s="55" t="str">
        <f aca="false">IF(OR(FI$2="",$D21=""),"",IF(IF(ISNUMBER($F21),AND(FI$2&gt;=$F21,FI$2&lt;=IF(ISNUMBER($G21),$G21,$F21+$E21-$D21)),FALSE()),2,IF(AND(FI$2&gt;=$D21,FI$2&lt;=$E21),1,"")))</f>
        <v/>
      </c>
      <c r="FJ21" s="55" t="str">
        <f aca="false">IF(OR(FJ$2="",$D21=""),"",IF(IF(ISNUMBER($F21),AND(FJ$2&gt;=$F21,FJ$2&lt;=IF(ISNUMBER($G21),$G21,$F21+$E21-$D21)),FALSE()),2,IF(AND(FJ$2&gt;=$D21,FJ$2&lt;=$E21),1,"")))</f>
        <v/>
      </c>
      <c r="FK21" s="55" t="str">
        <f aca="false">IF(OR(FK$2="",$D21=""),"",IF(IF(ISNUMBER($F21),AND(FK$2&gt;=$F21,FK$2&lt;=IF(ISNUMBER($G21),$G21,$F21+$E21-$D21)),FALSE()),2,IF(AND(FK$2&gt;=$D21,FK$2&lt;=$E21),1,"")))</f>
        <v/>
      </c>
      <c r="FL21" s="55" t="str">
        <f aca="false">IF(OR(FL$2="",$D21=""),"",IF(IF(ISNUMBER($F21),AND(FL$2&gt;=$F21,FL$2&lt;=IF(ISNUMBER($G21),$G21,$F21+$E21-$D21)),FALSE()),2,IF(AND(FL$2&gt;=$D21,FL$2&lt;=$E21),1,"")))</f>
        <v/>
      </c>
      <c r="FM21" s="55" t="str">
        <f aca="false">IF(OR(FM$2="",$D21=""),"",IF(IF(ISNUMBER($F21),AND(FM$2&gt;=$F21,FM$2&lt;=IF(ISNUMBER($G21),$G21,$F21+$E21-$D21)),FALSE()),2,IF(AND(FM$2&gt;=$D21,FM$2&lt;=$E21),1,"")))</f>
        <v/>
      </c>
      <c r="FN21" s="55" t="str">
        <f aca="false">IF(OR(FN$2="",$D21=""),"",IF(IF(ISNUMBER($F21),AND(FN$2&gt;=$F21,FN$2&lt;=IF(ISNUMBER($G21),$G21,$F21+$E21-$D21)),FALSE()),2,IF(AND(FN$2&gt;=$D21,FN$2&lt;=$E21),1,"")))</f>
        <v/>
      </c>
      <c r="FO21" s="55" t="str">
        <f aca="false">IF(OR(FO$2="",$D21=""),"",IF(IF(ISNUMBER($F21),AND(FO$2&gt;=$F21,FO$2&lt;=IF(ISNUMBER($G21),$G21,$F21+$E21-$D21)),FALSE()),2,IF(AND(FO$2&gt;=$D21,FO$2&lt;=$E21),1,"")))</f>
        <v/>
      </c>
      <c r="FP21" s="55" t="str">
        <f aca="false">IF(OR(FP$2="",$D21=""),"",IF(IF(ISNUMBER($F21),AND(FP$2&gt;=$F21,FP$2&lt;=IF(ISNUMBER($G21),$G21,$F21+$E21-$D21)),FALSE()),2,IF(AND(FP$2&gt;=$D21,FP$2&lt;=$E21),1,"")))</f>
        <v/>
      </c>
      <c r="FQ21" s="55" t="str">
        <f aca="false">IF(OR(FQ$2="",$D21=""),"",IF(IF(ISNUMBER($F21),AND(FQ$2&gt;=$F21,FQ$2&lt;=IF(ISNUMBER($G21),$G21,$F21+$E21-$D21)),FALSE()),2,IF(AND(FQ$2&gt;=$D21,FQ$2&lt;=$E21),1,"")))</f>
        <v/>
      </c>
      <c r="FR21" s="55" t="str">
        <f aca="false">IF(OR(FR$2="",$D21=""),"",IF(IF(ISNUMBER($F21),AND(FR$2&gt;=$F21,FR$2&lt;=IF(ISNUMBER($G21),$G21,$F21+$E21-$D21)),FALSE()),2,IF(AND(FR$2&gt;=$D21,FR$2&lt;=$E21),1,"")))</f>
        <v/>
      </c>
      <c r="FS21" s="55" t="str">
        <f aca="false">IF(OR(FS$2="",$D21=""),"",IF(IF(ISNUMBER($F21),AND(FS$2&gt;=$F21,FS$2&lt;=IF(ISNUMBER($G21),$G21,$F21+$E21-$D21)),FALSE()),2,IF(AND(FS$2&gt;=$D21,FS$2&lt;=$E21),1,"")))</f>
        <v/>
      </c>
      <c r="FT21" s="55" t="str">
        <f aca="false">IF(OR(FT$2="",$D21=""),"",IF(IF(ISNUMBER($F21),AND(FT$2&gt;=$F21,FT$2&lt;=IF(ISNUMBER($G21),$G21,$F21+$E21-$D21)),FALSE()),2,IF(AND(FT$2&gt;=$D21,FT$2&lt;=$E21),1,"")))</f>
        <v/>
      </c>
      <c r="FU21" s="55" t="str">
        <f aca="false">IF(OR(FU$2="",$D21=""),"",IF(IF(ISNUMBER($F21),AND(FU$2&gt;=$F21,FU$2&lt;=IF(ISNUMBER($G21),$G21,$F21+$E21-$D21)),FALSE()),2,IF(AND(FU$2&gt;=$D21,FU$2&lt;=$E21),1,"")))</f>
        <v/>
      </c>
      <c r="FV21" s="55" t="str">
        <f aca="false">IF(OR(FV$2="",$D21=""),"",IF(IF(ISNUMBER($F21),AND(FV$2&gt;=$F21,FV$2&lt;=IF(ISNUMBER($G21),$G21,$F21+$E21-$D21)),FALSE()),2,IF(AND(FV$2&gt;=$D21,FV$2&lt;=$E21),1,"")))</f>
        <v/>
      </c>
      <c r="FW21" s="55" t="str">
        <f aca="false">IF(OR(FW$2="",$D21=""),"",IF(IF(ISNUMBER($F21),AND(FW$2&gt;=$F21,FW$2&lt;=IF(ISNUMBER($G21),$G21,$F21+$E21-$D21)),FALSE()),2,IF(AND(FW$2&gt;=$D21,FW$2&lt;=$E21),1,"")))</f>
        <v/>
      </c>
      <c r="FX21" s="55" t="str">
        <f aca="false">IF(OR(FX$2="",$D21=""),"",IF(IF(ISNUMBER($F21),AND(FX$2&gt;=$F21,FX$2&lt;=IF(ISNUMBER($G21),$G21,$F21+$E21-$D21)),FALSE()),2,IF(AND(FX$2&gt;=$D21,FX$2&lt;=$E21),1,"")))</f>
        <v/>
      </c>
      <c r="FY21" s="55" t="str">
        <f aca="false">IF(OR(FY$2="",$D21=""),"",IF(IF(ISNUMBER($F21),AND(FY$2&gt;=$F21,FY$2&lt;=IF(ISNUMBER($G21),$G21,$F21+$E21-$D21)),FALSE()),2,IF(AND(FY$2&gt;=$D21,FY$2&lt;=$E21),1,"")))</f>
        <v/>
      </c>
      <c r="FZ21" s="55" t="str">
        <f aca="false">IF(OR(FZ$2="",$D21=""),"",IF(IF(ISNUMBER($F21),AND(FZ$2&gt;=$F21,FZ$2&lt;=IF(ISNUMBER($G21),$G21,$F21+$E21-$D21)),FALSE()),2,IF(AND(FZ$2&gt;=$D21,FZ$2&lt;=$E21),1,"")))</f>
        <v/>
      </c>
      <c r="GA21" s="55" t="str">
        <f aca="false">IF(OR(GA$2="",$D21=""),"",IF(IF(ISNUMBER($F21),AND(GA$2&gt;=$F21,GA$2&lt;=IF(ISNUMBER($G21),$G21,$F21+$E21-$D21)),FALSE()),2,IF(AND(GA$2&gt;=$D21,GA$2&lt;=$E21),1,"")))</f>
        <v/>
      </c>
      <c r="GB21" s="55" t="str">
        <f aca="false">IF(OR(GB$2="",$D21=""),"",IF(IF(ISNUMBER($F21),AND(GB$2&gt;=$F21,GB$2&lt;=IF(ISNUMBER($G21),$G21,$F21+$E21-$D21)),FALSE()),2,IF(AND(GB$2&gt;=$D21,GB$2&lt;=$E21),1,"")))</f>
        <v/>
      </c>
      <c r="GC21" s="55" t="str">
        <f aca="false">IF(OR(GC$2="",$D21=""),"",IF(IF(ISNUMBER($F21),AND(GC$2&gt;=$F21,GC$2&lt;=IF(ISNUMBER($G21),$G21,$F21+$E21-$D21)),FALSE()),2,IF(AND(GC$2&gt;=$D21,GC$2&lt;=$E21),1,"")))</f>
        <v/>
      </c>
      <c r="GD21" s="55" t="str">
        <f aca="false">IF(OR(GD$2="",$D21=""),"",IF(IF(ISNUMBER($F21),AND(GD$2&gt;=$F21,GD$2&lt;=IF(ISNUMBER($G21),$G21,$F21+$E21-$D21)),FALSE()),2,IF(AND(GD$2&gt;=$D21,GD$2&lt;=$E21),1,"")))</f>
        <v/>
      </c>
      <c r="GE21" s="55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false" outlineLevel="0" collapsed="false">
      <c r="A22" s="54" t="s">
        <v>391</v>
      </c>
      <c r="B22" s="21" t="s">
        <v>392</v>
      </c>
      <c r="C22" s="21" t="s">
        <v>83</v>
      </c>
      <c r="D22" s="51" t="n">
        <f aca="false">IF(Day_0="","",Day_0+cfg_6-cfg_8+cfg_13*5)</f>
        <v>46128</v>
      </c>
      <c r="E22" s="51" t="n">
        <f aca="false">IF(Day_0="","",Day_0+cfg_6-cfg_8+cfg_13*6)</f>
        <v>46135</v>
      </c>
      <c r="F22" s="51" t="n">
        <f aca="false">IF(_xlfn.MINIFS(2_Daily_input!$D$1:$FQ$1,2_Daily_input!$D$71:$FQ$71,"3F4D-6 start")+_xlfn.MINIFS(2_Daily_input!$D$1:$FQ$1,2_Daily_input!$D$72:$FQ$72,"3F4D-6 start")=0,"",IF(_xlfn.MINIFS(2_Daily_input!$D$1:$FQ$1,2_Daily_input!$D$71:$FQ$71,"3F4D-6 start")=0,_xlfn.MINIFS(2_Daily_input!$D$1:$FQ$1,2_Daily_input!$D$72:$FQ$72,"3F4D-6 start"),IF(_xlfn.MINIFS(2_Daily_input!$D$1:$FQ$1,2_Daily_input!$D$72:$FQ$72,"3F4D-6 start")=0,_xlfn.MINIFS(2_Daily_input!$D$1:$FQ$1,2_Daily_input!$D$71:$FQ$71,"3F4D-6 start"),MIN(_xlfn.MINIFS(2_Daily_input!$D$1:$FQ$1,2_Daily_input!$D$71:$FQ$71,"3F4D-6 start"),_xlfn.MINIFS(2_Daily_input!$D$1:$FQ$1,2_Daily_input!$D$72:$FQ$72,"3F4D-6 start")))))</f>
        <v>46129</v>
      </c>
      <c r="G22" s="51" t="str">
        <f aca="false">""</f>
        <v/>
      </c>
      <c r="H22" s="50" t="str">
        <f aca="true">IF(D22="","no plan",IF(F22&lt;&gt;"",IF(F22-D22&gt;=2,"LATE","OK"),IF(TODAY()&gt;D22+2,"OVERDUE","upcoming")))</f>
        <v>OK</v>
      </c>
      <c r="I22" s="50" t="n">
        <f aca="false">IF(AND(D22&lt;&gt;"",F22&lt;&gt;""),F22-D22,"")</f>
        <v>1</v>
      </c>
      <c r="J22" s="51" t="n">
        <f aca="false">IF(F22&lt;&gt;"",F22,D22)</f>
        <v>46129</v>
      </c>
      <c r="K22" s="51" t="n">
        <f aca="false">IF(G22&lt;&gt;"",G22,IF(AND(F22&lt;&gt;"",E22=D22),F22,E22))</f>
        <v>46135</v>
      </c>
      <c r="L22" s="50" t="str">
        <f aca="true">IF(AND(D22&lt;&gt;"",F22="",D22&gt;=TODAY()),D22+ROW()/1000,"")</f>
        <v/>
      </c>
      <c r="M22" s="55" t="str">
        <f aca="false">IF(OR(M$2="",$D22=""),"",IF(IF(ISNUMBER($F22),AND(M$2&gt;=$F22,M$2&lt;=IF(ISNUMBER($G22),$G22,$F22+$E22-$D22)),FALSE()),2,IF(AND(M$2&gt;=$D22,M$2&lt;=$E22),1,"")))</f>
        <v/>
      </c>
      <c r="N22" s="55" t="str">
        <f aca="false">IF(OR(N$2="",$D22=""),"",IF(IF(ISNUMBER($F22),AND(N$2&gt;=$F22,N$2&lt;=IF(ISNUMBER($G22),$G22,$F22+$E22-$D22)),FALSE()),2,IF(AND(N$2&gt;=$D22,N$2&lt;=$E22),1,"")))</f>
        <v/>
      </c>
      <c r="O22" s="55" t="str">
        <f aca="false">IF(OR(O$2="",$D22=""),"",IF(IF(ISNUMBER($F22),AND(O$2&gt;=$F22,O$2&lt;=IF(ISNUMBER($G22),$G22,$F22+$E22-$D22)),FALSE()),2,IF(AND(O$2&gt;=$D22,O$2&lt;=$E22),1,"")))</f>
        <v/>
      </c>
      <c r="P22" s="55" t="str">
        <f aca="false">IF(OR(P$2="",$D22=""),"",IF(IF(ISNUMBER($F22),AND(P$2&gt;=$F22,P$2&lt;=IF(ISNUMBER($G22),$G22,$F22+$E22-$D22)),FALSE()),2,IF(AND(P$2&gt;=$D22,P$2&lt;=$E22),1,"")))</f>
        <v/>
      </c>
      <c r="Q22" s="55" t="str">
        <f aca="false">IF(OR(Q$2="",$D22=""),"",IF(IF(ISNUMBER($F22),AND(Q$2&gt;=$F22,Q$2&lt;=IF(ISNUMBER($G22),$G22,$F22+$E22-$D22)),FALSE()),2,IF(AND(Q$2&gt;=$D22,Q$2&lt;=$E22),1,"")))</f>
        <v/>
      </c>
      <c r="R22" s="55" t="str">
        <f aca="false">IF(OR(R$2="",$D22=""),"",IF(IF(ISNUMBER($F22),AND(R$2&gt;=$F22,R$2&lt;=IF(ISNUMBER($G22),$G22,$F22+$E22-$D22)),FALSE()),2,IF(AND(R$2&gt;=$D22,R$2&lt;=$E22),1,"")))</f>
        <v/>
      </c>
      <c r="S22" s="55" t="str">
        <f aca="false">IF(OR(S$2="",$D22=""),"",IF(IF(ISNUMBER($F22),AND(S$2&gt;=$F22,S$2&lt;=IF(ISNUMBER($G22),$G22,$F22+$E22-$D22)),FALSE()),2,IF(AND(S$2&gt;=$D22,S$2&lt;=$E22),1,"")))</f>
        <v/>
      </c>
      <c r="T22" s="55" t="str">
        <f aca="false">IF(OR(T$2="",$D22=""),"",IF(IF(ISNUMBER($F22),AND(T$2&gt;=$F22,T$2&lt;=IF(ISNUMBER($G22),$G22,$F22+$E22-$D22)),FALSE()),2,IF(AND(T$2&gt;=$D22,T$2&lt;=$E22),1,"")))</f>
        <v/>
      </c>
      <c r="U22" s="55" t="str">
        <f aca="false">IF(OR(U$2="",$D22=""),"",IF(IF(ISNUMBER($F22),AND(U$2&gt;=$F22,U$2&lt;=IF(ISNUMBER($G22),$G22,$F22+$E22-$D22)),FALSE()),2,IF(AND(U$2&gt;=$D22,U$2&lt;=$E22),1,"")))</f>
        <v/>
      </c>
      <c r="V22" s="55" t="str">
        <f aca="false">IF(OR(V$2="",$D22=""),"",IF(IF(ISNUMBER($F22),AND(V$2&gt;=$F22,V$2&lt;=IF(ISNUMBER($G22),$G22,$F22+$E22-$D22)),FALSE()),2,IF(AND(V$2&gt;=$D22,V$2&lt;=$E22),1,"")))</f>
        <v/>
      </c>
      <c r="W22" s="55" t="str">
        <f aca="false">IF(OR(W$2="",$D22=""),"",IF(IF(ISNUMBER($F22),AND(W$2&gt;=$F22,W$2&lt;=IF(ISNUMBER($G22),$G22,$F22+$E22-$D22)),FALSE()),2,IF(AND(W$2&gt;=$D22,W$2&lt;=$E22),1,"")))</f>
        <v/>
      </c>
      <c r="X22" s="55" t="str">
        <f aca="false">IF(OR(X$2="",$D22=""),"",IF(IF(ISNUMBER($F22),AND(X$2&gt;=$F22,X$2&lt;=IF(ISNUMBER($G22),$G22,$F22+$E22-$D22)),FALSE()),2,IF(AND(X$2&gt;=$D22,X$2&lt;=$E22),1,"")))</f>
        <v/>
      </c>
      <c r="Y22" s="55" t="str">
        <f aca="false">IF(OR(Y$2="",$D22=""),"",IF(IF(ISNUMBER($F22),AND(Y$2&gt;=$F22,Y$2&lt;=IF(ISNUMBER($G22),$G22,$F22+$E22-$D22)),FALSE()),2,IF(AND(Y$2&gt;=$D22,Y$2&lt;=$E22),1,"")))</f>
        <v/>
      </c>
      <c r="Z22" s="55" t="str">
        <f aca="false">IF(OR(Z$2="",$D22=""),"",IF(IF(ISNUMBER($F22),AND(Z$2&gt;=$F22,Z$2&lt;=IF(ISNUMBER($G22),$G22,$F22+$E22-$D22)),FALSE()),2,IF(AND(Z$2&gt;=$D22,Z$2&lt;=$E22),1,"")))</f>
        <v/>
      </c>
      <c r="AA22" s="55" t="str">
        <f aca="false">IF(OR(AA$2="",$D22=""),"",IF(IF(ISNUMBER($F22),AND(AA$2&gt;=$F22,AA$2&lt;=IF(ISNUMBER($G22),$G22,$F22+$E22-$D22)),FALSE()),2,IF(AND(AA$2&gt;=$D22,AA$2&lt;=$E22),1,"")))</f>
        <v/>
      </c>
      <c r="AB22" s="55" t="str">
        <f aca="false">IF(OR(AB$2="",$D22=""),"",IF(IF(ISNUMBER($F22),AND(AB$2&gt;=$F22,AB$2&lt;=IF(ISNUMBER($G22),$G22,$F22+$E22-$D22)),FALSE()),2,IF(AND(AB$2&gt;=$D22,AB$2&lt;=$E22),1,"")))</f>
        <v/>
      </c>
      <c r="AC22" s="55" t="str">
        <f aca="false">IF(OR(AC$2="",$D22=""),"",IF(IF(ISNUMBER($F22),AND(AC$2&gt;=$F22,AC$2&lt;=IF(ISNUMBER($G22),$G22,$F22+$E22-$D22)),FALSE()),2,IF(AND(AC$2&gt;=$D22,AC$2&lt;=$E22),1,"")))</f>
        <v/>
      </c>
      <c r="AD22" s="55" t="str">
        <f aca="false">IF(OR(AD$2="",$D22=""),"",IF(IF(ISNUMBER($F22),AND(AD$2&gt;=$F22,AD$2&lt;=IF(ISNUMBER($G22),$G22,$F22+$E22-$D22)),FALSE()),2,IF(AND(AD$2&gt;=$D22,AD$2&lt;=$E22),1,"")))</f>
        <v/>
      </c>
      <c r="AE22" s="55" t="str">
        <f aca="false">IF(OR(AE$2="",$D22=""),"",IF(IF(ISNUMBER($F22),AND(AE$2&gt;=$F22,AE$2&lt;=IF(ISNUMBER($G22),$G22,$F22+$E22-$D22)),FALSE()),2,IF(AND(AE$2&gt;=$D22,AE$2&lt;=$E22),1,"")))</f>
        <v/>
      </c>
      <c r="AF22" s="55" t="str">
        <f aca="false">IF(OR(AF$2="",$D22=""),"",IF(IF(ISNUMBER($F22),AND(AF$2&gt;=$F22,AF$2&lt;=IF(ISNUMBER($G22),$G22,$F22+$E22-$D22)),FALSE()),2,IF(AND(AF$2&gt;=$D22,AF$2&lt;=$E22),1,"")))</f>
        <v/>
      </c>
      <c r="AG22" s="55" t="str">
        <f aca="false">IF(OR(AG$2="",$D22=""),"",IF(IF(ISNUMBER($F22),AND(AG$2&gt;=$F22,AG$2&lt;=IF(ISNUMBER($G22),$G22,$F22+$E22-$D22)),FALSE()),2,IF(AND(AG$2&gt;=$D22,AG$2&lt;=$E22),1,"")))</f>
        <v/>
      </c>
      <c r="AH22" s="55" t="str">
        <f aca="false">IF(OR(AH$2="",$D22=""),"",IF(IF(ISNUMBER($F22),AND(AH$2&gt;=$F22,AH$2&lt;=IF(ISNUMBER($G22),$G22,$F22+$E22-$D22)),FALSE()),2,IF(AND(AH$2&gt;=$D22,AH$2&lt;=$E22),1,"")))</f>
        <v/>
      </c>
      <c r="AI22" s="55" t="str">
        <f aca="false">IF(OR(AI$2="",$D22=""),"",IF(IF(ISNUMBER($F22),AND(AI$2&gt;=$F22,AI$2&lt;=IF(ISNUMBER($G22),$G22,$F22+$E22-$D22)),FALSE()),2,IF(AND(AI$2&gt;=$D22,AI$2&lt;=$E22),1,"")))</f>
        <v/>
      </c>
      <c r="AJ22" s="55" t="str">
        <f aca="false">IF(OR(AJ$2="",$D22=""),"",IF(IF(ISNUMBER($F22),AND(AJ$2&gt;=$F22,AJ$2&lt;=IF(ISNUMBER($G22),$G22,$F22+$E22-$D22)),FALSE()),2,IF(AND(AJ$2&gt;=$D22,AJ$2&lt;=$E22),1,"")))</f>
        <v/>
      </c>
      <c r="AK22" s="55" t="str">
        <f aca="false">IF(OR(AK$2="",$D22=""),"",IF(IF(ISNUMBER($F22),AND(AK$2&gt;=$F22,AK$2&lt;=IF(ISNUMBER($G22),$G22,$F22+$E22-$D22)),FALSE()),2,IF(AND(AK$2&gt;=$D22,AK$2&lt;=$E22),1,"")))</f>
        <v/>
      </c>
      <c r="AL22" s="55" t="str">
        <f aca="false">IF(OR(AL$2="",$D22=""),"",IF(IF(ISNUMBER($F22),AND(AL$2&gt;=$F22,AL$2&lt;=IF(ISNUMBER($G22),$G22,$F22+$E22-$D22)),FALSE()),2,IF(AND(AL$2&gt;=$D22,AL$2&lt;=$E22),1,"")))</f>
        <v/>
      </c>
      <c r="AM22" s="55" t="str">
        <f aca="false">IF(OR(AM$2="",$D22=""),"",IF(IF(ISNUMBER($F22),AND(AM$2&gt;=$F22,AM$2&lt;=IF(ISNUMBER($G22),$G22,$F22+$E22-$D22)),FALSE()),2,IF(AND(AM$2&gt;=$D22,AM$2&lt;=$E22),1,"")))</f>
        <v/>
      </c>
      <c r="AN22" s="55" t="str">
        <f aca="false">IF(OR(AN$2="",$D22=""),"",IF(IF(ISNUMBER($F22),AND(AN$2&gt;=$F22,AN$2&lt;=IF(ISNUMBER($G22),$G22,$F22+$E22-$D22)),FALSE()),2,IF(AND(AN$2&gt;=$D22,AN$2&lt;=$E22),1,"")))</f>
        <v/>
      </c>
      <c r="AO22" s="55" t="str">
        <f aca="false">IF(OR(AO$2="",$D22=""),"",IF(IF(ISNUMBER($F22),AND(AO$2&gt;=$F22,AO$2&lt;=IF(ISNUMBER($G22),$G22,$F22+$E22-$D22)),FALSE()),2,IF(AND(AO$2&gt;=$D22,AO$2&lt;=$E22),1,"")))</f>
        <v/>
      </c>
      <c r="AP22" s="55" t="str">
        <f aca="false">IF(OR(AP$2="",$D22=""),"",IF(IF(ISNUMBER($F22),AND(AP$2&gt;=$F22,AP$2&lt;=IF(ISNUMBER($G22),$G22,$F22+$E22-$D22)),FALSE()),2,IF(AND(AP$2&gt;=$D22,AP$2&lt;=$E22),1,"")))</f>
        <v/>
      </c>
      <c r="AQ22" s="55" t="str">
        <f aca="false">IF(OR(AQ$2="",$D22=""),"",IF(IF(ISNUMBER($F22),AND(AQ$2&gt;=$F22,AQ$2&lt;=IF(ISNUMBER($G22),$G22,$F22+$E22-$D22)),FALSE()),2,IF(AND(AQ$2&gt;=$D22,AQ$2&lt;=$E22),1,"")))</f>
        <v/>
      </c>
      <c r="AR22" s="55" t="str">
        <f aca="false">IF(OR(AR$2="",$D22=""),"",IF(IF(ISNUMBER($F22),AND(AR$2&gt;=$F22,AR$2&lt;=IF(ISNUMBER($G22),$G22,$F22+$E22-$D22)),FALSE()),2,IF(AND(AR$2&gt;=$D22,AR$2&lt;=$E22),1,"")))</f>
        <v/>
      </c>
      <c r="AS22" s="55" t="str">
        <f aca="false">IF(OR(AS$2="",$D22=""),"",IF(IF(ISNUMBER($F22),AND(AS$2&gt;=$F22,AS$2&lt;=IF(ISNUMBER($G22),$G22,$F22+$E22-$D22)),FALSE()),2,IF(AND(AS$2&gt;=$D22,AS$2&lt;=$E22),1,"")))</f>
        <v/>
      </c>
      <c r="AT22" s="55" t="str">
        <f aca="false">IF(OR(AT$2="",$D22=""),"",IF(IF(ISNUMBER($F22),AND(AT$2&gt;=$F22,AT$2&lt;=IF(ISNUMBER($G22),$G22,$F22+$E22-$D22)),FALSE()),2,IF(AND(AT$2&gt;=$D22,AT$2&lt;=$E22),1,"")))</f>
        <v/>
      </c>
      <c r="AU22" s="55" t="str">
        <f aca="false">IF(OR(AU$2="",$D22=""),"",IF(IF(ISNUMBER($F22),AND(AU$2&gt;=$F22,AU$2&lt;=IF(ISNUMBER($G22),$G22,$F22+$E22-$D22)),FALSE()),2,IF(AND(AU$2&gt;=$D22,AU$2&lt;=$E22),1,"")))</f>
        <v/>
      </c>
      <c r="AV22" s="55" t="str">
        <f aca="false">IF(OR(AV$2="",$D22=""),"",IF(IF(ISNUMBER($F22),AND(AV$2&gt;=$F22,AV$2&lt;=IF(ISNUMBER($G22),$G22,$F22+$E22-$D22)),FALSE()),2,IF(AND(AV$2&gt;=$D22,AV$2&lt;=$E22),1,"")))</f>
        <v/>
      </c>
      <c r="AW22" s="55" t="str">
        <f aca="false">IF(OR(AW$2="",$D22=""),"",IF(IF(ISNUMBER($F22),AND(AW$2&gt;=$F22,AW$2&lt;=IF(ISNUMBER($G22),$G22,$F22+$E22-$D22)),FALSE()),2,IF(AND(AW$2&gt;=$D22,AW$2&lt;=$E22),1,"")))</f>
        <v/>
      </c>
      <c r="AX22" s="55" t="str">
        <f aca="false">IF(OR(AX$2="",$D22=""),"",IF(IF(ISNUMBER($F22),AND(AX$2&gt;=$F22,AX$2&lt;=IF(ISNUMBER($G22),$G22,$F22+$E22-$D22)),FALSE()),2,IF(AND(AX$2&gt;=$D22,AX$2&lt;=$E22),1,"")))</f>
        <v/>
      </c>
      <c r="AY22" s="55" t="str">
        <f aca="false">IF(OR(AY$2="",$D22=""),"",IF(IF(ISNUMBER($F22),AND(AY$2&gt;=$F22,AY$2&lt;=IF(ISNUMBER($G22),$G22,$F22+$E22-$D22)),FALSE()),2,IF(AND(AY$2&gt;=$D22,AY$2&lt;=$E22),1,"")))</f>
        <v/>
      </c>
      <c r="AZ22" s="55" t="str">
        <f aca="false">IF(OR(AZ$2="",$D22=""),"",IF(IF(ISNUMBER($F22),AND(AZ$2&gt;=$F22,AZ$2&lt;=IF(ISNUMBER($G22),$G22,$F22+$E22-$D22)),FALSE()),2,IF(AND(AZ$2&gt;=$D22,AZ$2&lt;=$E22),1,"")))</f>
        <v/>
      </c>
      <c r="BA22" s="55" t="str">
        <f aca="false">IF(OR(BA$2="",$D22=""),"",IF(IF(ISNUMBER($F22),AND(BA$2&gt;=$F22,BA$2&lt;=IF(ISNUMBER($G22),$G22,$F22+$E22-$D22)),FALSE()),2,IF(AND(BA$2&gt;=$D22,BA$2&lt;=$E22),1,"")))</f>
        <v/>
      </c>
      <c r="BB22" s="55" t="str">
        <f aca="false">IF(OR(BB$2="",$D22=""),"",IF(IF(ISNUMBER($F22),AND(BB$2&gt;=$F22,BB$2&lt;=IF(ISNUMBER($G22),$G22,$F22+$E22-$D22)),FALSE()),2,IF(AND(BB$2&gt;=$D22,BB$2&lt;=$E22),1,"")))</f>
        <v/>
      </c>
      <c r="BC22" s="55" t="str">
        <f aca="false">IF(OR(BC$2="",$D22=""),"",IF(IF(ISNUMBER($F22),AND(BC$2&gt;=$F22,BC$2&lt;=IF(ISNUMBER($G22),$G22,$F22+$E22-$D22)),FALSE()),2,IF(AND(BC$2&gt;=$D22,BC$2&lt;=$E22),1,"")))</f>
        <v/>
      </c>
      <c r="BD22" s="55" t="str">
        <f aca="false">IF(OR(BD$2="",$D22=""),"",IF(IF(ISNUMBER($F22),AND(BD$2&gt;=$F22,BD$2&lt;=IF(ISNUMBER($G22),$G22,$F22+$E22-$D22)),FALSE()),2,IF(AND(BD$2&gt;=$D22,BD$2&lt;=$E22),1,"")))</f>
        <v/>
      </c>
      <c r="BE22" s="55" t="str">
        <f aca="false">IF(OR(BE$2="",$D22=""),"",IF(IF(ISNUMBER($F22),AND(BE$2&gt;=$F22,BE$2&lt;=IF(ISNUMBER($G22),$G22,$F22+$E22-$D22)),FALSE()),2,IF(AND(BE$2&gt;=$D22,BE$2&lt;=$E22),1,"")))</f>
        <v/>
      </c>
      <c r="BF22" s="55" t="str">
        <f aca="false">IF(OR(BF$2="",$D22=""),"",IF(IF(ISNUMBER($F22),AND(BF$2&gt;=$F22,BF$2&lt;=IF(ISNUMBER($G22),$G22,$F22+$E22-$D22)),FALSE()),2,IF(AND(BF$2&gt;=$D22,BF$2&lt;=$E22),1,"")))</f>
        <v/>
      </c>
      <c r="BG22" s="55" t="str">
        <f aca="false">IF(OR(BG$2="",$D22=""),"",IF(IF(ISNUMBER($F22),AND(BG$2&gt;=$F22,BG$2&lt;=IF(ISNUMBER($G22),$G22,$F22+$E22-$D22)),FALSE()),2,IF(AND(BG$2&gt;=$D22,BG$2&lt;=$E22),1,"")))</f>
        <v/>
      </c>
      <c r="BH22" s="55" t="str">
        <f aca="false">IF(OR(BH$2="",$D22=""),"",IF(IF(ISNUMBER($F22),AND(BH$2&gt;=$F22,BH$2&lt;=IF(ISNUMBER($G22),$G22,$F22+$E22-$D22)),FALSE()),2,IF(AND(BH$2&gt;=$D22,BH$2&lt;=$E22),1,"")))</f>
        <v/>
      </c>
      <c r="BI22" s="55" t="str">
        <f aca="false">IF(OR(BI$2="",$D22=""),"",IF(IF(ISNUMBER($F22),AND(BI$2&gt;=$F22,BI$2&lt;=IF(ISNUMBER($G22),$G22,$F22+$E22-$D22)),FALSE()),2,IF(AND(BI$2&gt;=$D22,BI$2&lt;=$E22),1,"")))</f>
        <v/>
      </c>
      <c r="BJ22" s="55" t="str">
        <f aca="false">IF(OR(BJ$2="",$D22=""),"",IF(IF(ISNUMBER($F22),AND(BJ$2&gt;=$F22,BJ$2&lt;=IF(ISNUMBER($G22),$G22,$F22+$E22-$D22)),FALSE()),2,IF(AND(BJ$2&gt;=$D22,BJ$2&lt;=$E22),1,"")))</f>
        <v/>
      </c>
      <c r="BK22" s="55" t="str">
        <f aca="false">IF(OR(BK$2="",$D22=""),"",IF(IF(ISNUMBER($F22),AND(BK$2&gt;=$F22,BK$2&lt;=IF(ISNUMBER($G22),$G22,$F22+$E22-$D22)),FALSE()),2,IF(AND(BK$2&gt;=$D22,BK$2&lt;=$E22),1,"")))</f>
        <v/>
      </c>
      <c r="BL22" s="55" t="str">
        <f aca="false">IF(OR(BL$2="",$D22=""),"",IF(IF(ISNUMBER($F22),AND(BL$2&gt;=$F22,BL$2&lt;=IF(ISNUMBER($G22),$G22,$F22+$E22-$D22)),FALSE()),2,IF(AND(BL$2&gt;=$D22,BL$2&lt;=$E22),1,"")))</f>
        <v/>
      </c>
      <c r="BM22" s="55" t="str">
        <f aca="false">IF(OR(BM$2="",$D22=""),"",IF(IF(ISNUMBER($F22),AND(BM$2&gt;=$F22,BM$2&lt;=IF(ISNUMBER($G22),$G22,$F22+$E22-$D22)),FALSE()),2,IF(AND(BM$2&gt;=$D22,BM$2&lt;=$E22),1,"")))</f>
        <v/>
      </c>
      <c r="BN22" s="55" t="str">
        <f aca="false">IF(OR(BN$2="",$D22=""),"",IF(IF(ISNUMBER($F22),AND(BN$2&gt;=$F22,BN$2&lt;=IF(ISNUMBER($G22),$G22,$F22+$E22-$D22)),FALSE()),2,IF(AND(BN$2&gt;=$D22,BN$2&lt;=$E22),1,"")))</f>
        <v/>
      </c>
      <c r="BO22" s="55" t="str">
        <f aca="false">IF(OR(BO$2="",$D22=""),"",IF(IF(ISNUMBER($F22),AND(BO$2&gt;=$F22,BO$2&lt;=IF(ISNUMBER($G22),$G22,$F22+$E22-$D22)),FALSE()),2,IF(AND(BO$2&gt;=$D22,BO$2&lt;=$E22),1,"")))</f>
        <v/>
      </c>
      <c r="BP22" s="55" t="str">
        <f aca="false">IF(OR(BP$2="",$D22=""),"",IF(IF(ISNUMBER($F22),AND(BP$2&gt;=$F22,BP$2&lt;=IF(ISNUMBER($G22),$G22,$F22+$E22-$D22)),FALSE()),2,IF(AND(BP$2&gt;=$D22,BP$2&lt;=$E22),1,"")))</f>
        <v/>
      </c>
      <c r="BQ22" s="55" t="str">
        <f aca="false">IF(OR(BQ$2="",$D22=""),"",IF(IF(ISNUMBER($F22),AND(BQ$2&gt;=$F22,BQ$2&lt;=IF(ISNUMBER($G22),$G22,$F22+$E22-$D22)),FALSE()),2,IF(AND(BQ$2&gt;=$D22,BQ$2&lt;=$E22),1,"")))</f>
        <v/>
      </c>
      <c r="BR22" s="55" t="str">
        <f aca="false">IF(OR(BR$2="",$D22=""),"",IF(IF(ISNUMBER($F22),AND(BR$2&gt;=$F22,BR$2&lt;=IF(ISNUMBER($G22),$G22,$F22+$E22-$D22)),FALSE()),2,IF(AND(BR$2&gt;=$D22,BR$2&lt;=$E22),1,"")))</f>
        <v/>
      </c>
      <c r="BS22" s="55" t="str">
        <f aca="false">IF(OR(BS$2="",$D22=""),"",IF(IF(ISNUMBER($F22),AND(BS$2&gt;=$F22,BS$2&lt;=IF(ISNUMBER($G22),$G22,$F22+$E22-$D22)),FALSE()),2,IF(AND(BS$2&gt;=$D22,BS$2&lt;=$E22),1,"")))</f>
        <v/>
      </c>
      <c r="BT22" s="55" t="str">
        <f aca="false">IF(OR(BT$2="",$D22=""),"",IF(IF(ISNUMBER($F22),AND(BT$2&gt;=$F22,BT$2&lt;=IF(ISNUMBER($G22),$G22,$F22+$E22-$D22)),FALSE()),2,IF(AND(BT$2&gt;=$D22,BT$2&lt;=$E22),1,"")))</f>
        <v/>
      </c>
      <c r="BU22" s="55" t="str">
        <f aca="false">IF(OR(BU$2="",$D22=""),"",IF(IF(ISNUMBER($F22),AND(BU$2&gt;=$F22,BU$2&lt;=IF(ISNUMBER($G22),$G22,$F22+$E22-$D22)),FALSE()),2,IF(AND(BU$2&gt;=$D22,BU$2&lt;=$E22),1,"")))</f>
        <v/>
      </c>
      <c r="BV22" s="55" t="str">
        <f aca="false">IF(OR(BV$2="",$D22=""),"",IF(IF(ISNUMBER($F22),AND(BV$2&gt;=$F22,BV$2&lt;=IF(ISNUMBER($G22),$G22,$F22+$E22-$D22)),FALSE()),2,IF(AND(BV$2&gt;=$D22,BV$2&lt;=$E22),1,"")))</f>
        <v/>
      </c>
      <c r="BW22" s="55" t="str">
        <f aca="false">IF(OR(BW$2="",$D22=""),"",IF(IF(ISNUMBER($F22),AND(BW$2&gt;=$F22,BW$2&lt;=IF(ISNUMBER($G22),$G22,$F22+$E22-$D22)),FALSE()),2,IF(AND(BW$2&gt;=$D22,BW$2&lt;=$E22),1,"")))</f>
        <v/>
      </c>
      <c r="BX22" s="55" t="str">
        <f aca="false">IF(OR(BX$2="",$D22=""),"",IF(IF(ISNUMBER($F22),AND(BX$2&gt;=$F22,BX$2&lt;=IF(ISNUMBER($G22),$G22,$F22+$E22-$D22)),FALSE()),2,IF(AND(BX$2&gt;=$D22,BX$2&lt;=$E22),1,"")))</f>
        <v/>
      </c>
      <c r="BY22" s="55" t="str">
        <f aca="false">IF(OR(BY$2="",$D22=""),"",IF(IF(ISNUMBER($F22),AND(BY$2&gt;=$F22,BY$2&lt;=IF(ISNUMBER($G22),$G22,$F22+$E22-$D22)),FALSE()),2,IF(AND(BY$2&gt;=$D22,BY$2&lt;=$E22),1,"")))</f>
        <v/>
      </c>
      <c r="BZ22" s="55" t="str">
        <f aca="false">IF(OR(BZ$2="",$D22=""),"",IF(IF(ISNUMBER($F22),AND(BZ$2&gt;=$F22,BZ$2&lt;=IF(ISNUMBER($G22),$G22,$F22+$E22-$D22)),FALSE()),2,IF(AND(BZ$2&gt;=$D22,BZ$2&lt;=$E22),1,"")))</f>
        <v/>
      </c>
      <c r="CA22" s="55" t="str">
        <f aca="false">IF(OR(CA$2="",$D22=""),"",IF(IF(ISNUMBER($F22),AND(CA$2&gt;=$F22,CA$2&lt;=IF(ISNUMBER($G22),$G22,$F22+$E22-$D22)),FALSE()),2,IF(AND(CA$2&gt;=$D22,CA$2&lt;=$E22),1,"")))</f>
        <v/>
      </c>
      <c r="CB22" s="55" t="str">
        <f aca="false">IF(OR(CB$2="",$D22=""),"",IF(IF(ISNUMBER($F22),AND(CB$2&gt;=$F22,CB$2&lt;=IF(ISNUMBER($G22),$G22,$F22+$E22-$D22)),FALSE()),2,IF(AND(CB$2&gt;=$D22,CB$2&lt;=$E22),1,"")))</f>
        <v/>
      </c>
      <c r="CC22" s="55" t="str">
        <f aca="false">IF(OR(CC$2="",$D22=""),"",IF(IF(ISNUMBER($F22),AND(CC$2&gt;=$F22,CC$2&lt;=IF(ISNUMBER($G22),$G22,$F22+$E22-$D22)),FALSE()),2,IF(AND(CC$2&gt;=$D22,CC$2&lt;=$E22),1,"")))</f>
        <v/>
      </c>
      <c r="CD22" s="55" t="str">
        <f aca="false">IF(OR(CD$2="",$D22=""),"",IF(IF(ISNUMBER($F22),AND(CD$2&gt;=$F22,CD$2&lt;=IF(ISNUMBER($G22),$G22,$F22+$E22-$D22)),FALSE()),2,IF(AND(CD$2&gt;=$D22,CD$2&lt;=$E22),1,"")))</f>
        <v/>
      </c>
      <c r="CE22" s="55" t="str">
        <f aca="false">IF(OR(CE$2="",$D22=""),"",IF(IF(ISNUMBER($F22),AND(CE$2&gt;=$F22,CE$2&lt;=IF(ISNUMBER($G22),$G22,$F22+$E22-$D22)),FALSE()),2,IF(AND(CE$2&gt;=$D22,CE$2&lt;=$E22),1,"")))</f>
        <v/>
      </c>
      <c r="CF22" s="55" t="str">
        <f aca="false">IF(OR(CF$2="",$D22=""),"",IF(IF(ISNUMBER($F22),AND(CF$2&gt;=$F22,CF$2&lt;=IF(ISNUMBER($G22),$G22,$F22+$E22-$D22)),FALSE()),2,IF(AND(CF$2&gt;=$D22,CF$2&lt;=$E22),1,"")))</f>
        <v/>
      </c>
      <c r="CG22" s="55" t="str">
        <f aca="false">IF(OR(CG$2="",$D22=""),"",IF(IF(ISNUMBER($F22),AND(CG$2&gt;=$F22,CG$2&lt;=IF(ISNUMBER($G22),$G22,$F22+$E22-$D22)),FALSE()),2,IF(AND(CG$2&gt;=$D22,CG$2&lt;=$E22),1,"")))</f>
        <v/>
      </c>
      <c r="CH22" s="55" t="str">
        <f aca="false">IF(OR(CH$2="",$D22=""),"",IF(IF(ISNUMBER($F22),AND(CH$2&gt;=$F22,CH$2&lt;=IF(ISNUMBER($G22),$G22,$F22+$E22-$D22)),FALSE()),2,IF(AND(CH$2&gt;=$D22,CH$2&lt;=$E22),1,"")))</f>
        <v/>
      </c>
      <c r="CI22" s="55" t="str">
        <f aca="false">IF(OR(CI$2="",$D22=""),"",IF(IF(ISNUMBER($F22),AND(CI$2&gt;=$F22,CI$2&lt;=IF(ISNUMBER($G22),$G22,$F22+$E22-$D22)),FALSE()),2,IF(AND(CI$2&gt;=$D22,CI$2&lt;=$E22),1,"")))</f>
        <v/>
      </c>
      <c r="CJ22" s="55" t="str">
        <f aca="false">IF(OR(CJ$2="",$D22=""),"",IF(IF(ISNUMBER($F22),AND(CJ$2&gt;=$F22,CJ$2&lt;=IF(ISNUMBER($G22),$G22,$F22+$E22-$D22)),FALSE()),2,IF(AND(CJ$2&gt;=$D22,CJ$2&lt;=$E22),1,"")))</f>
        <v/>
      </c>
      <c r="CK22" s="55" t="str">
        <f aca="false">IF(OR(CK$2="",$D22=""),"",IF(IF(ISNUMBER($F22),AND(CK$2&gt;=$F22,CK$2&lt;=IF(ISNUMBER($G22),$G22,$F22+$E22-$D22)),FALSE()),2,IF(AND(CK$2&gt;=$D22,CK$2&lt;=$E22),1,"")))</f>
        <v/>
      </c>
      <c r="CL22" s="55" t="str">
        <f aca="false">IF(OR(CL$2="",$D22=""),"",IF(IF(ISNUMBER($F22),AND(CL$2&gt;=$F22,CL$2&lt;=IF(ISNUMBER($G22),$G22,$F22+$E22-$D22)),FALSE()),2,IF(AND(CL$2&gt;=$D22,CL$2&lt;=$E22),1,"")))</f>
        <v/>
      </c>
      <c r="CM22" s="55" t="str">
        <f aca="false">IF(OR(CM$2="",$D22=""),"",IF(IF(ISNUMBER($F22),AND(CM$2&gt;=$F22,CM$2&lt;=IF(ISNUMBER($G22),$G22,$F22+$E22-$D22)),FALSE()),2,IF(AND(CM$2&gt;=$D22,CM$2&lt;=$E22),1,"")))</f>
        <v/>
      </c>
      <c r="CN22" s="55" t="str">
        <f aca="false">IF(OR(CN$2="",$D22=""),"",IF(IF(ISNUMBER($F22),AND(CN$2&gt;=$F22,CN$2&lt;=IF(ISNUMBER($G22),$G22,$F22+$E22-$D22)),FALSE()),2,IF(AND(CN$2&gt;=$D22,CN$2&lt;=$E22),1,"")))</f>
        <v/>
      </c>
      <c r="CO22" s="55" t="str">
        <f aca="false">IF(OR(CO$2="",$D22=""),"",IF(IF(ISNUMBER($F22),AND(CO$2&gt;=$F22,CO$2&lt;=IF(ISNUMBER($G22),$G22,$F22+$E22-$D22)),FALSE()),2,IF(AND(CO$2&gt;=$D22,CO$2&lt;=$E22),1,"")))</f>
        <v/>
      </c>
      <c r="CP22" s="55" t="str">
        <f aca="false">IF(OR(CP$2="",$D22=""),"",IF(IF(ISNUMBER($F22),AND(CP$2&gt;=$F22,CP$2&lt;=IF(ISNUMBER($G22),$G22,$F22+$E22-$D22)),FALSE()),2,IF(AND(CP$2&gt;=$D22,CP$2&lt;=$E22),1,"")))</f>
        <v/>
      </c>
      <c r="CQ22" s="55" t="str">
        <f aca="false">IF(OR(CQ$2="",$D22=""),"",IF(IF(ISNUMBER($F22),AND(CQ$2&gt;=$F22,CQ$2&lt;=IF(ISNUMBER($G22),$G22,$F22+$E22-$D22)),FALSE()),2,IF(AND(CQ$2&gt;=$D22,CQ$2&lt;=$E22),1,"")))</f>
        <v/>
      </c>
      <c r="CR22" s="55" t="str">
        <f aca="false">IF(OR(CR$2="",$D22=""),"",IF(IF(ISNUMBER($F22),AND(CR$2&gt;=$F22,CR$2&lt;=IF(ISNUMBER($G22),$G22,$F22+$E22-$D22)),FALSE()),2,IF(AND(CR$2&gt;=$D22,CR$2&lt;=$E22),1,"")))</f>
        <v/>
      </c>
      <c r="CS22" s="55" t="str">
        <f aca="false">IF(OR(CS$2="",$D22=""),"",IF(IF(ISNUMBER($F22),AND(CS$2&gt;=$F22,CS$2&lt;=IF(ISNUMBER($G22),$G22,$F22+$E22-$D22)),FALSE()),2,IF(AND(CS$2&gt;=$D22,CS$2&lt;=$E22),1,"")))</f>
        <v/>
      </c>
      <c r="CT22" s="55" t="str">
        <f aca="false">IF(OR(CT$2="",$D22=""),"",IF(IF(ISNUMBER($F22),AND(CT$2&gt;=$F22,CT$2&lt;=IF(ISNUMBER($G22),$G22,$F22+$E22-$D22)),FALSE()),2,IF(AND(CT$2&gt;=$D22,CT$2&lt;=$E22),1,"")))</f>
        <v/>
      </c>
      <c r="CU22" s="55" t="str">
        <f aca="false">IF(OR(CU$2="",$D22=""),"",IF(IF(ISNUMBER($F22),AND(CU$2&gt;=$F22,CU$2&lt;=IF(ISNUMBER($G22),$G22,$F22+$E22-$D22)),FALSE()),2,IF(AND(CU$2&gt;=$D22,CU$2&lt;=$E22),1,"")))</f>
        <v/>
      </c>
      <c r="CV22" s="55" t="str">
        <f aca="false">IF(OR(CV$2="",$D22=""),"",IF(IF(ISNUMBER($F22),AND(CV$2&gt;=$F22,CV$2&lt;=IF(ISNUMBER($G22),$G22,$F22+$E22-$D22)),FALSE()),2,IF(AND(CV$2&gt;=$D22,CV$2&lt;=$E22),1,"")))</f>
        <v/>
      </c>
      <c r="CW22" s="55" t="str">
        <f aca="false">IF(OR(CW$2="",$D22=""),"",IF(IF(ISNUMBER($F22),AND(CW$2&gt;=$F22,CW$2&lt;=IF(ISNUMBER($G22),$G22,$F22+$E22-$D22)),FALSE()),2,IF(AND(CW$2&gt;=$D22,CW$2&lt;=$E22),1,"")))</f>
        <v/>
      </c>
      <c r="CX22" s="55" t="str">
        <f aca="false">IF(OR(CX$2="",$D22=""),"",IF(IF(ISNUMBER($F22),AND(CX$2&gt;=$F22,CX$2&lt;=IF(ISNUMBER($G22),$G22,$F22+$E22-$D22)),FALSE()),2,IF(AND(CX$2&gt;=$D22,CX$2&lt;=$E22),1,"")))</f>
        <v/>
      </c>
      <c r="CY22" s="55" t="str">
        <f aca="false">IF(OR(CY$2="",$D22=""),"",IF(IF(ISNUMBER($F22),AND(CY$2&gt;=$F22,CY$2&lt;=IF(ISNUMBER($G22),$G22,$F22+$E22-$D22)),FALSE()),2,IF(AND(CY$2&gt;=$D22,CY$2&lt;=$E22),1,"")))</f>
        <v/>
      </c>
      <c r="CZ22" s="55" t="str">
        <f aca="false">IF(OR(CZ$2="",$D22=""),"",IF(IF(ISNUMBER($F22),AND(CZ$2&gt;=$F22,CZ$2&lt;=IF(ISNUMBER($G22),$G22,$F22+$E22-$D22)),FALSE()),2,IF(AND(CZ$2&gt;=$D22,CZ$2&lt;=$E22),1,"")))</f>
        <v/>
      </c>
      <c r="DA22" s="55" t="str">
        <f aca="false">IF(OR(DA$2="",$D22=""),"",IF(IF(ISNUMBER($F22),AND(DA$2&gt;=$F22,DA$2&lt;=IF(ISNUMBER($G22),$G22,$F22+$E22-$D22)),FALSE()),2,IF(AND(DA$2&gt;=$D22,DA$2&lt;=$E22),1,"")))</f>
        <v/>
      </c>
      <c r="DB22" s="55" t="str">
        <f aca="false">IF(OR(DB$2="",$D22=""),"",IF(IF(ISNUMBER($F22),AND(DB$2&gt;=$F22,DB$2&lt;=IF(ISNUMBER($G22),$G22,$F22+$E22-$D22)),FALSE()),2,IF(AND(DB$2&gt;=$D22,DB$2&lt;=$E22),1,"")))</f>
        <v/>
      </c>
      <c r="DC22" s="55" t="str">
        <f aca="false">IF(OR(DC$2="",$D22=""),"",IF(IF(ISNUMBER($F22),AND(DC$2&gt;=$F22,DC$2&lt;=IF(ISNUMBER($G22),$G22,$F22+$E22-$D22)),FALSE()),2,IF(AND(DC$2&gt;=$D22,DC$2&lt;=$E22),1,"")))</f>
        <v/>
      </c>
      <c r="DD22" s="55" t="str">
        <f aca="false">IF(OR(DD$2="",$D22=""),"",IF(IF(ISNUMBER($F22),AND(DD$2&gt;=$F22,DD$2&lt;=IF(ISNUMBER($G22),$G22,$F22+$E22-$D22)),FALSE()),2,IF(AND(DD$2&gt;=$D22,DD$2&lt;=$E22),1,"")))</f>
        <v/>
      </c>
      <c r="DE22" s="55" t="str">
        <f aca="false">IF(OR(DE$2="",$D22=""),"",IF(IF(ISNUMBER($F22),AND(DE$2&gt;=$F22,DE$2&lt;=IF(ISNUMBER($G22),$G22,$F22+$E22-$D22)),FALSE()),2,IF(AND(DE$2&gt;=$D22,DE$2&lt;=$E22),1,"")))</f>
        <v/>
      </c>
      <c r="DF22" s="55" t="str">
        <f aca="false">IF(OR(DF$2="",$D22=""),"",IF(IF(ISNUMBER($F22),AND(DF$2&gt;=$F22,DF$2&lt;=IF(ISNUMBER($G22),$G22,$F22+$E22-$D22)),FALSE()),2,IF(AND(DF$2&gt;=$D22,DF$2&lt;=$E22),1,"")))</f>
        <v/>
      </c>
      <c r="DG22" s="55" t="str">
        <f aca="false">IF(OR(DG$2="",$D22=""),"",IF(IF(ISNUMBER($F22),AND(DG$2&gt;=$F22,DG$2&lt;=IF(ISNUMBER($G22),$G22,$F22+$E22-$D22)),FALSE()),2,IF(AND(DG$2&gt;=$D22,DG$2&lt;=$E22),1,"")))</f>
        <v/>
      </c>
      <c r="DH22" s="55" t="str">
        <f aca="false">IF(OR(DH$2="",$D22=""),"",IF(IF(ISNUMBER($F22),AND(DH$2&gt;=$F22,DH$2&lt;=IF(ISNUMBER($G22),$G22,$F22+$E22-$D22)),FALSE()),2,IF(AND(DH$2&gt;=$D22,DH$2&lt;=$E22),1,"")))</f>
        <v/>
      </c>
      <c r="DI22" s="55" t="str">
        <f aca="false">IF(OR(DI$2="",$D22=""),"",IF(IF(ISNUMBER($F22),AND(DI$2&gt;=$F22,DI$2&lt;=IF(ISNUMBER($G22),$G22,$F22+$E22-$D22)),FALSE()),2,IF(AND(DI$2&gt;=$D22,DI$2&lt;=$E22),1,"")))</f>
        <v/>
      </c>
      <c r="DJ22" s="55" t="str">
        <f aca="false">IF(OR(DJ$2="",$D22=""),"",IF(IF(ISNUMBER($F22),AND(DJ$2&gt;=$F22,DJ$2&lt;=IF(ISNUMBER($G22),$G22,$F22+$E22-$D22)),FALSE()),2,IF(AND(DJ$2&gt;=$D22,DJ$2&lt;=$E22),1,"")))</f>
        <v/>
      </c>
      <c r="DK22" s="55" t="str">
        <f aca="false">IF(OR(DK$2="",$D22=""),"",IF(IF(ISNUMBER($F22),AND(DK$2&gt;=$F22,DK$2&lt;=IF(ISNUMBER($G22),$G22,$F22+$E22-$D22)),FALSE()),2,IF(AND(DK$2&gt;=$D22,DK$2&lt;=$E22),1,"")))</f>
        <v/>
      </c>
      <c r="DL22" s="55" t="str">
        <f aca="false">IF(OR(DL$2="",$D22=""),"",IF(IF(ISNUMBER($F22),AND(DL$2&gt;=$F22,DL$2&lt;=IF(ISNUMBER($G22),$G22,$F22+$E22-$D22)),FALSE()),2,IF(AND(DL$2&gt;=$D22,DL$2&lt;=$E22),1,"")))</f>
        <v/>
      </c>
      <c r="DM22" s="55" t="str">
        <f aca="false">IF(OR(DM$2="",$D22=""),"",IF(IF(ISNUMBER($F22),AND(DM$2&gt;=$F22,DM$2&lt;=IF(ISNUMBER($G22),$G22,$F22+$E22-$D22)),FALSE()),2,IF(AND(DM$2&gt;=$D22,DM$2&lt;=$E22),1,"")))</f>
        <v/>
      </c>
      <c r="DN22" s="55" t="str">
        <f aca="false">IF(OR(DN$2="",$D22=""),"",IF(IF(ISNUMBER($F22),AND(DN$2&gt;=$F22,DN$2&lt;=IF(ISNUMBER($G22),$G22,$F22+$E22-$D22)),FALSE()),2,IF(AND(DN$2&gt;=$D22,DN$2&lt;=$E22),1,"")))</f>
        <v/>
      </c>
      <c r="DO22" s="55" t="str">
        <f aca="false">IF(OR(DO$2="",$D22=""),"",IF(IF(ISNUMBER($F22),AND(DO$2&gt;=$F22,DO$2&lt;=IF(ISNUMBER($G22),$G22,$F22+$E22-$D22)),FALSE()),2,IF(AND(DO$2&gt;=$D22,DO$2&lt;=$E22),1,"")))</f>
        <v/>
      </c>
      <c r="DP22" s="55" t="str">
        <f aca="false">IF(OR(DP$2="",$D22=""),"",IF(IF(ISNUMBER($F22),AND(DP$2&gt;=$F22,DP$2&lt;=IF(ISNUMBER($G22),$G22,$F22+$E22-$D22)),FALSE()),2,IF(AND(DP$2&gt;=$D22,DP$2&lt;=$E22),1,"")))</f>
        <v/>
      </c>
      <c r="DQ22" s="55" t="str">
        <f aca="false">IF(OR(DQ$2="",$D22=""),"",IF(IF(ISNUMBER($F22),AND(DQ$2&gt;=$F22,DQ$2&lt;=IF(ISNUMBER($G22),$G22,$F22+$E22-$D22)),FALSE()),2,IF(AND(DQ$2&gt;=$D22,DQ$2&lt;=$E22),1,"")))</f>
        <v/>
      </c>
      <c r="DR22" s="55" t="str">
        <f aca="false">IF(OR(DR$2="",$D22=""),"",IF(IF(ISNUMBER($F22),AND(DR$2&gt;=$F22,DR$2&lt;=IF(ISNUMBER($G22),$G22,$F22+$E22-$D22)),FALSE()),2,IF(AND(DR$2&gt;=$D22,DR$2&lt;=$E22),1,"")))</f>
        <v/>
      </c>
      <c r="DS22" s="55" t="str">
        <f aca="false">IF(OR(DS$2="",$D22=""),"",IF(IF(ISNUMBER($F22),AND(DS$2&gt;=$F22,DS$2&lt;=IF(ISNUMBER($G22),$G22,$F22+$E22-$D22)),FALSE()),2,IF(AND(DS$2&gt;=$D22,DS$2&lt;=$E22),1,"")))</f>
        <v/>
      </c>
      <c r="DT22" s="55" t="str">
        <f aca="false">IF(OR(DT$2="",$D22=""),"",IF(IF(ISNUMBER($F22),AND(DT$2&gt;=$F22,DT$2&lt;=IF(ISNUMBER($G22),$G22,$F22+$E22-$D22)),FALSE()),2,IF(AND(DT$2&gt;=$D22,DT$2&lt;=$E22),1,"")))</f>
        <v/>
      </c>
      <c r="DU22" s="55" t="str">
        <f aca="false">IF(OR(DU$2="",$D22=""),"",IF(IF(ISNUMBER($F22),AND(DU$2&gt;=$F22,DU$2&lt;=IF(ISNUMBER($G22),$G22,$F22+$E22-$D22)),FALSE()),2,IF(AND(DU$2&gt;=$D22,DU$2&lt;=$E22),1,"")))</f>
        <v/>
      </c>
      <c r="DV22" s="55" t="str">
        <f aca="false">IF(OR(DV$2="",$D22=""),"",IF(IF(ISNUMBER($F22),AND(DV$2&gt;=$F22,DV$2&lt;=IF(ISNUMBER($G22),$G22,$F22+$E22-$D22)),FALSE()),2,IF(AND(DV$2&gt;=$D22,DV$2&lt;=$E22),1,"")))</f>
        <v/>
      </c>
      <c r="DW22" s="55" t="str">
        <f aca="false">IF(OR(DW$2="",$D22=""),"",IF(IF(ISNUMBER($F22),AND(DW$2&gt;=$F22,DW$2&lt;=IF(ISNUMBER($G22),$G22,$F22+$E22-$D22)),FALSE()),2,IF(AND(DW$2&gt;=$D22,DW$2&lt;=$E22),1,"")))</f>
        <v/>
      </c>
      <c r="DX22" s="55" t="str">
        <f aca="false">IF(OR(DX$2="",$D22=""),"",IF(IF(ISNUMBER($F22),AND(DX$2&gt;=$F22,DX$2&lt;=IF(ISNUMBER($G22),$G22,$F22+$E22-$D22)),FALSE()),2,IF(AND(DX$2&gt;=$D22,DX$2&lt;=$E22),1,"")))</f>
        <v/>
      </c>
      <c r="DY22" s="55" t="str">
        <f aca="false">IF(OR(DY$2="",$D22=""),"",IF(IF(ISNUMBER($F22),AND(DY$2&gt;=$F22,DY$2&lt;=IF(ISNUMBER($G22),$G22,$F22+$E22-$D22)),FALSE()),2,IF(AND(DY$2&gt;=$D22,DY$2&lt;=$E22),1,"")))</f>
        <v/>
      </c>
      <c r="DZ22" s="55" t="str">
        <f aca="false">IF(OR(DZ$2="",$D22=""),"",IF(IF(ISNUMBER($F22),AND(DZ$2&gt;=$F22,DZ$2&lt;=IF(ISNUMBER($G22),$G22,$F22+$E22-$D22)),FALSE()),2,IF(AND(DZ$2&gt;=$D22,DZ$2&lt;=$E22),1,"")))</f>
        <v/>
      </c>
      <c r="EA22" s="55" t="str">
        <f aca="false">IF(OR(EA$2="",$D22=""),"",IF(IF(ISNUMBER($F22),AND(EA$2&gt;=$F22,EA$2&lt;=IF(ISNUMBER($G22),$G22,$F22+$E22-$D22)),FALSE()),2,IF(AND(EA$2&gt;=$D22,EA$2&lt;=$E22),1,"")))</f>
        <v/>
      </c>
      <c r="EB22" s="55" t="str">
        <f aca="false">IF(OR(EB$2="",$D22=""),"",IF(IF(ISNUMBER($F22),AND(EB$2&gt;=$F22,EB$2&lt;=IF(ISNUMBER($G22),$G22,$F22+$E22-$D22)),FALSE()),2,IF(AND(EB$2&gt;=$D22,EB$2&lt;=$E22),1,"")))</f>
        <v/>
      </c>
      <c r="EC22" s="55" t="str">
        <f aca="false">IF(OR(EC$2="",$D22=""),"",IF(IF(ISNUMBER($F22),AND(EC$2&gt;=$F22,EC$2&lt;=IF(ISNUMBER($G22),$G22,$F22+$E22-$D22)),FALSE()),2,IF(AND(EC$2&gt;=$D22,EC$2&lt;=$E22),1,"")))</f>
        <v/>
      </c>
      <c r="ED22" s="55" t="str">
        <f aca="false">IF(OR(ED$2="",$D22=""),"",IF(IF(ISNUMBER($F22),AND(ED$2&gt;=$F22,ED$2&lt;=IF(ISNUMBER($G22),$G22,$F22+$E22-$D22)),FALSE()),2,IF(AND(ED$2&gt;=$D22,ED$2&lt;=$E22),1,"")))</f>
        <v/>
      </c>
      <c r="EE22" s="55" t="str">
        <f aca="false">IF(OR(EE$2="",$D22=""),"",IF(IF(ISNUMBER($F22),AND(EE$2&gt;=$F22,EE$2&lt;=IF(ISNUMBER($G22),$G22,$F22+$E22-$D22)),FALSE()),2,IF(AND(EE$2&gt;=$D22,EE$2&lt;=$E22),1,"")))</f>
        <v/>
      </c>
      <c r="EF22" s="55" t="str">
        <f aca="false">IF(OR(EF$2="",$D22=""),"",IF(IF(ISNUMBER($F22),AND(EF$2&gt;=$F22,EF$2&lt;=IF(ISNUMBER($G22),$G22,$F22+$E22-$D22)),FALSE()),2,IF(AND(EF$2&gt;=$D22,EF$2&lt;=$E22),1,"")))</f>
        <v/>
      </c>
      <c r="EG22" s="55" t="str">
        <f aca="false">IF(OR(EG$2="",$D22=""),"",IF(IF(ISNUMBER($F22),AND(EG$2&gt;=$F22,EG$2&lt;=IF(ISNUMBER($G22),$G22,$F22+$E22-$D22)),FALSE()),2,IF(AND(EG$2&gt;=$D22,EG$2&lt;=$E22),1,"")))</f>
        <v/>
      </c>
      <c r="EH22" s="55" t="str">
        <f aca="false">IF(OR(EH$2="",$D22=""),"",IF(IF(ISNUMBER($F22),AND(EH$2&gt;=$F22,EH$2&lt;=IF(ISNUMBER($G22),$G22,$F22+$E22-$D22)),FALSE()),2,IF(AND(EH$2&gt;=$D22,EH$2&lt;=$E22),1,"")))</f>
        <v/>
      </c>
      <c r="EI22" s="55" t="str">
        <f aca="false">IF(OR(EI$2="",$D22=""),"",IF(IF(ISNUMBER($F22),AND(EI$2&gt;=$F22,EI$2&lt;=IF(ISNUMBER($G22),$G22,$F22+$E22-$D22)),FALSE()),2,IF(AND(EI$2&gt;=$D22,EI$2&lt;=$E22),1,"")))</f>
        <v/>
      </c>
      <c r="EJ22" s="55" t="str">
        <f aca="false">IF(OR(EJ$2="",$D22=""),"",IF(IF(ISNUMBER($F22),AND(EJ$2&gt;=$F22,EJ$2&lt;=IF(ISNUMBER($G22),$G22,$F22+$E22-$D22)),FALSE()),2,IF(AND(EJ$2&gt;=$D22,EJ$2&lt;=$E22),1,"")))</f>
        <v/>
      </c>
      <c r="EK22" s="55" t="str">
        <f aca="false">IF(OR(EK$2="",$D22=""),"",IF(IF(ISNUMBER($F22),AND(EK$2&gt;=$F22,EK$2&lt;=IF(ISNUMBER($G22),$G22,$F22+$E22-$D22)),FALSE()),2,IF(AND(EK$2&gt;=$D22,EK$2&lt;=$E22),1,"")))</f>
        <v/>
      </c>
      <c r="EL22" s="55" t="str">
        <f aca="false">IF(OR(EL$2="",$D22=""),"",IF(IF(ISNUMBER($F22),AND(EL$2&gt;=$F22,EL$2&lt;=IF(ISNUMBER($G22),$G22,$F22+$E22-$D22)),FALSE()),2,IF(AND(EL$2&gt;=$D22,EL$2&lt;=$E22),1,"")))</f>
        <v/>
      </c>
      <c r="EM22" s="55" t="str">
        <f aca="false">IF(OR(EM$2="",$D22=""),"",IF(IF(ISNUMBER($F22),AND(EM$2&gt;=$F22,EM$2&lt;=IF(ISNUMBER($G22),$G22,$F22+$E22-$D22)),FALSE()),2,IF(AND(EM$2&gt;=$D22,EM$2&lt;=$E22),1,"")))</f>
        <v/>
      </c>
      <c r="EN22" s="55" t="str">
        <f aca="false">IF(OR(EN$2="",$D22=""),"",IF(IF(ISNUMBER($F22),AND(EN$2&gt;=$F22,EN$2&lt;=IF(ISNUMBER($G22),$G22,$F22+$E22-$D22)),FALSE()),2,IF(AND(EN$2&gt;=$D22,EN$2&lt;=$E22),1,"")))</f>
        <v/>
      </c>
      <c r="EO22" s="55" t="str">
        <f aca="false">IF(OR(EO$2="",$D22=""),"",IF(IF(ISNUMBER($F22),AND(EO$2&gt;=$F22,EO$2&lt;=IF(ISNUMBER($G22),$G22,$F22+$E22-$D22)),FALSE()),2,IF(AND(EO$2&gt;=$D22,EO$2&lt;=$E22),1,"")))</f>
        <v/>
      </c>
      <c r="EP22" s="55" t="str">
        <f aca="false">IF(OR(EP$2="",$D22=""),"",IF(IF(ISNUMBER($F22),AND(EP$2&gt;=$F22,EP$2&lt;=IF(ISNUMBER($G22),$G22,$F22+$E22-$D22)),FALSE()),2,IF(AND(EP$2&gt;=$D22,EP$2&lt;=$E22),1,"")))</f>
        <v/>
      </c>
      <c r="EQ22" s="55" t="str">
        <f aca="false">IF(OR(EQ$2="",$D22=""),"",IF(IF(ISNUMBER($F22),AND(EQ$2&gt;=$F22,EQ$2&lt;=IF(ISNUMBER($G22),$G22,$F22+$E22-$D22)),FALSE()),2,IF(AND(EQ$2&gt;=$D22,EQ$2&lt;=$E22),1,"")))</f>
        <v/>
      </c>
      <c r="ER22" s="55" t="str">
        <f aca="false">IF(OR(ER$2="",$D22=""),"",IF(IF(ISNUMBER($F22),AND(ER$2&gt;=$F22,ER$2&lt;=IF(ISNUMBER($G22),$G22,$F22+$E22-$D22)),FALSE()),2,IF(AND(ER$2&gt;=$D22,ER$2&lt;=$E22),1,"")))</f>
        <v/>
      </c>
      <c r="ES22" s="55" t="str">
        <f aca="false">IF(OR(ES$2="",$D22=""),"",IF(IF(ISNUMBER($F22),AND(ES$2&gt;=$F22,ES$2&lt;=IF(ISNUMBER($G22),$G22,$F22+$E22-$D22)),FALSE()),2,IF(AND(ES$2&gt;=$D22,ES$2&lt;=$E22),1,"")))</f>
        <v/>
      </c>
      <c r="ET22" s="55" t="str">
        <f aca="false">IF(OR(ET$2="",$D22=""),"",IF(IF(ISNUMBER($F22),AND(ET$2&gt;=$F22,ET$2&lt;=IF(ISNUMBER($G22),$G22,$F22+$E22-$D22)),FALSE()),2,IF(AND(ET$2&gt;=$D22,ET$2&lt;=$E22),1,"")))</f>
        <v/>
      </c>
      <c r="EU22" s="55" t="str">
        <f aca="false">IF(OR(EU$2="",$D22=""),"",IF(IF(ISNUMBER($F22),AND(EU$2&gt;=$F22,EU$2&lt;=IF(ISNUMBER($G22),$G22,$F22+$E22-$D22)),FALSE()),2,IF(AND(EU$2&gt;=$D22,EU$2&lt;=$E22),1,"")))</f>
        <v/>
      </c>
      <c r="EV22" s="55" t="str">
        <f aca="false">IF(OR(EV$2="",$D22=""),"",IF(IF(ISNUMBER($F22),AND(EV$2&gt;=$F22,EV$2&lt;=IF(ISNUMBER($G22),$G22,$F22+$E22-$D22)),FALSE()),2,IF(AND(EV$2&gt;=$D22,EV$2&lt;=$E22),1,"")))</f>
        <v/>
      </c>
      <c r="EW22" s="55" t="str">
        <f aca="false">IF(OR(EW$2="",$D22=""),"",IF(IF(ISNUMBER($F22),AND(EW$2&gt;=$F22,EW$2&lt;=IF(ISNUMBER($G22),$G22,$F22+$E22-$D22)),FALSE()),2,IF(AND(EW$2&gt;=$D22,EW$2&lt;=$E22),1,"")))</f>
        <v/>
      </c>
      <c r="EX22" s="55" t="str">
        <f aca="false">IF(OR(EX$2="",$D22=""),"",IF(IF(ISNUMBER($F22),AND(EX$2&gt;=$F22,EX$2&lt;=IF(ISNUMBER($G22),$G22,$F22+$E22-$D22)),FALSE()),2,IF(AND(EX$2&gt;=$D22,EX$2&lt;=$E22),1,"")))</f>
        <v/>
      </c>
      <c r="EY22" s="55" t="n">
        <f aca="false">IF(OR(EY$2="",$D22=""),"",IF(IF(ISNUMBER($F22),AND(EY$2&gt;=$F22,EY$2&lt;=IF(ISNUMBER($G22),$G22,$F22+$E22-$D22)),FALSE()),2,IF(AND(EY$2&gt;=$D22,EY$2&lt;=$E22),1,"")))</f>
        <v>1</v>
      </c>
      <c r="EZ22" s="55" t="n">
        <f aca="false">IF(OR(EZ$2="",$D22=""),"",IF(IF(ISNUMBER($F22),AND(EZ$2&gt;=$F22,EZ$2&lt;=IF(ISNUMBER($G22),$G22,$F22+$E22-$D22)),FALSE()),2,IF(AND(EZ$2&gt;=$D22,EZ$2&lt;=$E22),1,"")))</f>
        <v>2</v>
      </c>
      <c r="FA22" s="55" t="n">
        <f aca="false">IF(OR(FA$2="",$D22=""),"",IF(IF(ISNUMBER($F22),AND(FA$2&gt;=$F22,FA$2&lt;=IF(ISNUMBER($G22),$G22,$F22+$E22-$D22)),FALSE()),2,IF(AND(FA$2&gt;=$D22,FA$2&lt;=$E22),1,"")))</f>
        <v>2</v>
      </c>
      <c r="FB22" s="55" t="n">
        <f aca="false">IF(OR(FB$2="",$D22=""),"",IF(IF(ISNUMBER($F22),AND(FB$2&gt;=$F22,FB$2&lt;=IF(ISNUMBER($G22),$G22,$F22+$E22-$D22)),FALSE()),2,IF(AND(FB$2&gt;=$D22,FB$2&lt;=$E22),1,"")))</f>
        <v>2</v>
      </c>
      <c r="FC22" s="55" t="n">
        <f aca="false">IF(OR(FC$2="",$D22=""),"",IF(IF(ISNUMBER($F22),AND(FC$2&gt;=$F22,FC$2&lt;=IF(ISNUMBER($G22),$G22,$F22+$E22-$D22)),FALSE()),2,IF(AND(FC$2&gt;=$D22,FC$2&lt;=$E22),1,"")))</f>
        <v>2</v>
      </c>
      <c r="FD22" s="55" t="n">
        <f aca="false">IF(OR(FD$2="",$D22=""),"",IF(IF(ISNUMBER($F22),AND(FD$2&gt;=$F22,FD$2&lt;=IF(ISNUMBER($G22),$G22,$F22+$E22-$D22)),FALSE()),2,IF(AND(FD$2&gt;=$D22,FD$2&lt;=$E22),1,"")))</f>
        <v>2</v>
      </c>
      <c r="FE22" s="55" t="n">
        <f aca="false">IF(OR(FE$2="",$D22=""),"",IF(IF(ISNUMBER($F22),AND(FE$2&gt;=$F22,FE$2&lt;=IF(ISNUMBER($G22),$G22,$F22+$E22-$D22)),FALSE()),2,IF(AND(FE$2&gt;=$D22,FE$2&lt;=$E22),1,"")))</f>
        <v>2</v>
      </c>
      <c r="FF22" s="55" t="n">
        <f aca="false">IF(OR(FF$2="",$D22=""),"",IF(IF(ISNUMBER($F22),AND(FF$2&gt;=$F22,FF$2&lt;=IF(ISNUMBER($G22),$G22,$F22+$E22-$D22)),FALSE()),2,IF(AND(FF$2&gt;=$D22,FF$2&lt;=$E22),1,"")))</f>
        <v>2</v>
      </c>
      <c r="FG22" s="55" t="n">
        <f aca="false">IF(OR(FG$2="",$D22=""),"",IF(IF(ISNUMBER($F22),AND(FG$2&gt;=$F22,FG$2&lt;=IF(ISNUMBER($G22),$G22,$F22+$E22-$D22)),FALSE()),2,IF(AND(FG$2&gt;=$D22,FG$2&lt;=$E22),1,"")))</f>
        <v>2</v>
      </c>
      <c r="FH22" s="55" t="str">
        <f aca="false">IF(OR(FH$2="",$D22=""),"",IF(IF(ISNUMBER($F22),AND(FH$2&gt;=$F22,FH$2&lt;=IF(ISNUMBER($G22),$G22,$F22+$E22-$D22)),FALSE()),2,IF(AND(FH$2&gt;=$D22,FH$2&lt;=$E22),1,"")))</f>
        <v/>
      </c>
      <c r="FI22" s="55" t="str">
        <f aca="false">IF(OR(FI$2="",$D22=""),"",IF(IF(ISNUMBER($F22),AND(FI$2&gt;=$F22,FI$2&lt;=IF(ISNUMBER($G22),$G22,$F22+$E22-$D22)),FALSE()),2,IF(AND(FI$2&gt;=$D22,FI$2&lt;=$E22),1,"")))</f>
        <v/>
      </c>
      <c r="FJ22" s="55" t="str">
        <f aca="false">IF(OR(FJ$2="",$D22=""),"",IF(IF(ISNUMBER($F22),AND(FJ$2&gt;=$F22,FJ$2&lt;=IF(ISNUMBER($G22),$G22,$F22+$E22-$D22)),FALSE()),2,IF(AND(FJ$2&gt;=$D22,FJ$2&lt;=$E22),1,"")))</f>
        <v/>
      </c>
      <c r="FK22" s="55" t="str">
        <f aca="false">IF(OR(FK$2="",$D22=""),"",IF(IF(ISNUMBER($F22),AND(FK$2&gt;=$F22,FK$2&lt;=IF(ISNUMBER($G22),$G22,$F22+$E22-$D22)),FALSE()),2,IF(AND(FK$2&gt;=$D22,FK$2&lt;=$E22),1,"")))</f>
        <v/>
      </c>
      <c r="FL22" s="55" t="str">
        <f aca="false">IF(OR(FL$2="",$D22=""),"",IF(IF(ISNUMBER($F22),AND(FL$2&gt;=$F22,FL$2&lt;=IF(ISNUMBER($G22),$G22,$F22+$E22-$D22)),FALSE()),2,IF(AND(FL$2&gt;=$D22,FL$2&lt;=$E22),1,"")))</f>
        <v/>
      </c>
      <c r="FM22" s="55" t="str">
        <f aca="false">IF(OR(FM$2="",$D22=""),"",IF(IF(ISNUMBER($F22),AND(FM$2&gt;=$F22,FM$2&lt;=IF(ISNUMBER($G22),$G22,$F22+$E22-$D22)),FALSE()),2,IF(AND(FM$2&gt;=$D22,FM$2&lt;=$E22),1,"")))</f>
        <v/>
      </c>
      <c r="FN22" s="55" t="str">
        <f aca="false">IF(OR(FN$2="",$D22=""),"",IF(IF(ISNUMBER($F22),AND(FN$2&gt;=$F22,FN$2&lt;=IF(ISNUMBER($G22),$G22,$F22+$E22-$D22)),FALSE()),2,IF(AND(FN$2&gt;=$D22,FN$2&lt;=$E22),1,"")))</f>
        <v/>
      </c>
      <c r="FO22" s="55" t="str">
        <f aca="false">IF(OR(FO$2="",$D22=""),"",IF(IF(ISNUMBER($F22),AND(FO$2&gt;=$F22,FO$2&lt;=IF(ISNUMBER($G22),$G22,$F22+$E22-$D22)),FALSE()),2,IF(AND(FO$2&gt;=$D22,FO$2&lt;=$E22),1,"")))</f>
        <v/>
      </c>
      <c r="FP22" s="55" t="str">
        <f aca="false">IF(OR(FP$2="",$D22=""),"",IF(IF(ISNUMBER($F22),AND(FP$2&gt;=$F22,FP$2&lt;=IF(ISNUMBER($G22),$G22,$F22+$E22-$D22)),FALSE()),2,IF(AND(FP$2&gt;=$D22,FP$2&lt;=$E22),1,"")))</f>
        <v/>
      </c>
      <c r="FQ22" s="55" t="str">
        <f aca="false">IF(OR(FQ$2="",$D22=""),"",IF(IF(ISNUMBER($F22),AND(FQ$2&gt;=$F22,FQ$2&lt;=IF(ISNUMBER($G22),$G22,$F22+$E22-$D22)),FALSE()),2,IF(AND(FQ$2&gt;=$D22,FQ$2&lt;=$E22),1,"")))</f>
        <v/>
      </c>
      <c r="FR22" s="55" t="str">
        <f aca="false">IF(OR(FR$2="",$D22=""),"",IF(IF(ISNUMBER($F22),AND(FR$2&gt;=$F22,FR$2&lt;=IF(ISNUMBER($G22),$G22,$F22+$E22-$D22)),FALSE()),2,IF(AND(FR$2&gt;=$D22,FR$2&lt;=$E22),1,"")))</f>
        <v/>
      </c>
      <c r="FS22" s="55" t="str">
        <f aca="false">IF(OR(FS$2="",$D22=""),"",IF(IF(ISNUMBER($F22),AND(FS$2&gt;=$F22,FS$2&lt;=IF(ISNUMBER($G22),$G22,$F22+$E22-$D22)),FALSE()),2,IF(AND(FS$2&gt;=$D22,FS$2&lt;=$E22),1,"")))</f>
        <v/>
      </c>
      <c r="FT22" s="55" t="str">
        <f aca="false">IF(OR(FT$2="",$D22=""),"",IF(IF(ISNUMBER($F22),AND(FT$2&gt;=$F22,FT$2&lt;=IF(ISNUMBER($G22),$G22,$F22+$E22-$D22)),FALSE()),2,IF(AND(FT$2&gt;=$D22,FT$2&lt;=$E22),1,"")))</f>
        <v/>
      </c>
      <c r="FU22" s="55" t="str">
        <f aca="false">IF(OR(FU$2="",$D22=""),"",IF(IF(ISNUMBER($F22),AND(FU$2&gt;=$F22,FU$2&lt;=IF(ISNUMBER($G22),$G22,$F22+$E22-$D22)),FALSE()),2,IF(AND(FU$2&gt;=$D22,FU$2&lt;=$E22),1,"")))</f>
        <v/>
      </c>
      <c r="FV22" s="55" t="str">
        <f aca="false">IF(OR(FV$2="",$D22=""),"",IF(IF(ISNUMBER($F22),AND(FV$2&gt;=$F22,FV$2&lt;=IF(ISNUMBER($G22),$G22,$F22+$E22-$D22)),FALSE()),2,IF(AND(FV$2&gt;=$D22,FV$2&lt;=$E22),1,"")))</f>
        <v/>
      </c>
      <c r="FW22" s="55" t="str">
        <f aca="false">IF(OR(FW$2="",$D22=""),"",IF(IF(ISNUMBER($F22),AND(FW$2&gt;=$F22,FW$2&lt;=IF(ISNUMBER($G22),$G22,$F22+$E22-$D22)),FALSE()),2,IF(AND(FW$2&gt;=$D22,FW$2&lt;=$E22),1,"")))</f>
        <v/>
      </c>
      <c r="FX22" s="55" t="str">
        <f aca="false">IF(OR(FX$2="",$D22=""),"",IF(IF(ISNUMBER($F22),AND(FX$2&gt;=$F22,FX$2&lt;=IF(ISNUMBER($G22),$G22,$F22+$E22-$D22)),FALSE()),2,IF(AND(FX$2&gt;=$D22,FX$2&lt;=$E22),1,"")))</f>
        <v/>
      </c>
      <c r="FY22" s="55" t="str">
        <f aca="false">IF(OR(FY$2="",$D22=""),"",IF(IF(ISNUMBER($F22),AND(FY$2&gt;=$F22,FY$2&lt;=IF(ISNUMBER($G22),$G22,$F22+$E22-$D22)),FALSE()),2,IF(AND(FY$2&gt;=$D22,FY$2&lt;=$E22),1,"")))</f>
        <v/>
      </c>
      <c r="FZ22" s="55" t="str">
        <f aca="false">IF(OR(FZ$2="",$D22=""),"",IF(IF(ISNUMBER($F22),AND(FZ$2&gt;=$F22,FZ$2&lt;=IF(ISNUMBER($G22),$G22,$F22+$E22-$D22)),FALSE()),2,IF(AND(FZ$2&gt;=$D22,FZ$2&lt;=$E22),1,"")))</f>
        <v/>
      </c>
      <c r="GA22" s="55" t="str">
        <f aca="false">IF(OR(GA$2="",$D22=""),"",IF(IF(ISNUMBER($F22),AND(GA$2&gt;=$F22,GA$2&lt;=IF(ISNUMBER($G22),$G22,$F22+$E22-$D22)),FALSE()),2,IF(AND(GA$2&gt;=$D22,GA$2&lt;=$E22),1,"")))</f>
        <v/>
      </c>
      <c r="GB22" s="55" t="str">
        <f aca="false">IF(OR(GB$2="",$D22=""),"",IF(IF(ISNUMBER($F22),AND(GB$2&gt;=$F22,GB$2&lt;=IF(ISNUMBER($G22),$G22,$F22+$E22-$D22)),FALSE()),2,IF(AND(GB$2&gt;=$D22,GB$2&lt;=$E22),1,"")))</f>
        <v/>
      </c>
      <c r="GC22" s="55" t="str">
        <f aca="false">IF(OR(GC$2="",$D22=""),"",IF(IF(ISNUMBER($F22),AND(GC$2&gt;=$F22,GC$2&lt;=IF(ISNUMBER($G22),$G22,$F22+$E22-$D22)),FALSE()),2,IF(AND(GC$2&gt;=$D22,GC$2&lt;=$E22),1,"")))</f>
        <v/>
      </c>
      <c r="GD22" s="55" t="str">
        <f aca="false">IF(OR(GD$2="",$D22=""),"",IF(IF(ISNUMBER($F22),AND(GD$2&gt;=$F22,GD$2&lt;=IF(ISNUMBER($G22),$G22,$F22+$E22-$D22)),FALSE()),2,IF(AND(GD$2&gt;=$D22,GD$2&lt;=$E22),1,"")))</f>
        <v/>
      </c>
      <c r="GE22" s="55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false" outlineLevel="0" collapsed="false">
      <c r="A23" s="54" t="s">
        <v>217</v>
      </c>
      <c r="B23" s="21" t="s">
        <v>393</v>
      </c>
      <c r="C23" s="21" t="s">
        <v>83</v>
      </c>
      <c r="D23" s="51" t="n">
        <f aca="false">IF(Day_0="","",Day_0+cfg_6-cfg_8+cfg_13*6)</f>
        <v>46135</v>
      </c>
      <c r="E23" s="51" t="n">
        <f aca="false">IF(D23="","",D23)</f>
        <v>46135</v>
      </c>
      <c r="F23" s="51" t="n">
        <f aca="false">IF(_xlfn.MINIFS(2_Daily_input!$D$1:$FQ$1,2_Daily_input!$D$71:$FQ$71,"3F4D end")+_xlfn.MINIFS(2_Daily_input!$D$1:$FQ$1,2_Daily_input!$D$72:$FQ$72,"3F4D end")=0,"",IF(_xlfn.MINIFS(2_Daily_input!$D$1:$FQ$1,2_Daily_input!$D$71:$FQ$71,"3F4D end")=0,_xlfn.MINIFS(2_Daily_input!$D$1:$FQ$1,2_Daily_input!$D$72:$FQ$72,"3F4D end"),IF(_xlfn.MINIFS(2_Daily_input!$D$1:$FQ$1,2_Daily_input!$D$72:$FQ$72,"3F4D end")=0,_xlfn.MINIFS(2_Daily_input!$D$1:$FQ$1,2_Daily_input!$D$71:$FQ$71,"3F4D end"),MIN(_xlfn.MINIFS(2_Daily_input!$D$1:$FQ$1,2_Daily_input!$D$71:$FQ$71,"3F4D end"),_xlfn.MINIFS(2_Daily_input!$D$1:$FQ$1,2_Daily_input!$D$72:$FQ$72,"3F4D end")))))</f>
        <v>46136</v>
      </c>
      <c r="G23" s="51" t="str">
        <f aca="false">""</f>
        <v/>
      </c>
      <c r="H23" s="50" t="str">
        <f aca="true">IF(D23="","no plan",IF(F23&lt;&gt;"",IF(F23-D23&gt;=2,"LATE","OK"),IF(TODAY()&gt;D23+2,"OVERDUE","upcoming")))</f>
        <v>OK</v>
      </c>
      <c r="I23" s="50" t="n">
        <f aca="false">IF(AND(D23&lt;&gt;"",F23&lt;&gt;""),F23-D23,"")</f>
        <v>1</v>
      </c>
      <c r="J23" s="51" t="n">
        <f aca="false">IF(F23&lt;&gt;"",F23,D23)</f>
        <v>46136</v>
      </c>
      <c r="K23" s="51" t="n">
        <f aca="false">IF(G23&lt;&gt;"",G23,IF(AND(F23&lt;&gt;"",E23=D23),F23,E23))</f>
        <v>46136</v>
      </c>
      <c r="L23" s="50" t="str">
        <f aca="true">IF(AND(D23&lt;&gt;"",F23="",D23&gt;=TODAY()),D23+ROW()/1000,"")</f>
        <v/>
      </c>
      <c r="M23" s="55" t="str">
        <f aca="false">IF(OR(M$2="",$D23=""),"",IF(IF(ISNUMBER($F23),AND(M$2&gt;=$F23,M$2&lt;=IF(ISNUMBER($G23),$G23,$F23+$E23-$D23)),FALSE()),2,IF(AND(M$2&gt;=$D23,M$2&lt;=$E23),1,"")))</f>
        <v/>
      </c>
      <c r="N23" s="55" t="str">
        <f aca="false">IF(OR(N$2="",$D23=""),"",IF(IF(ISNUMBER($F23),AND(N$2&gt;=$F23,N$2&lt;=IF(ISNUMBER($G23),$G23,$F23+$E23-$D23)),FALSE()),2,IF(AND(N$2&gt;=$D23,N$2&lt;=$E23),1,"")))</f>
        <v/>
      </c>
      <c r="O23" s="55" t="str">
        <f aca="false">IF(OR(O$2="",$D23=""),"",IF(IF(ISNUMBER($F23),AND(O$2&gt;=$F23,O$2&lt;=IF(ISNUMBER($G23),$G23,$F23+$E23-$D23)),FALSE()),2,IF(AND(O$2&gt;=$D23,O$2&lt;=$E23),1,"")))</f>
        <v/>
      </c>
      <c r="P23" s="55" t="str">
        <f aca="false">IF(OR(P$2="",$D23=""),"",IF(IF(ISNUMBER($F23),AND(P$2&gt;=$F23,P$2&lt;=IF(ISNUMBER($G23),$G23,$F23+$E23-$D23)),FALSE()),2,IF(AND(P$2&gt;=$D23,P$2&lt;=$E23),1,"")))</f>
        <v/>
      </c>
      <c r="Q23" s="55" t="str">
        <f aca="false">IF(OR(Q$2="",$D23=""),"",IF(IF(ISNUMBER($F23),AND(Q$2&gt;=$F23,Q$2&lt;=IF(ISNUMBER($G23),$G23,$F23+$E23-$D23)),FALSE()),2,IF(AND(Q$2&gt;=$D23,Q$2&lt;=$E23),1,"")))</f>
        <v/>
      </c>
      <c r="R23" s="55" t="str">
        <f aca="false">IF(OR(R$2="",$D23=""),"",IF(IF(ISNUMBER($F23),AND(R$2&gt;=$F23,R$2&lt;=IF(ISNUMBER($G23),$G23,$F23+$E23-$D23)),FALSE()),2,IF(AND(R$2&gt;=$D23,R$2&lt;=$E23),1,"")))</f>
        <v/>
      </c>
      <c r="S23" s="55" t="str">
        <f aca="false">IF(OR(S$2="",$D23=""),"",IF(IF(ISNUMBER($F23),AND(S$2&gt;=$F23,S$2&lt;=IF(ISNUMBER($G23),$G23,$F23+$E23-$D23)),FALSE()),2,IF(AND(S$2&gt;=$D23,S$2&lt;=$E23),1,"")))</f>
        <v/>
      </c>
      <c r="T23" s="55" t="str">
        <f aca="false">IF(OR(T$2="",$D23=""),"",IF(IF(ISNUMBER($F23),AND(T$2&gt;=$F23,T$2&lt;=IF(ISNUMBER($G23),$G23,$F23+$E23-$D23)),FALSE()),2,IF(AND(T$2&gt;=$D23,T$2&lt;=$E23),1,"")))</f>
        <v/>
      </c>
      <c r="U23" s="55" t="str">
        <f aca="false">IF(OR(U$2="",$D23=""),"",IF(IF(ISNUMBER($F23),AND(U$2&gt;=$F23,U$2&lt;=IF(ISNUMBER($G23),$G23,$F23+$E23-$D23)),FALSE()),2,IF(AND(U$2&gt;=$D23,U$2&lt;=$E23),1,"")))</f>
        <v/>
      </c>
      <c r="V23" s="55" t="str">
        <f aca="false">IF(OR(V$2="",$D23=""),"",IF(IF(ISNUMBER($F23),AND(V$2&gt;=$F23,V$2&lt;=IF(ISNUMBER($G23),$G23,$F23+$E23-$D23)),FALSE()),2,IF(AND(V$2&gt;=$D23,V$2&lt;=$E23),1,"")))</f>
        <v/>
      </c>
      <c r="W23" s="55" t="str">
        <f aca="false">IF(OR(W$2="",$D23=""),"",IF(IF(ISNUMBER($F23),AND(W$2&gt;=$F23,W$2&lt;=IF(ISNUMBER($G23),$G23,$F23+$E23-$D23)),FALSE()),2,IF(AND(W$2&gt;=$D23,W$2&lt;=$E23),1,"")))</f>
        <v/>
      </c>
      <c r="X23" s="55" t="str">
        <f aca="false">IF(OR(X$2="",$D23=""),"",IF(IF(ISNUMBER($F23),AND(X$2&gt;=$F23,X$2&lt;=IF(ISNUMBER($G23),$G23,$F23+$E23-$D23)),FALSE()),2,IF(AND(X$2&gt;=$D23,X$2&lt;=$E23),1,"")))</f>
        <v/>
      </c>
      <c r="Y23" s="55" t="str">
        <f aca="false">IF(OR(Y$2="",$D23=""),"",IF(IF(ISNUMBER($F23),AND(Y$2&gt;=$F23,Y$2&lt;=IF(ISNUMBER($G23),$G23,$F23+$E23-$D23)),FALSE()),2,IF(AND(Y$2&gt;=$D23,Y$2&lt;=$E23),1,"")))</f>
        <v/>
      </c>
      <c r="Z23" s="55" t="str">
        <f aca="false">IF(OR(Z$2="",$D23=""),"",IF(IF(ISNUMBER($F23),AND(Z$2&gt;=$F23,Z$2&lt;=IF(ISNUMBER($G23),$G23,$F23+$E23-$D23)),FALSE()),2,IF(AND(Z$2&gt;=$D23,Z$2&lt;=$E23),1,"")))</f>
        <v/>
      </c>
      <c r="AA23" s="55" t="str">
        <f aca="false">IF(OR(AA$2="",$D23=""),"",IF(IF(ISNUMBER($F23),AND(AA$2&gt;=$F23,AA$2&lt;=IF(ISNUMBER($G23),$G23,$F23+$E23-$D23)),FALSE()),2,IF(AND(AA$2&gt;=$D23,AA$2&lt;=$E23),1,"")))</f>
        <v/>
      </c>
      <c r="AB23" s="55" t="str">
        <f aca="false">IF(OR(AB$2="",$D23=""),"",IF(IF(ISNUMBER($F23),AND(AB$2&gt;=$F23,AB$2&lt;=IF(ISNUMBER($G23),$G23,$F23+$E23-$D23)),FALSE()),2,IF(AND(AB$2&gt;=$D23,AB$2&lt;=$E23),1,"")))</f>
        <v/>
      </c>
      <c r="AC23" s="55" t="str">
        <f aca="false">IF(OR(AC$2="",$D23=""),"",IF(IF(ISNUMBER($F23),AND(AC$2&gt;=$F23,AC$2&lt;=IF(ISNUMBER($G23),$G23,$F23+$E23-$D23)),FALSE()),2,IF(AND(AC$2&gt;=$D23,AC$2&lt;=$E23),1,"")))</f>
        <v/>
      </c>
      <c r="AD23" s="55" t="str">
        <f aca="false">IF(OR(AD$2="",$D23=""),"",IF(IF(ISNUMBER($F23),AND(AD$2&gt;=$F23,AD$2&lt;=IF(ISNUMBER($G23),$G23,$F23+$E23-$D23)),FALSE()),2,IF(AND(AD$2&gt;=$D23,AD$2&lt;=$E23),1,"")))</f>
        <v/>
      </c>
      <c r="AE23" s="55" t="str">
        <f aca="false">IF(OR(AE$2="",$D23=""),"",IF(IF(ISNUMBER($F23),AND(AE$2&gt;=$F23,AE$2&lt;=IF(ISNUMBER($G23),$G23,$F23+$E23-$D23)),FALSE()),2,IF(AND(AE$2&gt;=$D23,AE$2&lt;=$E23),1,"")))</f>
        <v/>
      </c>
      <c r="AF23" s="55" t="str">
        <f aca="false">IF(OR(AF$2="",$D23=""),"",IF(IF(ISNUMBER($F23),AND(AF$2&gt;=$F23,AF$2&lt;=IF(ISNUMBER($G23),$G23,$F23+$E23-$D23)),FALSE()),2,IF(AND(AF$2&gt;=$D23,AF$2&lt;=$E23),1,"")))</f>
        <v/>
      </c>
      <c r="AG23" s="55" t="str">
        <f aca="false">IF(OR(AG$2="",$D23=""),"",IF(IF(ISNUMBER($F23),AND(AG$2&gt;=$F23,AG$2&lt;=IF(ISNUMBER($G23),$G23,$F23+$E23-$D23)),FALSE()),2,IF(AND(AG$2&gt;=$D23,AG$2&lt;=$E23),1,"")))</f>
        <v/>
      </c>
      <c r="AH23" s="55" t="str">
        <f aca="false">IF(OR(AH$2="",$D23=""),"",IF(IF(ISNUMBER($F23),AND(AH$2&gt;=$F23,AH$2&lt;=IF(ISNUMBER($G23),$G23,$F23+$E23-$D23)),FALSE()),2,IF(AND(AH$2&gt;=$D23,AH$2&lt;=$E23),1,"")))</f>
        <v/>
      </c>
      <c r="AI23" s="55" t="str">
        <f aca="false">IF(OR(AI$2="",$D23=""),"",IF(IF(ISNUMBER($F23),AND(AI$2&gt;=$F23,AI$2&lt;=IF(ISNUMBER($G23),$G23,$F23+$E23-$D23)),FALSE()),2,IF(AND(AI$2&gt;=$D23,AI$2&lt;=$E23),1,"")))</f>
        <v/>
      </c>
      <c r="AJ23" s="55" t="str">
        <f aca="false">IF(OR(AJ$2="",$D23=""),"",IF(IF(ISNUMBER($F23),AND(AJ$2&gt;=$F23,AJ$2&lt;=IF(ISNUMBER($G23),$G23,$F23+$E23-$D23)),FALSE()),2,IF(AND(AJ$2&gt;=$D23,AJ$2&lt;=$E23),1,"")))</f>
        <v/>
      </c>
      <c r="AK23" s="55" t="str">
        <f aca="false">IF(OR(AK$2="",$D23=""),"",IF(IF(ISNUMBER($F23),AND(AK$2&gt;=$F23,AK$2&lt;=IF(ISNUMBER($G23),$G23,$F23+$E23-$D23)),FALSE()),2,IF(AND(AK$2&gt;=$D23,AK$2&lt;=$E23),1,"")))</f>
        <v/>
      </c>
      <c r="AL23" s="55" t="str">
        <f aca="false">IF(OR(AL$2="",$D23=""),"",IF(IF(ISNUMBER($F23),AND(AL$2&gt;=$F23,AL$2&lt;=IF(ISNUMBER($G23),$G23,$F23+$E23-$D23)),FALSE()),2,IF(AND(AL$2&gt;=$D23,AL$2&lt;=$E23),1,"")))</f>
        <v/>
      </c>
      <c r="AM23" s="55" t="str">
        <f aca="false">IF(OR(AM$2="",$D23=""),"",IF(IF(ISNUMBER($F23),AND(AM$2&gt;=$F23,AM$2&lt;=IF(ISNUMBER($G23),$G23,$F23+$E23-$D23)),FALSE()),2,IF(AND(AM$2&gt;=$D23,AM$2&lt;=$E23),1,"")))</f>
        <v/>
      </c>
      <c r="AN23" s="55" t="str">
        <f aca="false">IF(OR(AN$2="",$D23=""),"",IF(IF(ISNUMBER($F23),AND(AN$2&gt;=$F23,AN$2&lt;=IF(ISNUMBER($G23),$G23,$F23+$E23-$D23)),FALSE()),2,IF(AND(AN$2&gt;=$D23,AN$2&lt;=$E23),1,"")))</f>
        <v/>
      </c>
      <c r="AO23" s="55" t="str">
        <f aca="false">IF(OR(AO$2="",$D23=""),"",IF(IF(ISNUMBER($F23),AND(AO$2&gt;=$F23,AO$2&lt;=IF(ISNUMBER($G23),$G23,$F23+$E23-$D23)),FALSE()),2,IF(AND(AO$2&gt;=$D23,AO$2&lt;=$E23),1,"")))</f>
        <v/>
      </c>
      <c r="AP23" s="55" t="str">
        <f aca="false">IF(OR(AP$2="",$D23=""),"",IF(IF(ISNUMBER($F23),AND(AP$2&gt;=$F23,AP$2&lt;=IF(ISNUMBER($G23),$G23,$F23+$E23-$D23)),FALSE()),2,IF(AND(AP$2&gt;=$D23,AP$2&lt;=$E23),1,"")))</f>
        <v/>
      </c>
      <c r="AQ23" s="55" t="str">
        <f aca="false">IF(OR(AQ$2="",$D23=""),"",IF(IF(ISNUMBER($F23),AND(AQ$2&gt;=$F23,AQ$2&lt;=IF(ISNUMBER($G23),$G23,$F23+$E23-$D23)),FALSE()),2,IF(AND(AQ$2&gt;=$D23,AQ$2&lt;=$E23),1,"")))</f>
        <v/>
      </c>
      <c r="AR23" s="55" t="str">
        <f aca="false">IF(OR(AR$2="",$D23=""),"",IF(IF(ISNUMBER($F23),AND(AR$2&gt;=$F23,AR$2&lt;=IF(ISNUMBER($G23),$G23,$F23+$E23-$D23)),FALSE()),2,IF(AND(AR$2&gt;=$D23,AR$2&lt;=$E23),1,"")))</f>
        <v/>
      </c>
      <c r="AS23" s="55" t="str">
        <f aca="false">IF(OR(AS$2="",$D23=""),"",IF(IF(ISNUMBER($F23),AND(AS$2&gt;=$F23,AS$2&lt;=IF(ISNUMBER($G23),$G23,$F23+$E23-$D23)),FALSE()),2,IF(AND(AS$2&gt;=$D23,AS$2&lt;=$E23),1,"")))</f>
        <v/>
      </c>
      <c r="AT23" s="55" t="str">
        <f aca="false">IF(OR(AT$2="",$D23=""),"",IF(IF(ISNUMBER($F23),AND(AT$2&gt;=$F23,AT$2&lt;=IF(ISNUMBER($G23),$G23,$F23+$E23-$D23)),FALSE()),2,IF(AND(AT$2&gt;=$D23,AT$2&lt;=$E23),1,"")))</f>
        <v/>
      </c>
      <c r="AU23" s="55" t="str">
        <f aca="false">IF(OR(AU$2="",$D23=""),"",IF(IF(ISNUMBER($F23),AND(AU$2&gt;=$F23,AU$2&lt;=IF(ISNUMBER($G23),$G23,$F23+$E23-$D23)),FALSE()),2,IF(AND(AU$2&gt;=$D23,AU$2&lt;=$E23),1,"")))</f>
        <v/>
      </c>
      <c r="AV23" s="55" t="str">
        <f aca="false">IF(OR(AV$2="",$D23=""),"",IF(IF(ISNUMBER($F23),AND(AV$2&gt;=$F23,AV$2&lt;=IF(ISNUMBER($G23),$G23,$F23+$E23-$D23)),FALSE()),2,IF(AND(AV$2&gt;=$D23,AV$2&lt;=$E23),1,"")))</f>
        <v/>
      </c>
      <c r="AW23" s="55" t="str">
        <f aca="false">IF(OR(AW$2="",$D23=""),"",IF(IF(ISNUMBER($F23),AND(AW$2&gt;=$F23,AW$2&lt;=IF(ISNUMBER($G23),$G23,$F23+$E23-$D23)),FALSE()),2,IF(AND(AW$2&gt;=$D23,AW$2&lt;=$E23),1,"")))</f>
        <v/>
      </c>
      <c r="AX23" s="55" t="str">
        <f aca="false">IF(OR(AX$2="",$D23=""),"",IF(IF(ISNUMBER($F23),AND(AX$2&gt;=$F23,AX$2&lt;=IF(ISNUMBER($G23),$G23,$F23+$E23-$D23)),FALSE()),2,IF(AND(AX$2&gt;=$D23,AX$2&lt;=$E23),1,"")))</f>
        <v/>
      </c>
      <c r="AY23" s="55" t="str">
        <f aca="false">IF(OR(AY$2="",$D23=""),"",IF(IF(ISNUMBER($F23),AND(AY$2&gt;=$F23,AY$2&lt;=IF(ISNUMBER($G23),$G23,$F23+$E23-$D23)),FALSE()),2,IF(AND(AY$2&gt;=$D23,AY$2&lt;=$E23),1,"")))</f>
        <v/>
      </c>
      <c r="AZ23" s="55" t="str">
        <f aca="false">IF(OR(AZ$2="",$D23=""),"",IF(IF(ISNUMBER($F23),AND(AZ$2&gt;=$F23,AZ$2&lt;=IF(ISNUMBER($G23),$G23,$F23+$E23-$D23)),FALSE()),2,IF(AND(AZ$2&gt;=$D23,AZ$2&lt;=$E23),1,"")))</f>
        <v/>
      </c>
      <c r="BA23" s="55" t="str">
        <f aca="false">IF(OR(BA$2="",$D23=""),"",IF(IF(ISNUMBER($F23),AND(BA$2&gt;=$F23,BA$2&lt;=IF(ISNUMBER($G23),$G23,$F23+$E23-$D23)),FALSE()),2,IF(AND(BA$2&gt;=$D23,BA$2&lt;=$E23),1,"")))</f>
        <v/>
      </c>
      <c r="BB23" s="55" t="str">
        <f aca="false">IF(OR(BB$2="",$D23=""),"",IF(IF(ISNUMBER($F23),AND(BB$2&gt;=$F23,BB$2&lt;=IF(ISNUMBER($G23),$G23,$F23+$E23-$D23)),FALSE()),2,IF(AND(BB$2&gt;=$D23,BB$2&lt;=$E23),1,"")))</f>
        <v/>
      </c>
      <c r="BC23" s="55" t="str">
        <f aca="false">IF(OR(BC$2="",$D23=""),"",IF(IF(ISNUMBER($F23),AND(BC$2&gt;=$F23,BC$2&lt;=IF(ISNUMBER($G23),$G23,$F23+$E23-$D23)),FALSE()),2,IF(AND(BC$2&gt;=$D23,BC$2&lt;=$E23),1,"")))</f>
        <v/>
      </c>
      <c r="BD23" s="55" t="str">
        <f aca="false">IF(OR(BD$2="",$D23=""),"",IF(IF(ISNUMBER($F23),AND(BD$2&gt;=$F23,BD$2&lt;=IF(ISNUMBER($G23),$G23,$F23+$E23-$D23)),FALSE()),2,IF(AND(BD$2&gt;=$D23,BD$2&lt;=$E23),1,"")))</f>
        <v/>
      </c>
      <c r="BE23" s="55" t="str">
        <f aca="false">IF(OR(BE$2="",$D23=""),"",IF(IF(ISNUMBER($F23),AND(BE$2&gt;=$F23,BE$2&lt;=IF(ISNUMBER($G23),$G23,$F23+$E23-$D23)),FALSE()),2,IF(AND(BE$2&gt;=$D23,BE$2&lt;=$E23),1,"")))</f>
        <v/>
      </c>
      <c r="BF23" s="55" t="str">
        <f aca="false">IF(OR(BF$2="",$D23=""),"",IF(IF(ISNUMBER($F23),AND(BF$2&gt;=$F23,BF$2&lt;=IF(ISNUMBER($G23),$G23,$F23+$E23-$D23)),FALSE()),2,IF(AND(BF$2&gt;=$D23,BF$2&lt;=$E23),1,"")))</f>
        <v/>
      </c>
      <c r="BG23" s="55" t="str">
        <f aca="false">IF(OR(BG$2="",$D23=""),"",IF(IF(ISNUMBER($F23),AND(BG$2&gt;=$F23,BG$2&lt;=IF(ISNUMBER($G23),$G23,$F23+$E23-$D23)),FALSE()),2,IF(AND(BG$2&gt;=$D23,BG$2&lt;=$E23),1,"")))</f>
        <v/>
      </c>
      <c r="BH23" s="55" t="str">
        <f aca="false">IF(OR(BH$2="",$D23=""),"",IF(IF(ISNUMBER($F23),AND(BH$2&gt;=$F23,BH$2&lt;=IF(ISNUMBER($G23),$G23,$F23+$E23-$D23)),FALSE()),2,IF(AND(BH$2&gt;=$D23,BH$2&lt;=$E23),1,"")))</f>
        <v/>
      </c>
      <c r="BI23" s="55" t="str">
        <f aca="false">IF(OR(BI$2="",$D23=""),"",IF(IF(ISNUMBER($F23),AND(BI$2&gt;=$F23,BI$2&lt;=IF(ISNUMBER($G23),$G23,$F23+$E23-$D23)),FALSE()),2,IF(AND(BI$2&gt;=$D23,BI$2&lt;=$E23),1,"")))</f>
        <v/>
      </c>
      <c r="BJ23" s="55" t="str">
        <f aca="false">IF(OR(BJ$2="",$D23=""),"",IF(IF(ISNUMBER($F23),AND(BJ$2&gt;=$F23,BJ$2&lt;=IF(ISNUMBER($G23),$G23,$F23+$E23-$D23)),FALSE()),2,IF(AND(BJ$2&gt;=$D23,BJ$2&lt;=$E23),1,"")))</f>
        <v/>
      </c>
      <c r="BK23" s="55" t="str">
        <f aca="false">IF(OR(BK$2="",$D23=""),"",IF(IF(ISNUMBER($F23),AND(BK$2&gt;=$F23,BK$2&lt;=IF(ISNUMBER($G23),$G23,$F23+$E23-$D23)),FALSE()),2,IF(AND(BK$2&gt;=$D23,BK$2&lt;=$E23),1,"")))</f>
        <v/>
      </c>
      <c r="BL23" s="55" t="str">
        <f aca="false">IF(OR(BL$2="",$D23=""),"",IF(IF(ISNUMBER($F23),AND(BL$2&gt;=$F23,BL$2&lt;=IF(ISNUMBER($G23),$G23,$F23+$E23-$D23)),FALSE()),2,IF(AND(BL$2&gt;=$D23,BL$2&lt;=$E23),1,"")))</f>
        <v/>
      </c>
      <c r="BM23" s="55" t="str">
        <f aca="false">IF(OR(BM$2="",$D23=""),"",IF(IF(ISNUMBER($F23),AND(BM$2&gt;=$F23,BM$2&lt;=IF(ISNUMBER($G23),$G23,$F23+$E23-$D23)),FALSE()),2,IF(AND(BM$2&gt;=$D23,BM$2&lt;=$E23),1,"")))</f>
        <v/>
      </c>
      <c r="BN23" s="55" t="str">
        <f aca="false">IF(OR(BN$2="",$D23=""),"",IF(IF(ISNUMBER($F23),AND(BN$2&gt;=$F23,BN$2&lt;=IF(ISNUMBER($G23),$G23,$F23+$E23-$D23)),FALSE()),2,IF(AND(BN$2&gt;=$D23,BN$2&lt;=$E23),1,"")))</f>
        <v/>
      </c>
      <c r="BO23" s="55" t="str">
        <f aca="false">IF(OR(BO$2="",$D23=""),"",IF(IF(ISNUMBER($F23),AND(BO$2&gt;=$F23,BO$2&lt;=IF(ISNUMBER($G23),$G23,$F23+$E23-$D23)),FALSE()),2,IF(AND(BO$2&gt;=$D23,BO$2&lt;=$E23),1,"")))</f>
        <v/>
      </c>
      <c r="BP23" s="55" t="str">
        <f aca="false">IF(OR(BP$2="",$D23=""),"",IF(IF(ISNUMBER($F23),AND(BP$2&gt;=$F23,BP$2&lt;=IF(ISNUMBER($G23),$G23,$F23+$E23-$D23)),FALSE()),2,IF(AND(BP$2&gt;=$D23,BP$2&lt;=$E23),1,"")))</f>
        <v/>
      </c>
      <c r="BQ23" s="55" t="str">
        <f aca="false">IF(OR(BQ$2="",$D23=""),"",IF(IF(ISNUMBER($F23),AND(BQ$2&gt;=$F23,BQ$2&lt;=IF(ISNUMBER($G23),$G23,$F23+$E23-$D23)),FALSE()),2,IF(AND(BQ$2&gt;=$D23,BQ$2&lt;=$E23),1,"")))</f>
        <v/>
      </c>
      <c r="BR23" s="55" t="str">
        <f aca="false">IF(OR(BR$2="",$D23=""),"",IF(IF(ISNUMBER($F23),AND(BR$2&gt;=$F23,BR$2&lt;=IF(ISNUMBER($G23),$G23,$F23+$E23-$D23)),FALSE()),2,IF(AND(BR$2&gt;=$D23,BR$2&lt;=$E23),1,"")))</f>
        <v/>
      </c>
      <c r="BS23" s="55" t="str">
        <f aca="false">IF(OR(BS$2="",$D23=""),"",IF(IF(ISNUMBER($F23),AND(BS$2&gt;=$F23,BS$2&lt;=IF(ISNUMBER($G23),$G23,$F23+$E23-$D23)),FALSE()),2,IF(AND(BS$2&gt;=$D23,BS$2&lt;=$E23),1,"")))</f>
        <v/>
      </c>
      <c r="BT23" s="55" t="str">
        <f aca="false">IF(OR(BT$2="",$D23=""),"",IF(IF(ISNUMBER($F23),AND(BT$2&gt;=$F23,BT$2&lt;=IF(ISNUMBER($G23),$G23,$F23+$E23-$D23)),FALSE()),2,IF(AND(BT$2&gt;=$D23,BT$2&lt;=$E23),1,"")))</f>
        <v/>
      </c>
      <c r="BU23" s="55" t="str">
        <f aca="false">IF(OR(BU$2="",$D23=""),"",IF(IF(ISNUMBER($F23),AND(BU$2&gt;=$F23,BU$2&lt;=IF(ISNUMBER($G23),$G23,$F23+$E23-$D23)),FALSE()),2,IF(AND(BU$2&gt;=$D23,BU$2&lt;=$E23),1,"")))</f>
        <v/>
      </c>
      <c r="BV23" s="55" t="str">
        <f aca="false">IF(OR(BV$2="",$D23=""),"",IF(IF(ISNUMBER($F23),AND(BV$2&gt;=$F23,BV$2&lt;=IF(ISNUMBER($G23),$G23,$F23+$E23-$D23)),FALSE()),2,IF(AND(BV$2&gt;=$D23,BV$2&lt;=$E23),1,"")))</f>
        <v/>
      </c>
      <c r="BW23" s="55" t="str">
        <f aca="false">IF(OR(BW$2="",$D23=""),"",IF(IF(ISNUMBER($F23),AND(BW$2&gt;=$F23,BW$2&lt;=IF(ISNUMBER($G23),$G23,$F23+$E23-$D23)),FALSE()),2,IF(AND(BW$2&gt;=$D23,BW$2&lt;=$E23),1,"")))</f>
        <v/>
      </c>
      <c r="BX23" s="55" t="str">
        <f aca="false">IF(OR(BX$2="",$D23=""),"",IF(IF(ISNUMBER($F23),AND(BX$2&gt;=$F23,BX$2&lt;=IF(ISNUMBER($G23),$G23,$F23+$E23-$D23)),FALSE()),2,IF(AND(BX$2&gt;=$D23,BX$2&lt;=$E23),1,"")))</f>
        <v/>
      </c>
      <c r="BY23" s="55" t="str">
        <f aca="false">IF(OR(BY$2="",$D23=""),"",IF(IF(ISNUMBER($F23),AND(BY$2&gt;=$F23,BY$2&lt;=IF(ISNUMBER($G23),$G23,$F23+$E23-$D23)),FALSE()),2,IF(AND(BY$2&gt;=$D23,BY$2&lt;=$E23),1,"")))</f>
        <v/>
      </c>
      <c r="BZ23" s="55" t="str">
        <f aca="false">IF(OR(BZ$2="",$D23=""),"",IF(IF(ISNUMBER($F23),AND(BZ$2&gt;=$F23,BZ$2&lt;=IF(ISNUMBER($G23),$G23,$F23+$E23-$D23)),FALSE()),2,IF(AND(BZ$2&gt;=$D23,BZ$2&lt;=$E23),1,"")))</f>
        <v/>
      </c>
      <c r="CA23" s="55" t="str">
        <f aca="false">IF(OR(CA$2="",$D23=""),"",IF(IF(ISNUMBER($F23),AND(CA$2&gt;=$F23,CA$2&lt;=IF(ISNUMBER($G23),$G23,$F23+$E23-$D23)),FALSE()),2,IF(AND(CA$2&gt;=$D23,CA$2&lt;=$E23),1,"")))</f>
        <v/>
      </c>
      <c r="CB23" s="55" t="str">
        <f aca="false">IF(OR(CB$2="",$D23=""),"",IF(IF(ISNUMBER($F23),AND(CB$2&gt;=$F23,CB$2&lt;=IF(ISNUMBER($G23),$G23,$F23+$E23-$D23)),FALSE()),2,IF(AND(CB$2&gt;=$D23,CB$2&lt;=$E23),1,"")))</f>
        <v/>
      </c>
      <c r="CC23" s="55" t="str">
        <f aca="false">IF(OR(CC$2="",$D23=""),"",IF(IF(ISNUMBER($F23),AND(CC$2&gt;=$F23,CC$2&lt;=IF(ISNUMBER($G23),$G23,$F23+$E23-$D23)),FALSE()),2,IF(AND(CC$2&gt;=$D23,CC$2&lt;=$E23),1,"")))</f>
        <v/>
      </c>
      <c r="CD23" s="55" t="str">
        <f aca="false">IF(OR(CD$2="",$D23=""),"",IF(IF(ISNUMBER($F23),AND(CD$2&gt;=$F23,CD$2&lt;=IF(ISNUMBER($G23),$G23,$F23+$E23-$D23)),FALSE()),2,IF(AND(CD$2&gt;=$D23,CD$2&lt;=$E23),1,"")))</f>
        <v/>
      </c>
      <c r="CE23" s="55" t="str">
        <f aca="false">IF(OR(CE$2="",$D23=""),"",IF(IF(ISNUMBER($F23),AND(CE$2&gt;=$F23,CE$2&lt;=IF(ISNUMBER($G23),$G23,$F23+$E23-$D23)),FALSE()),2,IF(AND(CE$2&gt;=$D23,CE$2&lt;=$E23),1,"")))</f>
        <v/>
      </c>
      <c r="CF23" s="55" t="str">
        <f aca="false">IF(OR(CF$2="",$D23=""),"",IF(IF(ISNUMBER($F23),AND(CF$2&gt;=$F23,CF$2&lt;=IF(ISNUMBER($G23),$G23,$F23+$E23-$D23)),FALSE()),2,IF(AND(CF$2&gt;=$D23,CF$2&lt;=$E23),1,"")))</f>
        <v/>
      </c>
      <c r="CG23" s="55" t="str">
        <f aca="false">IF(OR(CG$2="",$D23=""),"",IF(IF(ISNUMBER($F23),AND(CG$2&gt;=$F23,CG$2&lt;=IF(ISNUMBER($G23),$G23,$F23+$E23-$D23)),FALSE()),2,IF(AND(CG$2&gt;=$D23,CG$2&lt;=$E23),1,"")))</f>
        <v/>
      </c>
      <c r="CH23" s="55" t="str">
        <f aca="false">IF(OR(CH$2="",$D23=""),"",IF(IF(ISNUMBER($F23),AND(CH$2&gt;=$F23,CH$2&lt;=IF(ISNUMBER($G23),$G23,$F23+$E23-$D23)),FALSE()),2,IF(AND(CH$2&gt;=$D23,CH$2&lt;=$E23),1,"")))</f>
        <v/>
      </c>
      <c r="CI23" s="55" t="str">
        <f aca="false">IF(OR(CI$2="",$D23=""),"",IF(IF(ISNUMBER($F23),AND(CI$2&gt;=$F23,CI$2&lt;=IF(ISNUMBER($G23),$G23,$F23+$E23-$D23)),FALSE()),2,IF(AND(CI$2&gt;=$D23,CI$2&lt;=$E23),1,"")))</f>
        <v/>
      </c>
      <c r="CJ23" s="55" t="str">
        <f aca="false">IF(OR(CJ$2="",$D23=""),"",IF(IF(ISNUMBER($F23),AND(CJ$2&gt;=$F23,CJ$2&lt;=IF(ISNUMBER($G23),$G23,$F23+$E23-$D23)),FALSE()),2,IF(AND(CJ$2&gt;=$D23,CJ$2&lt;=$E23),1,"")))</f>
        <v/>
      </c>
      <c r="CK23" s="55" t="str">
        <f aca="false">IF(OR(CK$2="",$D23=""),"",IF(IF(ISNUMBER($F23),AND(CK$2&gt;=$F23,CK$2&lt;=IF(ISNUMBER($G23),$G23,$F23+$E23-$D23)),FALSE()),2,IF(AND(CK$2&gt;=$D23,CK$2&lt;=$E23),1,"")))</f>
        <v/>
      </c>
      <c r="CL23" s="55" t="str">
        <f aca="false">IF(OR(CL$2="",$D23=""),"",IF(IF(ISNUMBER($F23),AND(CL$2&gt;=$F23,CL$2&lt;=IF(ISNUMBER($G23),$G23,$F23+$E23-$D23)),FALSE()),2,IF(AND(CL$2&gt;=$D23,CL$2&lt;=$E23),1,"")))</f>
        <v/>
      </c>
      <c r="CM23" s="55" t="str">
        <f aca="false">IF(OR(CM$2="",$D23=""),"",IF(IF(ISNUMBER($F23),AND(CM$2&gt;=$F23,CM$2&lt;=IF(ISNUMBER($G23),$G23,$F23+$E23-$D23)),FALSE()),2,IF(AND(CM$2&gt;=$D23,CM$2&lt;=$E23),1,"")))</f>
        <v/>
      </c>
      <c r="CN23" s="55" t="str">
        <f aca="false">IF(OR(CN$2="",$D23=""),"",IF(IF(ISNUMBER($F23),AND(CN$2&gt;=$F23,CN$2&lt;=IF(ISNUMBER($G23),$G23,$F23+$E23-$D23)),FALSE()),2,IF(AND(CN$2&gt;=$D23,CN$2&lt;=$E23),1,"")))</f>
        <v/>
      </c>
      <c r="CO23" s="55" t="str">
        <f aca="false">IF(OR(CO$2="",$D23=""),"",IF(IF(ISNUMBER($F23),AND(CO$2&gt;=$F23,CO$2&lt;=IF(ISNUMBER($G23),$G23,$F23+$E23-$D23)),FALSE()),2,IF(AND(CO$2&gt;=$D23,CO$2&lt;=$E23),1,"")))</f>
        <v/>
      </c>
      <c r="CP23" s="55" t="str">
        <f aca="false">IF(OR(CP$2="",$D23=""),"",IF(IF(ISNUMBER($F23),AND(CP$2&gt;=$F23,CP$2&lt;=IF(ISNUMBER($G23),$G23,$F23+$E23-$D23)),FALSE()),2,IF(AND(CP$2&gt;=$D23,CP$2&lt;=$E23),1,"")))</f>
        <v/>
      </c>
      <c r="CQ23" s="55" t="str">
        <f aca="false">IF(OR(CQ$2="",$D23=""),"",IF(IF(ISNUMBER($F23),AND(CQ$2&gt;=$F23,CQ$2&lt;=IF(ISNUMBER($G23),$G23,$F23+$E23-$D23)),FALSE()),2,IF(AND(CQ$2&gt;=$D23,CQ$2&lt;=$E23),1,"")))</f>
        <v/>
      </c>
      <c r="CR23" s="55" t="str">
        <f aca="false">IF(OR(CR$2="",$D23=""),"",IF(IF(ISNUMBER($F23),AND(CR$2&gt;=$F23,CR$2&lt;=IF(ISNUMBER($G23),$G23,$F23+$E23-$D23)),FALSE()),2,IF(AND(CR$2&gt;=$D23,CR$2&lt;=$E23),1,"")))</f>
        <v/>
      </c>
      <c r="CS23" s="55" t="str">
        <f aca="false">IF(OR(CS$2="",$D23=""),"",IF(IF(ISNUMBER($F23),AND(CS$2&gt;=$F23,CS$2&lt;=IF(ISNUMBER($G23),$G23,$F23+$E23-$D23)),FALSE()),2,IF(AND(CS$2&gt;=$D23,CS$2&lt;=$E23),1,"")))</f>
        <v/>
      </c>
      <c r="CT23" s="55" t="str">
        <f aca="false">IF(OR(CT$2="",$D23=""),"",IF(IF(ISNUMBER($F23),AND(CT$2&gt;=$F23,CT$2&lt;=IF(ISNUMBER($G23),$G23,$F23+$E23-$D23)),FALSE()),2,IF(AND(CT$2&gt;=$D23,CT$2&lt;=$E23),1,"")))</f>
        <v/>
      </c>
      <c r="CU23" s="55" t="str">
        <f aca="false">IF(OR(CU$2="",$D23=""),"",IF(IF(ISNUMBER($F23),AND(CU$2&gt;=$F23,CU$2&lt;=IF(ISNUMBER($G23),$G23,$F23+$E23-$D23)),FALSE()),2,IF(AND(CU$2&gt;=$D23,CU$2&lt;=$E23),1,"")))</f>
        <v/>
      </c>
      <c r="CV23" s="55" t="str">
        <f aca="false">IF(OR(CV$2="",$D23=""),"",IF(IF(ISNUMBER($F23),AND(CV$2&gt;=$F23,CV$2&lt;=IF(ISNUMBER($G23),$G23,$F23+$E23-$D23)),FALSE()),2,IF(AND(CV$2&gt;=$D23,CV$2&lt;=$E23),1,"")))</f>
        <v/>
      </c>
      <c r="CW23" s="55" t="str">
        <f aca="false">IF(OR(CW$2="",$D23=""),"",IF(IF(ISNUMBER($F23),AND(CW$2&gt;=$F23,CW$2&lt;=IF(ISNUMBER($G23),$G23,$F23+$E23-$D23)),FALSE()),2,IF(AND(CW$2&gt;=$D23,CW$2&lt;=$E23),1,"")))</f>
        <v/>
      </c>
      <c r="CX23" s="55" t="str">
        <f aca="false">IF(OR(CX$2="",$D23=""),"",IF(IF(ISNUMBER($F23),AND(CX$2&gt;=$F23,CX$2&lt;=IF(ISNUMBER($G23),$G23,$F23+$E23-$D23)),FALSE()),2,IF(AND(CX$2&gt;=$D23,CX$2&lt;=$E23),1,"")))</f>
        <v/>
      </c>
      <c r="CY23" s="55" t="str">
        <f aca="false">IF(OR(CY$2="",$D23=""),"",IF(IF(ISNUMBER($F23),AND(CY$2&gt;=$F23,CY$2&lt;=IF(ISNUMBER($G23),$G23,$F23+$E23-$D23)),FALSE()),2,IF(AND(CY$2&gt;=$D23,CY$2&lt;=$E23),1,"")))</f>
        <v/>
      </c>
      <c r="CZ23" s="55" t="str">
        <f aca="false">IF(OR(CZ$2="",$D23=""),"",IF(IF(ISNUMBER($F23),AND(CZ$2&gt;=$F23,CZ$2&lt;=IF(ISNUMBER($G23),$G23,$F23+$E23-$D23)),FALSE()),2,IF(AND(CZ$2&gt;=$D23,CZ$2&lt;=$E23),1,"")))</f>
        <v/>
      </c>
      <c r="DA23" s="55" t="str">
        <f aca="false">IF(OR(DA$2="",$D23=""),"",IF(IF(ISNUMBER($F23),AND(DA$2&gt;=$F23,DA$2&lt;=IF(ISNUMBER($G23),$G23,$F23+$E23-$D23)),FALSE()),2,IF(AND(DA$2&gt;=$D23,DA$2&lt;=$E23),1,"")))</f>
        <v/>
      </c>
      <c r="DB23" s="55" t="str">
        <f aca="false">IF(OR(DB$2="",$D23=""),"",IF(IF(ISNUMBER($F23),AND(DB$2&gt;=$F23,DB$2&lt;=IF(ISNUMBER($G23),$G23,$F23+$E23-$D23)),FALSE()),2,IF(AND(DB$2&gt;=$D23,DB$2&lt;=$E23),1,"")))</f>
        <v/>
      </c>
      <c r="DC23" s="55" t="str">
        <f aca="false">IF(OR(DC$2="",$D23=""),"",IF(IF(ISNUMBER($F23),AND(DC$2&gt;=$F23,DC$2&lt;=IF(ISNUMBER($G23),$G23,$F23+$E23-$D23)),FALSE()),2,IF(AND(DC$2&gt;=$D23,DC$2&lt;=$E23),1,"")))</f>
        <v/>
      </c>
      <c r="DD23" s="55" t="str">
        <f aca="false">IF(OR(DD$2="",$D23=""),"",IF(IF(ISNUMBER($F23),AND(DD$2&gt;=$F23,DD$2&lt;=IF(ISNUMBER($G23),$G23,$F23+$E23-$D23)),FALSE()),2,IF(AND(DD$2&gt;=$D23,DD$2&lt;=$E23),1,"")))</f>
        <v/>
      </c>
      <c r="DE23" s="55" t="str">
        <f aca="false">IF(OR(DE$2="",$D23=""),"",IF(IF(ISNUMBER($F23),AND(DE$2&gt;=$F23,DE$2&lt;=IF(ISNUMBER($G23),$G23,$F23+$E23-$D23)),FALSE()),2,IF(AND(DE$2&gt;=$D23,DE$2&lt;=$E23),1,"")))</f>
        <v/>
      </c>
      <c r="DF23" s="55" t="str">
        <f aca="false">IF(OR(DF$2="",$D23=""),"",IF(IF(ISNUMBER($F23),AND(DF$2&gt;=$F23,DF$2&lt;=IF(ISNUMBER($G23),$G23,$F23+$E23-$D23)),FALSE()),2,IF(AND(DF$2&gt;=$D23,DF$2&lt;=$E23),1,"")))</f>
        <v/>
      </c>
      <c r="DG23" s="55" t="str">
        <f aca="false">IF(OR(DG$2="",$D23=""),"",IF(IF(ISNUMBER($F23),AND(DG$2&gt;=$F23,DG$2&lt;=IF(ISNUMBER($G23),$G23,$F23+$E23-$D23)),FALSE()),2,IF(AND(DG$2&gt;=$D23,DG$2&lt;=$E23),1,"")))</f>
        <v/>
      </c>
      <c r="DH23" s="55" t="str">
        <f aca="false">IF(OR(DH$2="",$D23=""),"",IF(IF(ISNUMBER($F23),AND(DH$2&gt;=$F23,DH$2&lt;=IF(ISNUMBER($G23),$G23,$F23+$E23-$D23)),FALSE()),2,IF(AND(DH$2&gt;=$D23,DH$2&lt;=$E23),1,"")))</f>
        <v/>
      </c>
      <c r="DI23" s="55" t="str">
        <f aca="false">IF(OR(DI$2="",$D23=""),"",IF(IF(ISNUMBER($F23),AND(DI$2&gt;=$F23,DI$2&lt;=IF(ISNUMBER($G23),$G23,$F23+$E23-$D23)),FALSE()),2,IF(AND(DI$2&gt;=$D23,DI$2&lt;=$E23),1,"")))</f>
        <v/>
      </c>
      <c r="DJ23" s="55" t="str">
        <f aca="false">IF(OR(DJ$2="",$D23=""),"",IF(IF(ISNUMBER($F23),AND(DJ$2&gt;=$F23,DJ$2&lt;=IF(ISNUMBER($G23),$G23,$F23+$E23-$D23)),FALSE()),2,IF(AND(DJ$2&gt;=$D23,DJ$2&lt;=$E23),1,"")))</f>
        <v/>
      </c>
      <c r="DK23" s="55" t="str">
        <f aca="false">IF(OR(DK$2="",$D23=""),"",IF(IF(ISNUMBER($F23),AND(DK$2&gt;=$F23,DK$2&lt;=IF(ISNUMBER($G23),$G23,$F23+$E23-$D23)),FALSE()),2,IF(AND(DK$2&gt;=$D23,DK$2&lt;=$E23),1,"")))</f>
        <v/>
      </c>
      <c r="DL23" s="55" t="str">
        <f aca="false">IF(OR(DL$2="",$D23=""),"",IF(IF(ISNUMBER($F23),AND(DL$2&gt;=$F23,DL$2&lt;=IF(ISNUMBER($G23),$G23,$F23+$E23-$D23)),FALSE()),2,IF(AND(DL$2&gt;=$D23,DL$2&lt;=$E23),1,"")))</f>
        <v/>
      </c>
      <c r="DM23" s="55" t="str">
        <f aca="false">IF(OR(DM$2="",$D23=""),"",IF(IF(ISNUMBER($F23),AND(DM$2&gt;=$F23,DM$2&lt;=IF(ISNUMBER($G23),$G23,$F23+$E23-$D23)),FALSE()),2,IF(AND(DM$2&gt;=$D23,DM$2&lt;=$E23),1,"")))</f>
        <v/>
      </c>
      <c r="DN23" s="55" t="str">
        <f aca="false">IF(OR(DN$2="",$D23=""),"",IF(IF(ISNUMBER($F23),AND(DN$2&gt;=$F23,DN$2&lt;=IF(ISNUMBER($G23),$G23,$F23+$E23-$D23)),FALSE()),2,IF(AND(DN$2&gt;=$D23,DN$2&lt;=$E23),1,"")))</f>
        <v/>
      </c>
      <c r="DO23" s="55" t="str">
        <f aca="false">IF(OR(DO$2="",$D23=""),"",IF(IF(ISNUMBER($F23),AND(DO$2&gt;=$F23,DO$2&lt;=IF(ISNUMBER($G23),$G23,$F23+$E23-$D23)),FALSE()),2,IF(AND(DO$2&gt;=$D23,DO$2&lt;=$E23),1,"")))</f>
        <v/>
      </c>
      <c r="DP23" s="55" t="str">
        <f aca="false">IF(OR(DP$2="",$D23=""),"",IF(IF(ISNUMBER($F23),AND(DP$2&gt;=$F23,DP$2&lt;=IF(ISNUMBER($G23),$G23,$F23+$E23-$D23)),FALSE()),2,IF(AND(DP$2&gt;=$D23,DP$2&lt;=$E23),1,"")))</f>
        <v/>
      </c>
      <c r="DQ23" s="55" t="str">
        <f aca="false">IF(OR(DQ$2="",$D23=""),"",IF(IF(ISNUMBER($F23),AND(DQ$2&gt;=$F23,DQ$2&lt;=IF(ISNUMBER($G23),$G23,$F23+$E23-$D23)),FALSE()),2,IF(AND(DQ$2&gt;=$D23,DQ$2&lt;=$E23),1,"")))</f>
        <v/>
      </c>
      <c r="DR23" s="55" t="str">
        <f aca="false">IF(OR(DR$2="",$D23=""),"",IF(IF(ISNUMBER($F23),AND(DR$2&gt;=$F23,DR$2&lt;=IF(ISNUMBER($G23),$G23,$F23+$E23-$D23)),FALSE()),2,IF(AND(DR$2&gt;=$D23,DR$2&lt;=$E23),1,"")))</f>
        <v/>
      </c>
      <c r="DS23" s="55" t="str">
        <f aca="false">IF(OR(DS$2="",$D23=""),"",IF(IF(ISNUMBER($F23),AND(DS$2&gt;=$F23,DS$2&lt;=IF(ISNUMBER($G23),$G23,$F23+$E23-$D23)),FALSE()),2,IF(AND(DS$2&gt;=$D23,DS$2&lt;=$E23),1,"")))</f>
        <v/>
      </c>
      <c r="DT23" s="55" t="str">
        <f aca="false">IF(OR(DT$2="",$D23=""),"",IF(IF(ISNUMBER($F23),AND(DT$2&gt;=$F23,DT$2&lt;=IF(ISNUMBER($G23),$G23,$F23+$E23-$D23)),FALSE()),2,IF(AND(DT$2&gt;=$D23,DT$2&lt;=$E23),1,"")))</f>
        <v/>
      </c>
      <c r="DU23" s="55" t="str">
        <f aca="false">IF(OR(DU$2="",$D23=""),"",IF(IF(ISNUMBER($F23),AND(DU$2&gt;=$F23,DU$2&lt;=IF(ISNUMBER($G23),$G23,$F23+$E23-$D23)),FALSE()),2,IF(AND(DU$2&gt;=$D23,DU$2&lt;=$E23),1,"")))</f>
        <v/>
      </c>
      <c r="DV23" s="55" t="str">
        <f aca="false">IF(OR(DV$2="",$D23=""),"",IF(IF(ISNUMBER($F23),AND(DV$2&gt;=$F23,DV$2&lt;=IF(ISNUMBER($G23),$G23,$F23+$E23-$D23)),FALSE()),2,IF(AND(DV$2&gt;=$D23,DV$2&lt;=$E23),1,"")))</f>
        <v/>
      </c>
      <c r="DW23" s="55" t="str">
        <f aca="false">IF(OR(DW$2="",$D23=""),"",IF(IF(ISNUMBER($F23),AND(DW$2&gt;=$F23,DW$2&lt;=IF(ISNUMBER($G23),$G23,$F23+$E23-$D23)),FALSE()),2,IF(AND(DW$2&gt;=$D23,DW$2&lt;=$E23),1,"")))</f>
        <v/>
      </c>
      <c r="DX23" s="55" t="str">
        <f aca="false">IF(OR(DX$2="",$D23=""),"",IF(IF(ISNUMBER($F23),AND(DX$2&gt;=$F23,DX$2&lt;=IF(ISNUMBER($G23),$G23,$F23+$E23-$D23)),FALSE()),2,IF(AND(DX$2&gt;=$D23,DX$2&lt;=$E23),1,"")))</f>
        <v/>
      </c>
      <c r="DY23" s="55" t="str">
        <f aca="false">IF(OR(DY$2="",$D23=""),"",IF(IF(ISNUMBER($F23),AND(DY$2&gt;=$F23,DY$2&lt;=IF(ISNUMBER($G23),$G23,$F23+$E23-$D23)),FALSE()),2,IF(AND(DY$2&gt;=$D23,DY$2&lt;=$E23),1,"")))</f>
        <v/>
      </c>
      <c r="DZ23" s="55" t="str">
        <f aca="false">IF(OR(DZ$2="",$D23=""),"",IF(IF(ISNUMBER($F23),AND(DZ$2&gt;=$F23,DZ$2&lt;=IF(ISNUMBER($G23),$G23,$F23+$E23-$D23)),FALSE()),2,IF(AND(DZ$2&gt;=$D23,DZ$2&lt;=$E23),1,"")))</f>
        <v/>
      </c>
      <c r="EA23" s="55" t="str">
        <f aca="false">IF(OR(EA$2="",$D23=""),"",IF(IF(ISNUMBER($F23),AND(EA$2&gt;=$F23,EA$2&lt;=IF(ISNUMBER($G23),$G23,$F23+$E23-$D23)),FALSE()),2,IF(AND(EA$2&gt;=$D23,EA$2&lt;=$E23),1,"")))</f>
        <v/>
      </c>
      <c r="EB23" s="55" t="str">
        <f aca="false">IF(OR(EB$2="",$D23=""),"",IF(IF(ISNUMBER($F23),AND(EB$2&gt;=$F23,EB$2&lt;=IF(ISNUMBER($G23),$G23,$F23+$E23-$D23)),FALSE()),2,IF(AND(EB$2&gt;=$D23,EB$2&lt;=$E23),1,"")))</f>
        <v/>
      </c>
      <c r="EC23" s="55" t="str">
        <f aca="false">IF(OR(EC$2="",$D23=""),"",IF(IF(ISNUMBER($F23),AND(EC$2&gt;=$F23,EC$2&lt;=IF(ISNUMBER($G23),$G23,$F23+$E23-$D23)),FALSE()),2,IF(AND(EC$2&gt;=$D23,EC$2&lt;=$E23),1,"")))</f>
        <v/>
      </c>
      <c r="ED23" s="55" t="str">
        <f aca="false">IF(OR(ED$2="",$D23=""),"",IF(IF(ISNUMBER($F23),AND(ED$2&gt;=$F23,ED$2&lt;=IF(ISNUMBER($G23),$G23,$F23+$E23-$D23)),FALSE()),2,IF(AND(ED$2&gt;=$D23,ED$2&lt;=$E23),1,"")))</f>
        <v/>
      </c>
      <c r="EE23" s="55" t="str">
        <f aca="false">IF(OR(EE$2="",$D23=""),"",IF(IF(ISNUMBER($F23),AND(EE$2&gt;=$F23,EE$2&lt;=IF(ISNUMBER($G23),$G23,$F23+$E23-$D23)),FALSE()),2,IF(AND(EE$2&gt;=$D23,EE$2&lt;=$E23),1,"")))</f>
        <v/>
      </c>
      <c r="EF23" s="55" t="str">
        <f aca="false">IF(OR(EF$2="",$D23=""),"",IF(IF(ISNUMBER($F23),AND(EF$2&gt;=$F23,EF$2&lt;=IF(ISNUMBER($G23),$G23,$F23+$E23-$D23)),FALSE()),2,IF(AND(EF$2&gt;=$D23,EF$2&lt;=$E23),1,"")))</f>
        <v/>
      </c>
      <c r="EG23" s="55" t="str">
        <f aca="false">IF(OR(EG$2="",$D23=""),"",IF(IF(ISNUMBER($F23),AND(EG$2&gt;=$F23,EG$2&lt;=IF(ISNUMBER($G23),$G23,$F23+$E23-$D23)),FALSE()),2,IF(AND(EG$2&gt;=$D23,EG$2&lt;=$E23),1,"")))</f>
        <v/>
      </c>
      <c r="EH23" s="55" t="str">
        <f aca="false">IF(OR(EH$2="",$D23=""),"",IF(IF(ISNUMBER($F23),AND(EH$2&gt;=$F23,EH$2&lt;=IF(ISNUMBER($G23),$G23,$F23+$E23-$D23)),FALSE()),2,IF(AND(EH$2&gt;=$D23,EH$2&lt;=$E23),1,"")))</f>
        <v/>
      </c>
      <c r="EI23" s="55" t="str">
        <f aca="false">IF(OR(EI$2="",$D23=""),"",IF(IF(ISNUMBER($F23),AND(EI$2&gt;=$F23,EI$2&lt;=IF(ISNUMBER($G23),$G23,$F23+$E23-$D23)),FALSE()),2,IF(AND(EI$2&gt;=$D23,EI$2&lt;=$E23),1,"")))</f>
        <v/>
      </c>
      <c r="EJ23" s="55" t="str">
        <f aca="false">IF(OR(EJ$2="",$D23=""),"",IF(IF(ISNUMBER($F23),AND(EJ$2&gt;=$F23,EJ$2&lt;=IF(ISNUMBER($G23),$G23,$F23+$E23-$D23)),FALSE()),2,IF(AND(EJ$2&gt;=$D23,EJ$2&lt;=$E23),1,"")))</f>
        <v/>
      </c>
      <c r="EK23" s="55" t="str">
        <f aca="false">IF(OR(EK$2="",$D23=""),"",IF(IF(ISNUMBER($F23),AND(EK$2&gt;=$F23,EK$2&lt;=IF(ISNUMBER($G23),$G23,$F23+$E23-$D23)),FALSE()),2,IF(AND(EK$2&gt;=$D23,EK$2&lt;=$E23),1,"")))</f>
        <v/>
      </c>
      <c r="EL23" s="55" t="str">
        <f aca="false">IF(OR(EL$2="",$D23=""),"",IF(IF(ISNUMBER($F23),AND(EL$2&gt;=$F23,EL$2&lt;=IF(ISNUMBER($G23),$G23,$F23+$E23-$D23)),FALSE()),2,IF(AND(EL$2&gt;=$D23,EL$2&lt;=$E23),1,"")))</f>
        <v/>
      </c>
      <c r="EM23" s="55" t="str">
        <f aca="false">IF(OR(EM$2="",$D23=""),"",IF(IF(ISNUMBER($F23),AND(EM$2&gt;=$F23,EM$2&lt;=IF(ISNUMBER($G23),$G23,$F23+$E23-$D23)),FALSE()),2,IF(AND(EM$2&gt;=$D23,EM$2&lt;=$E23),1,"")))</f>
        <v/>
      </c>
      <c r="EN23" s="55" t="str">
        <f aca="false">IF(OR(EN$2="",$D23=""),"",IF(IF(ISNUMBER($F23),AND(EN$2&gt;=$F23,EN$2&lt;=IF(ISNUMBER($G23),$G23,$F23+$E23-$D23)),FALSE()),2,IF(AND(EN$2&gt;=$D23,EN$2&lt;=$E23),1,"")))</f>
        <v/>
      </c>
      <c r="EO23" s="55" t="str">
        <f aca="false">IF(OR(EO$2="",$D23=""),"",IF(IF(ISNUMBER($F23),AND(EO$2&gt;=$F23,EO$2&lt;=IF(ISNUMBER($G23),$G23,$F23+$E23-$D23)),FALSE()),2,IF(AND(EO$2&gt;=$D23,EO$2&lt;=$E23),1,"")))</f>
        <v/>
      </c>
      <c r="EP23" s="55" t="str">
        <f aca="false">IF(OR(EP$2="",$D23=""),"",IF(IF(ISNUMBER($F23),AND(EP$2&gt;=$F23,EP$2&lt;=IF(ISNUMBER($G23),$G23,$F23+$E23-$D23)),FALSE()),2,IF(AND(EP$2&gt;=$D23,EP$2&lt;=$E23),1,"")))</f>
        <v/>
      </c>
      <c r="EQ23" s="55" t="str">
        <f aca="false">IF(OR(EQ$2="",$D23=""),"",IF(IF(ISNUMBER($F23),AND(EQ$2&gt;=$F23,EQ$2&lt;=IF(ISNUMBER($G23),$G23,$F23+$E23-$D23)),FALSE()),2,IF(AND(EQ$2&gt;=$D23,EQ$2&lt;=$E23),1,"")))</f>
        <v/>
      </c>
      <c r="ER23" s="55" t="str">
        <f aca="false">IF(OR(ER$2="",$D23=""),"",IF(IF(ISNUMBER($F23),AND(ER$2&gt;=$F23,ER$2&lt;=IF(ISNUMBER($G23),$G23,$F23+$E23-$D23)),FALSE()),2,IF(AND(ER$2&gt;=$D23,ER$2&lt;=$E23),1,"")))</f>
        <v/>
      </c>
      <c r="ES23" s="55" t="str">
        <f aca="false">IF(OR(ES$2="",$D23=""),"",IF(IF(ISNUMBER($F23),AND(ES$2&gt;=$F23,ES$2&lt;=IF(ISNUMBER($G23),$G23,$F23+$E23-$D23)),FALSE()),2,IF(AND(ES$2&gt;=$D23,ES$2&lt;=$E23),1,"")))</f>
        <v/>
      </c>
      <c r="ET23" s="55" t="str">
        <f aca="false">IF(OR(ET$2="",$D23=""),"",IF(IF(ISNUMBER($F23),AND(ET$2&gt;=$F23,ET$2&lt;=IF(ISNUMBER($G23),$G23,$F23+$E23-$D23)),FALSE()),2,IF(AND(ET$2&gt;=$D23,ET$2&lt;=$E23),1,"")))</f>
        <v/>
      </c>
      <c r="EU23" s="55" t="str">
        <f aca="false">IF(OR(EU$2="",$D23=""),"",IF(IF(ISNUMBER($F23),AND(EU$2&gt;=$F23,EU$2&lt;=IF(ISNUMBER($G23),$G23,$F23+$E23-$D23)),FALSE()),2,IF(AND(EU$2&gt;=$D23,EU$2&lt;=$E23),1,"")))</f>
        <v/>
      </c>
      <c r="EV23" s="55" t="str">
        <f aca="false">IF(OR(EV$2="",$D23=""),"",IF(IF(ISNUMBER($F23),AND(EV$2&gt;=$F23,EV$2&lt;=IF(ISNUMBER($G23),$G23,$F23+$E23-$D23)),FALSE()),2,IF(AND(EV$2&gt;=$D23,EV$2&lt;=$E23),1,"")))</f>
        <v/>
      </c>
      <c r="EW23" s="55" t="str">
        <f aca="false">IF(OR(EW$2="",$D23=""),"",IF(IF(ISNUMBER($F23),AND(EW$2&gt;=$F23,EW$2&lt;=IF(ISNUMBER($G23),$G23,$F23+$E23-$D23)),FALSE()),2,IF(AND(EW$2&gt;=$D23,EW$2&lt;=$E23),1,"")))</f>
        <v/>
      </c>
      <c r="EX23" s="55" t="str">
        <f aca="false">IF(OR(EX$2="",$D23=""),"",IF(IF(ISNUMBER($F23),AND(EX$2&gt;=$F23,EX$2&lt;=IF(ISNUMBER($G23),$G23,$F23+$E23-$D23)),FALSE()),2,IF(AND(EX$2&gt;=$D23,EX$2&lt;=$E23),1,"")))</f>
        <v/>
      </c>
      <c r="EY23" s="55" t="str">
        <f aca="false">IF(OR(EY$2="",$D23=""),"",IF(IF(ISNUMBER($F23),AND(EY$2&gt;=$F23,EY$2&lt;=IF(ISNUMBER($G23),$G23,$F23+$E23-$D23)),FALSE()),2,IF(AND(EY$2&gt;=$D23,EY$2&lt;=$E23),1,"")))</f>
        <v/>
      </c>
      <c r="EZ23" s="55" t="str">
        <f aca="false">IF(OR(EZ$2="",$D23=""),"",IF(IF(ISNUMBER($F23),AND(EZ$2&gt;=$F23,EZ$2&lt;=IF(ISNUMBER($G23),$G23,$F23+$E23-$D23)),FALSE()),2,IF(AND(EZ$2&gt;=$D23,EZ$2&lt;=$E23),1,"")))</f>
        <v/>
      </c>
      <c r="FA23" s="55" t="str">
        <f aca="false">IF(OR(FA$2="",$D23=""),"",IF(IF(ISNUMBER($F23),AND(FA$2&gt;=$F23,FA$2&lt;=IF(ISNUMBER($G23),$G23,$F23+$E23-$D23)),FALSE()),2,IF(AND(FA$2&gt;=$D23,FA$2&lt;=$E23),1,"")))</f>
        <v/>
      </c>
      <c r="FB23" s="55" t="str">
        <f aca="false">IF(OR(FB$2="",$D23=""),"",IF(IF(ISNUMBER($F23),AND(FB$2&gt;=$F23,FB$2&lt;=IF(ISNUMBER($G23),$G23,$F23+$E23-$D23)),FALSE()),2,IF(AND(FB$2&gt;=$D23,FB$2&lt;=$E23),1,"")))</f>
        <v/>
      </c>
      <c r="FC23" s="55" t="str">
        <f aca="false">IF(OR(FC$2="",$D23=""),"",IF(IF(ISNUMBER($F23),AND(FC$2&gt;=$F23,FC$2&lt;=IF(ISNUMBER($G23),$G23,$F23+$E23-$D23)),FALSE()),2,IF(AND(FC$2&gt;=$D23,FC$2&lt;=$E23),1,"")))</f>
        <v/>
      </c>
      <c r="FD23" s="55" t="str">
        <f aca="false">IF(OR(FD$2="",$D23=""),"",IF(IF(ISNUMBER($F23),AND(FD$2&gt;=$F23,FD$2&lt;=IF(ISNUMBER($G23),$G23,$F23+$E23-$D23)),FALSE()),2,IF(AND(FD$2&gt;=$D23,FD$2&lt;=$E23),1,"")))</f>
        <v/>
      </c>
      <c r="FE23" s="55" t="str">
        <f aca="false">IF(OR(FE$2="",$D23=""),"",IF(IF(ISNUMBER($F23),AND(FE$2&gt;=$F23,FE$2&lt;=IF(ISNUMBER($G23),$G23,$F23+$E23-$D23)),FALSE()),2,IF(AND(FE$2&gt;=$D23,FE$2&lt;=$E23),1,"")))</f>
        <v/>
      </c>
      <c r="FF23" s="55" t="n">
        <f aca="false">IF(OR(FF$2="",$D23=""),"",IF(IF(ISNUMBER($F23),AND(FF$2&gt;=$F23,FF$2&lt;=IF(ISNUMBER($G23),$G23,$F23+$E23-$D23)),FALSE()),2,IF(AND(FF$2&gt;=$D23,FF$2&lt;=$E23),1,"")))</f>
        <v>1</v>
      </c>
      <c r="FG23" s="55" t="n">
        <f aca="false">IF(OR(FG$2="",$D23=""),"",IF(IF(ISNUMBER($F23),AND(FG$2&gt;=$F23,FG$2&lt;=IF(ISNUMBER($G23),$G23,$F23+$E23-$D23)),FALSE()),2,IF(AND(FG$2&gt;=$D23,FG$2&lt;=$E23),1,"")))</f>
        <v>2</v>
      </c>
      <c r="FH23" s="55" t="str">
        <f aca="false">IF(OR(FH$2="",$D23=""),"",IF(IF(ISNUMBER($F23),AND(FH$2&gt;=$F23,FH$2&lt;=IF(ISNUMBER($G23),$G23,$F23+$E23-$D23)),FALSE()),2,IF(AND(FH$2&gt;=$D23,FH$2&lt;=$E23),1,"")))</f>
        <v/>
      </c>
      <c r="FI23" s="55" t="str">
        <f aca="false">IF(OR(FI$2="",$D23=""),"",IF(IF(ISNUMBER($F23),AND(FI$2&gt;=$F23,FI$2&lt;=IF(ISNUMBER($G23),$G23,$F23+$E23-$D23)),FALSE()),2,IF(AND(FI$2&gt;=$D23,FI$2&lt;=$E23),1,"")))</f>
        <v/>
      </c>
      <c r="FJ23" s="55" t="str">
        <f aca="false">IF(OR(FJ$2="",$D23=""),"",IF(IF(ISNUMBER($F23),AND(FJ$2&gt;=$F23,FJ$2&lt;=IF(ISNUMBER($G23),$G23,$F23+$E23-$D23)),FALSE()),2,IF(AND(FJ$2&gt;=$D23,FJ$2&lt;=$E23),1,"")))</f>
        <v/>
      </c>
      <c r="FK23" s="55" t="str">
        <f aca="false">IF(OR(FK$2="",$D23=""),"",IF(IF(ISNUMBER($F23),AND(FK$2&gt;=$F23,FK$2&lt;=IF(ISNUMBER($G23),$G23,$F23+$E23-$D23)),FALSE()),2,IF(AND(FK$2&gt;=$D23,FK$2&lt;=$E23),1,"")))</f>
        <v/>
      </c>
      <c r="FL23" s="55" t="str">
        <f aca="false">IF(OR(FL$2="",$D23=""),"",IF(IF(ISNUMBER($F23),AND(FL$2&gt;=$F23,FL$2&lt;=IF(ISNUMBER($G23),$G23,$F23+$E23-$D23)),FALSE()),2,IF(AND(FL$2&gt;=$D23,FL$2&lt;=$E23),1,"")))</f>
        <v/>
      </c>
      <c r="FM23" s="55" t="str">
        <f aca="false">IF(OR(FM$2="",$D23=""),"",IF(IF(ISNUMBER($F23),AND(FM$2&gt;=$F23,FM$2&lt;=IF(ISNUMBER($G23),$G23,$F23+$E23-$D23)),FALSE()),2,IF(AND(FM$2&gt;=$D23,FM$2&lt;=$E23),1,"")))</f>
        <v/>
      </c>
      <c r="FN23" s="55" t="str">
        <f aca="false">IF(OR(FN$2="",$D23=""),"",IF(IF(ISNUMBER($F23),AND(FN$2&gt;=$F23,FN$2&lt;=IF(ISNUMBER($G23),$G23,$F23+$E23-$D23)),FALSE()),2,IF(AND(FN$2&gt;=$D23,FN$2&lt;=$E23),1,"")))</f>
        <v/>
      </c>
      <c r="FO23" s="55" t="str">
        <f aca="false">IF(OR(FO$2="",$D23=""),"",IF(IF(ISNUMBER($F23),AND(FO$2&gt;=$F23,FO$2&lt;=IF(ISNUMBER($G23),$G23,$F23+$E23-$D23)),FALSE()),2,IF(AND(FO$2&gt;=$D23,FO$2&lt;=$E23),1,"")))</f>
        <v/>
      </c>
      <c r="FP23" s="55" t="str">
        <f aca="false">IF(OR(FP$2="",$D23=""),"",IF(IF(ISNUMBER($F23),AND(FP$2&gt;=$F23,FP$2&lt;=IF(ISNUMBER($G23),$G23,$F23+$E23-$D23)),FALSE()),2,IF(AND(FP$2&gt;=$D23,FP$2&lt;=$E23),1,"")))</f>
        <v/>
      </c>
      <c r="FQ23" s="55" t="str">
        <f aca="false">IF(OR(FQ$2="",$D23=""),"",IF(IF(ISNUMBER($F23),AND(FQ$2&gt;=$F23,FQ$2&lt;=IF(ISNUMBER($G23),$G23,$F23+$E23-$D23)),FALSE()),2,IF(AND(FQ$2&gt;=$D23,FQ$2&lt;=$E23),1,"")))</f>
        <v/>
      </c>
      <c r="FR23" s="55" t="str">
        <f aca="false">IF(OR(FR$2="",$D23=""),"",IF(IF(ISNUMBER($F23),AND(FR$2&gt;=$F23,FR$2&lt;=IF(ISNUMBER($G23),$G23,$F23+$E23-$D23)),FALSE()),2,IF(AND(FR$2&gt;=$D23,FR$2&lt;=$E23),1,"")))</f>
        <v/>
      </c>
      <c r="FS23" s="55" t="str">
        <f aca="false">IF(OR(FS$2="",$D23=""),"",IF(IF(ISNUMBER($F23),AND(FS$2&gt;=$F23,FS$2&lt;=IF(ISNUMBER($G23),$G23,$F23+$E23-$D23)),FALSE()),2,IF(AND(FS$2&gt;=$D23,FS$2&lt;=$E23),1,"")))</f>
        <v/>
      </c>
      <c r="FT23" s="55" t="str">
        <f aca="false">IF(OR(FT$2="",$D23=""),"",IF(IF(ISNUMBER($F23),AND(FT$2&gt;=$F23,FT$2&lt;=IF(ISNUMBER($G23),$G23,$F23+$E23-$D23)),FALSE()),2,IF(AND(FT$2&gt;=$D23,FT$2&lt;=$E23),1,"")))</f>
        <v/>
      </c>
      <c r="FU23" s="55" t="str">
        <f aca="false">IF(OR(FU$2="",$D23=""),"",IF(IF(ISNUMBER($F23),AND(FU$2&gt;=$F23,FU$2&lt;=IF(ISNUMBER($G23),$G23,$F23+$E23-$D23)),FALSE()),2,IF(AND(FU$2&gt;=$D23,FU$2&lt;=$E23),1,"")))</f>
        <v/>
      </c>
      <c r="FV23" s="55" t="str">
        <f aca="false">IF(OR(FV$2="",$D23=""),"",IF(IF(ISNUMBER($F23),AND(FV$2&gt;=$F23,FV$2&lt;=IF(ISNUMBER($G23),$G23,$F23+$E23-$D23)),FALSE()),2,IF(AND(FV$2&gt;=$D23,FV$2&lt;=$E23),1,"")))</f>
        <v/>
      </c>
      <c r="FW23" s="55" t="str">
        <f aca="false">IF(OR(FW$2="",$D23=""),"",IF(IF(ISNUMBER($F23),AND(FW$2&gt;=$F23,FW$2&lt;=IF(ISNUMBER($G23),$G23,$F23+$E23-$D23)),FALSE()),2,IF(AND(FW$2&gt;=$D23,FW$2&lt;=$E23),1,"")))</f>
        <v/>
      </c>
      <c r="FX23" s="55" t="str">
        <f aca="false">IF(OR(FX$2="",$D23=""),"",IF(IF(ISNUMBER($F23),AND(FX$2&gt;=$F23,FX$2&lt;=IF(ISNUMBER($G23),$G23,$F23+$E23-$D23)),FALSE()),2,IF(AND(FX$2&gt;=$D23,FX$2&lt;=$E23),1,"")))</f>
        <v/>
      </c>
      <c r="FY23" s="55" t="str">
        <f aca="false">IF(OR(FY$2="",$D23=""),"",IF(IF(ISNUMBER($F23),AND(FY$2&gt;=$F23,FY$2&lt;=IF(ISNUMBER($G23),$G23,$F23+$E23-$D23)),FALSE()),2,IF(AND(FY$2&gt;=$D23,FY$2&lt;=$E23),1,"")))</f>
        <v/>
      </c>
      <c r="FZ23" s="55" t="str">
        <f aca="false">IF(OR(FZ$2="",$D23=""),"",IF(IF(ISNUMBER($F23),AND(FZ$2&gt;=$F23,FZ$2&lt;=IF(ISNUMBER($G23),$G23,$F23+$E23-$D23)),FALSE()),2,IF(AND(FZ$2&gt;=$D23,FZ$2&lt;=$E23),1,"")))</f>
        <v/>
      </c>
      <c r="GA23" s="55" t="str">
        <f aca="false">IF(OR(GA$2="",$D23=""),"",IF(IF(ISNUMBER($F23),AND(GA$2&gt;=$F23,GA$2&lt;=IF(ISNUMBER($G23),$G23,$F23+$E23-$D23)),FALSE()),2,IF(AND(GA$2&gt;=$D23,GA$2&lt;=$E23),1,"")))</f>
        <v/>
      </c>
      <c r="GB23" s="55" t="str">
        <f aca="false">IF(OR(GB$2="",$D23=""),"",IF(IF(ISNUMBER($F23),AND(GB$2&gt;=$F23,GB$2&lt;=IF(ISNUMBER($G23),$G23,$F23+$E23-$D23)),FALSE()),2,IF(AND(GB$2&gt;=$D23,GB$2&lt;=$E23),1,"")))</f>
        <v/>
      </c>
      <c r="GC23" s="55" t="str">
        <f aca="false">IF(OR(GC$2="",$D23=""),"",IF(IF(ISNUMBER($F23),AND(GC$2&gt;=$F23,GC$2&lt;=IF(ISNUMBER($G23),$G23,$F23+$E23-$D23)),FALSE()),2,IF(AND(GC$2&gt;=$D23,GC$2&lt;=$E23),1,"")))</f>
        <v/>
      </c>
      <c r="GD23" s="55" t="str">
        <f aca="false">IF(OR(GD$2="",$D23=""),"",IF(IF(ISNUMBER($F23),AND(GD$2&gt;=$F23,GD$2&lt;=IF(ISNUMBER($G23),$G23,$F23+$E23-$D23)),FALSE()),2,IF(AND(GD$2&gt;=$D23,GD$2&lt;=$E23),1,"")))</f>
        <v/>
      </c>
      <c r="GE23" s="55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false" outlineLevel="0" collapsed="false">
      <c r="A24" s="54" t="s">
        <v>394</v>
      </c>
      <c r="B24" s="21" t="s">
        <v>395</v>
      </c>
      <c r="C24" s="21" t="s">
        <v>83</v>
      </c>
      <c r="D24" s="51" t="n">
        <f aca="false">IF(Day_0="","",Day_0+cfg_6-cfg_8+cfg_13*6+1)</f>
        <v>46136</v>
      </c>
      <c r="E24" s="51" t="n">
        <f aca="false">IF(D24="","",D24)</f>
        <v>46136</v>
      </c>
      <c r="F24" s="51" t="str">
        <f aca="false">IF(_xlfn.MINIFS(2_Daily_input!$D$1:$FQ$1,2_Daily_input!$D$71:$FQ$71,"Last irrigation")+_xlfn.MINIFS(2_Daily_input!$D$1:$FQ$1,2_Daily_input!$D$72:$FQ$72,"Last irrigation")=0,"",IF(_xlfn.MINIFS(2_Daily_input!$D$1:$FQ$1,2_Daily_input!$D$71:$FQ$71,"Last irrigation")=0,_xlfn.MINIFS(2_Daily_input!$D$1:$FQ$1,2_Daily_input!$D$72:$FQ$72,"Last irrigation"),IF(_xlfn.MINIFS(2_Daily_input!$D$1:$FQ$1,2_Daily_input!$D$72:$FQ$72,"Last irrigation")=0,_xlfn.MINIFS(2_Daily_input!$D$1:$FQ$1,2_Daily_input!$D$71:$FQ$71,"Last irrigation"),MIN(_xlfn.MINIFS(2_Daily_input!$D$1:$FQ$1,2_Daily_input!$D$71:$FQ$71,"Last irrigation"),_xlfn.MINIFS(2_Daily_input!$D$1:$FQ$1,2_Daily_input!$D$72:$FQ$72,"Last irrigation")))))</f>
        <v/>
      </c>
      <c r="G24" s="51" t="str">
        <f aca="false">""</f>
        <v/>
      </c>
      <c r="H24" s="50" t="str">
        <f aca="true">IF(D24="","no plan",IF(F24&lt;&gt;"",IF(F24-D24&gt;=2,"LATE","OK"),IF(TODAY()&gt;D24+2,"OVERDUE","upcoming")))</f>
        <v>OVERDUE</v>
      </c>
      <c r="I24" s="50" t="str">
        <f aca="false">IF(AND(D24&lt;&gt;"",F24&lt;&gt;""),F24-D24,"")</f>
        <v/>
      </c>
      <c r="J24" s="51" t="n">
        <f aca="false">IF(F24&lt;&gt;"",F24,D24)</f>
        <v>46136</v>
      </c>
      <c r="K24" s="51" t="n">
        <f aca="false">IF(G24&lt;&gt;"",G24,IF(AND(F24&lt;&gt;"",E24=D24),F24,E24))</f>
        <v>46136</v>
      </c>
      <c r="L24" s="50" t="str">
        <f aca="true">IF(AND(D24&lt;&gt;"",F24="",D24&gt;=TODAY()),D24+ROW()/1000,"")</f>
        <v/>
      </c>
      <c r="M24" s="55" t="str">
        <f aca="false">IF(OR(M$2="",$D24=""),"",IF(IF(ISNUMBER($F24),AND(M$2&gt;=$F24,M$2&lt;=IF(ISNUMBER($G24),$G24,$F24+$E24-$D24)),FALSE()),2,IF(AND(M$2&gt;=$D24,M$2&lt;=$E24),1,"")))</f>
        <v/>
      </c>
      <c r="N24" s="55" t="str">
        <f aca="false">IF(OR(N$2="",$D24=""),"",IF(IF(ISNUMBER($F24),AND(N$2&gt;=$F24,N$2&lt;=IF(ISNUMBER($G24),$G24,$F24+$E24-$D24)),FALSE()),2,IF(AND(N$2&gt;=$D24,N$2&lt;=$E24),1,"")))</f>
        <v/>
      </c>
      <c r="O24" s="55" t="str">
        <f aca="false">IF(OR(O$2="",$D24=""),"",IF(IF(ISNUMBER($F24),AND(O$2&gt;=$F24,O$2&lt;=IF(ISNUMBER($G24),$G24,$F24+$E24-$D24)),FALSE()),2,IF(AND(O$2&gt;=$D24,O$2&lt;=$E24),1,"")))</f>
        <v/>
      </c>
      <c r="P24" s="55" t="str">
        <f aca="false">IF(OR(P$2="",$D24=""),"",IF(IF(ISNUMBER($F24),AND(P$2&gt;=$F24,P$2&lt;=IF(ISNUMBER($G24),$G24,$F24+$E24-$D24)),FALSE()),2,IF(AND(P$2&gt;=$D24,P$2&lt;=$E24),1,"")))</f>
        <v/>
      </c>
      <c r="Q24" s="55" t="str">
        <f aca="false">IF(OR(Q$2="",$D24=""),"",IF(IF(ISNUMBER($F24),AND(Q$2&gt;=$F24,Q$2&lt;=IF(ISNUMBER($G24),$G24,$F24+$E24-$D24)),FALSE()),2,IF(AND(Q$2&gt;=$D24,Q$2&lt;=$E24),1,"")))</f>
        <v/>
      </c>
      <c r="R24" s="55" t="str">
        <f aca="false">IF(OR(R$2="",$D24=""),"",IF(IF(ISNUMBER($F24),AND(R$2&gt;=$F24,R$2&lt;=IF(ISNUMBER($G24),$G24,$F24+$E24-$D24)),FALSE()),2,IF(AND(R$2&gt;=$D24,R$2&lt;=$E24),1,"")))</f>
        <v/>
      </c>
      <c r="S24" s="55" t="str">
        <f aca="false">IF(OR(S$2="",$D24=""),"",IF(IF(ISNUMBER($F24),AND(S$2&gt;=$F24,S$2&lt;=IF(ISNUMBER($G24),$G24,$F24+$E24-$D24)),FALSE()),2,IF(AND(S$2&gt;=$D24,S$2&lt;=$E24),1,"")))</f>
        <v/>
      </c>
      <c r="T24" s="55" t="str">
        <f aca="false">IF(OR(T$2="",$D24=""),"",IF(IF(ISNUMBER($F24),AND(T$2&gt;=$F24,T$2&lt;=IF(ISNUMBER($G24),$G24,$F24+$E24-$D24)),FALSE()),2,IF(AND(T$2&gt;=$D24,T$2&lt;=$E24),1,"")))</f>
        <v/>
      </c>
      <c r="U24" s="55" t="str">
        <f aca="false">IF(OR(U$2="",$D24=""),"",IF(IF(ISNUMBER($F24),AND(U$2&gt;=$F24,U$2&lt;=IF(ISNUMBER($G24),$G24,$F24+$E24-$D24)),FALSE()),2,IF(AND(U$2&gt;=$D24,U$2&lt;=$E24),1,"")))</f>
        <v/>
      </c>
      <c r="V24" s="55" t="str">
        <f aca="false">IF(OR(V$2="",$D24=""),"",IF(IF(ISNUMBER($F24),AND(V$2&gt;=$F24,V$2&lt;=IF(ISNUMBER($G24),$G24,$F24+$E24-$D24)),FALSE()),2,IF(AND(V$2&gt;=$D24,V$2&lt;=$E24),1,"")))</f>
        <v/>
      </c>
      <c r="W24" s="55" t="str">
        <f aca="false">IF(OR(W$2="",$D24=""),"",IF(IF(ISNUMBER($F24),AND(W$2&gt;=$F24,W$2&lt;=IF(ISNUMBER($G24),$G24,$F24+$E24-$D24)),FALSE()),2,IF(AND(W$2&gt;=$D24,W$2&lt;=$E24),1,"")))</f>
        <v/>
      </c>
      <c r="X24" s="55" t="str">
        <f aca="false">IF(OR(X$2="",$D24=""),"",IF(IF(ISNUMBER($F24),AND(X$2&gt;=$F24,X$2&lt;=IF(ISNUMBER($G24),$G24,$F24+$E24-$D24)),FALSE()),2,IF(AND(X$2&gt;=$D24,X$2&lt;=$E24),1,"")))</f>
        <v/>
      </c>
      <c r="Y24" s="55" t="str">
        <f aca="false">IF(OR(Y$2="",$D24=""),"",IF(IF(ISNUMBER($F24),AND(Y$2&gt;=$F24,Y$2&lt;=IF(ISNUMBER($G24),$G24,$F24+$E24-$D24)),FALSE()),2,IF(AND(Y$2&gt;=$D24,Y$2&lt;=$E24),1,"")))</f>
        <v/>
      </c>
      <c r="Z24" s="55" t="str">
        <f aca="false">IF(OR(Z$2="",$D24=""),"",IF(IF(ISNUMBER($F24),AND(Z$2&gt;=$F24,Z$2&lt;=IF(ISNUMBER($G24),$G24,$F24+$E24-$D24)),FALSE()),2,IF(AND(Z$2&gt;=$D24,Z$2&lt;=$E24),1,"")))</f>
        <v/>
      </c>
      <c r="AA24" s="55" t="str">
        <f aca="false">IF(OR(AA$2="",$D24=""),"",IF(IF(ISNUMBER($F24),AND(AA$2&gt;=$F24,AA$2&lt;=IF(ISNUMBER($G24),$G24,$F24+$E24-$D24)),FALSE()),2,IF(AND(AA$2&gt;=$D24,AA$2&lt;=$E24),1,"")))</f>
        <v/>
      </c>
      <c r="AB24" s="55" t="str">
        <f aca="false">IF(OR(AB$2="",$D24=""),"",IF(IF(ISNUMBER($F24),AND(AB$2&gt;=$F24,AB$2&lt;=IF(ISNUMBER($G24),$G24,$F24+$E24-$D24)),FALSE()),2,IF(AND(AB$2&gt;=$D24,AB$2&lt;=$E24),1,"")))</f>
        <v/>
      </c>
      <c r="AC24" s="55" t="str">
        <f aca="false">IF(OR(AC$2="",$D24=""),"",IF(IF(ISNUMBER($F24),AND(AC$2&gt;=$F24,AC$2&lt;=IF(ISNUMBER($G24),$G24,$F24+$E24-$D24)),FALSE()),2,IF(AND(AC$2&gt;=$D24,AC$2&lt;=$E24),1,"")))</f>
        <v/>
      </c>
      <c r="AD24" s="55" t="str">
        <f aca="false">IF(OR(AD$2="",$D24=""),"",IF(IF(ISNUMBER($F24),AND(AD$2&gt;=$F24,AD$2&lt;=IF(ISNUMBER($G24),$G24,$F24+$E24-$D24)),FALSE()),2,IF(AND(AD$2&gt;=$D24,AD$2&lt;=$E24),1,"")))</f>
        <v/>
      </c>
      <c r="AE24" s="55" t="str">
        <f aca="false">IF(OR(AE$2="",$D24=""),"",IF(IF(ISNUMBER($F24),AND(AE$2&gt;=$F24,AE$2&lt;=IF(ISNUMBER($G24),$G24,$F24+$E24-$D24)),FALSE()),2,IF(AND(AE$2&gt;=$D24,AE$2&lt;=$E24),1,"")))</f>
        <v/>
      </c>
      <c r="AF24" s="55" t="str">
        <f aca="false">IF(OR(AF$2="",$D24=""),"",IF(IF(ISNUMBER($F24),AND(AF$2&gt;=$F24,AF$2&lt;=IF(ISNUMBER($G24),$G24,$F24+$E24-$D24)),FALSE()),2,IF(AND(AF$2&gt;=$D24,AF$2&lt;=$E24),1,"")))</f>
        <v/>
      </c>
      <c r="AG24" s="55" t="str">
        <f aca="false">IF(OR(AG$2="",$D24=""),"",IF(IF(ISNUMBER($F24),AND(AG$2&gt;=$F24,AG$2&lt;=IF(ISNUMBER($G24),$G24,$F24+$E24-$D24)),FALSE()),2,IF(AND(AG$2&gt;=$D24,AG$2&lt;=$E24),1,"")))</f>
        <v/>
      </c>
      <c r="AH24" s="55" t="str">
        <f aca="false">IF(OR(AH$2="",$D24=""),"",IF(IF(ISNUMBER($F24),AND(AH$2&gt;=$F24,AH$2&lt;=IF(ISNUMBER($G24),$G24,$F24+$E24-$D24)),FALSE()),2,IF(AND(AH$2&gt;=$D24,AH$2&lt;=$E24),1,"")))</f>
        <v/>
      </c>
      <c r="AI24" s="55" t="str">
        <f aca="false">IF(OR(AI$2="",$D24=""),"",IF(IF(ISNUMBER($F24),AND(AI$2&gt;=$F24,AI$2&lt;=IF(ISNUMBER($G24),$G24,$F24+$E24-$D24)),FALSE()),2,IF(AND(AI$2&gt;=$D24,AI$2&lt;=$E24),1,"")))</f>
        <v/>
      </c>
      <c r="AJ24" s="55" t="str">
        <f aca="false">IF(OR(AJ$2="",$D24=""),"",IF(IF(ISNUMBER($F24),AND(AJ$2&gt;=$F24,AJ$2&lt;=IF(ISNUMBER($G24),$G24,$F24+$E24-$D24)),FALSE()),2,IF(AND(AJ$2&gt;=$D24,AJ$2&lt;=$E24),1,"")))</f>
        <v/>
      </c>
      <c r="AK24" s="55" t="str">
        <f aca="false">IF(OR(AK$2="",$D24=""),"",IF(IF(ISNUMBER($F24),AND(AK$2&gt;=$F24,AK$2&lt;=IF(ISNUMBER($G24),$G24,$F24+$E24-$D24)),FALSE()),2,IF(AND(AK$2&gt;=$D24,AK$2&lt;=$E24),1,"")))</f>
        <v/>
      </c>
      <c r="AL24" s="55" t="str">
        <f aca="false">IF(OR(AL$2="",$D24=""),"",IF(IF(ISNUMBER($F24),AND(AL$2&gt;=$F24,AL$2&lt;=IF(ISNUMBER($G24),$G24,$F24+$E24-$D24)),FALSE()),2,IF(AND(AL$2&gt;=$D24,AL$2&lt;=$E24),1,"")))</f>
        <v/>
      </c>
      <c r="AM24" s="55" t="str">
        <f aca="false">IF(OR(AM$2="",$D24=""),"",IF(IF(ISNUMBER($F24),AND(AM$2&gt;=$F24,AM$2&lt;=IF(ISNUMBER($G24),$G24,$F24+$E24-$D24)),FALSE()),2,IF(AND(AM$2&gt;=$D24,AM$2&lt;=$E24),1,"")))</f>
        <v/>
      </c>
      <c r="AN24" s="55" t="str">
        <f aca="false">IF(OR(AN$2="",$D24=""),"",IF(IF(ISNUMBER($F24),AND(AN$2&gt;=$F24,AN$2&lt;=IF(ISNUMBER($G24),$G24,$F24+$E24-$D24)),FALSE()),2,IF(AND(AN$2&gt;=$D24,AN$2&lt;=$E24),1,"")))</f>
        <v/>
      </c>
      <c r="AO24" s="55" t="str">
        <f aca="false">IF(OR(AO$2="",$D24=""),"",IF(IF(ISNUMBER($F24),AND(AO$2&gt;=$F24,AO$2&lt;=IF(ISNUMBER($G24),$G24,$F24+$E24-$D24)),FALSE()),2,IF(AND(AO$2&gt;=$D24,AO$2&lt;=$E24),1,"")))</f>
        <v/>
      </c>
      <c r="AP24" s="55" t="str">
        <f aca="false">IF(OR(AP$2="",$D24=""),"",IF(IF(ISNUMBER($F24),AND(AP$2&gt;=$F24,AP$2&lt;=IF(ISNUMBER($G24),$G24,$F24+$E24-$D24)),FALSE()),2,IF(AND(AP$2&gt;=$D24,AP$2&lt;=$E24),1,"")))</f>
        <v/>
      </c>
      <c r="AQ24" s="55" t="str">
        <f aca="false">IF(OR(AQ$2="",$D24=""),"",IF(IF(ISNUMBER($F24),AND(AQ$2&gt;=$F24,AQ$2&lt;=IF(ISNUMBER($G24),$G24,$F24+$E24-$D24)),FALSE()),2,IF(AND(AQ$2&gt;=$D24,AQ$2&lt;=$E24),1,"")))</f>
        <v/>
      </c>
      <c r="AR24" s="55" t="str">
        <f aca="false">IF(OR(AR$2="",$D24=""),"",IF(IF(ISNUMBER($F24),AND(AR$2&gt;=$F24,AR$2&lt;=IF(ISNUMBER($G24),$G24,$F24+$E24-$D24)),FALSE()),2,IF(AND(AR$2&gt;=$D24,AR$2&lt;=$E24),1,"")))</f>
        <v/>
      </c>
      <c r="AS24" s="55" t="str">
        <f aca="false">IF(OR(AS$2="",$D24=""),"",IF(IF(ISNUMBER($F24),AND(AS$2&gt;=$F24,AS$2&lt;=IF(ISNUMBER($G24),$G24,$F24+$E24-$D24)),FALSE()),2,IF(AND(AS$2&gt;=$D24,AS$2&lt;=$E24),1,"")))</f>
        <v/>
      </c>
      <c r="AT24" s="55" t="str">
        <f aca="false">IF(OR(AT$2="",$D24=""),"",IF(IF(ISNUMBER($F24),AND(AT$2&gt;=$F24,AT$2&lt;=IF(ISNUMBER($G24),$G24,$F24+$E24-$D24)),FALSE()),2,IF(AND(AT$2&gt;=$D24,AT$2&lt;=$E24),1,"")))</f>
        <v/>
      </c>
      <c r="AU24" s="55" t="str">
        <f aca="false">IF(OR(AU$2="",$D24=""),"",IF(IF(ISNUMBER($F24),AND(AU$2&gt;=$F24,AU$2&lt;=IF(ISNUMBER($G24),$G24,$F24+$E24-$D24)),FALSE()),2,IF(AND(AU$2&gt;=$D24,AU$2&lt;=$E24),1,"")))</f>
        <v/>
      </c>
      <c r="AV24" s="55" t="str">
        <f aca="false">IF(OR(AV$2="",$D24=""),"",IF(IF(ISNUMBER($F24),AND(AV$2&gt;=$F24,AV$2&lt;=IF(ISNUMBER($G24),$G24,$F24+$E24-$D24)),FALSE()),2,IF(AND(AV$2&gt;=$D24,AV$2&lt;=$E24),1,"")))</f>
        <v/>
      </c>
      <c r="AW24" s="55" t="str">
        <f aca="false">IF(OR(AW$2="",$D24=""),"",IF(IF(ISNUMBER($F24),AND(AW$2&gt;=$F24,AW$2&lt;=IF(ISNUMBER($G24),$G24,$F24+$E24-$D24)),FALSE()),2,IF(AND(AW$2&gt;=$D24,AW$2&lt;=$E24),1,"")))</f>
        <v/>
      </c>
      <c r="AX24" s="55" t="str">
        <f aca="false">IF(OR(AX$2="",$D24=""),"",IF(IF(ISNUMBER($F24),AND(AX$2&gt;=$F24,AX$2&lt;=IF(ISNUMBER($G24),$G24,$F24+$E24-$D24)),FALSE()),2,IF(AND(AX$2&gt;=$D24,AX$2&lt;=$E24),1,"")))</f>
        <v/>
      </c>
      <c r="AY24" s="55" t="str">
        <f aca="false">IF(OR(AY$2="",$D24=""),"",IF(IF(ISNUMBER($F24),AND(AY$2&gt;=$F24,AY$2&lt;=IF(ISNUMBER($G24),$G24,$F24+$E24-$D24)),FALSE()),2,IF(AND(AY$2&gt;=$D24,AY$2&lt;=$E24),1,"")))</f>
        <v/>
      </c>
      <c r="AZ24" s="55" t="str">
        <f aca="false">IF(OR(AZ$2="",$D24=""),"",IF(IF(ISNUMBER($F24),AND(AZ$2&gt;=$F24,AZ$2&lt;=IF(ISNUMBER($G24),$G24,$F24+$E24-$D24)),FALSE()),2,IF(AND(AZ$2&gt;=$D24,AZ$2&lt;=$E24),1,"")))</f>
        <v/>
      </c>
      <c r="BA24" s="55" t="str">
        <f aca="false">IF(OR(BA$2="",$D24=""),"",IF(IF(ISNUMBER($F24),AND(BA$2&gt;=$F24,BA$2&lt;=IF(ISNUMBER($G24),$G24,$F24+$E24-$D24)),FALSE()),2,IF(AND(BA$2&gt;=$D24,BA$2&lt;=$E24),1,"")))</f>
        <v/>
      </c>
      <c r="BB24" s="55" t="str">
        <f aca="false">IF(OR(BB$2="",$D24=""),"",IF(IF(ISNUMBER($F24),AND(BB$2&gt;=$F24,BB$2&lt;=IF(ISNUMBER($G24),$G24,$F24+$E24-$D24)),FALSE()),2,IF(AND(BB$2&gt;=$D24,BB$2&lt;=$E24),1,"")))</f>
        <v/>
      </c>
      <c r="BC24" s="55" t="str">
        <f aca="false">IF(OR(BC$2="",$D24=""),"",IF(IF(ISNUMBER($F24),AND(BC$2&gt;=$F24,BC$2&lt;=IF(ISNUMBER($G24),$G24,$F24+$E24-$D24)),FALSE()),2,IF(AND(BC$2&gt;=$D24,BC$2&lt;=$E24),1,"")))</f>
        <v/>
      </c>
      <c r="BD24" s="55" t="str">
        <f aca="false">IF(OR(BD$2="",$D24=""),"",IF(IF(ISNUMBER($F24),AND(BD$2&gt;=$F24,BD$2&lt;=IF(ISNUMBER($G24),$G24,$F24+$E24-$D24)),FALSE()),2,IF(AND(BD$2&gt;=$D24,BD$2&lt;=$E24),1,"")))</f>
        <v/>
      </c>
      <c r="BE24" s="55" t="str">
        <f aca="false">IF(OR(BE$2="",$D24=""),"",IF(IF(ISNUMBER($F24),AND(BE$2&gt;=$F24,BE$2&lt;=IF(ISNUMBER($G24),$G24,$F24+$E24-$D24)),FALSE()),2,IF(AND(BE$2&gt;=$D24,BE$2&lt;=$E24),1,"")))</f>
        <v/>
      </c>
      <c r="BF24" s="55" t="str">
        <f aca="false">IF(OR(BF$2="",$D24=""),"",IF(IF(ISNUMBER($F24),AND(BF$2&gt;=$F24,BF$2&lt;=IF(ISNUMBER($G24),$G24,$F24+$E24-$D24)),FALSE()),2,IF(AND(BF$2&gt;=$D24,BF$2&lt;=$E24),1,"")))</f>
        <v/>
      </c>
      <c r="BG24" s="55" t="str">
        <f aca="false">IF(OR(BG$2="",$D24=""),"",IF(IF(ISNUMBER($F24),AND(BG$2&gt;=$F24,BG$2&lt;=IF(ISNUMBER($G24),$G24,$F24+$E24-$D24)),FALSE()),2,IF(AND(BG$2&gt;=$D24,BG$2&lt;=$E24),1,"")))</f>
        <v/>
      </c>
      <c r="BH24" s="55" t="str">
        <f aca="false">IF(OR(BH$2="",$D24=""),"",IF(IF(ISNUMBER($F24),AND(BH$2&gt;=$F24,BH$2&lt;=IF(ISNUMBER($G24),$G24,$F24+$E24-$D24)),FALSE()),2,IF(AND(BH$2&gt;=$D24,BH$2&lt;=$E24),1,"")))</f>
        <v/>
      </c>
      <c r="BI24" s="55" t="str">
        <f aca="false">IF(OR(BI$2="",$D24=""),"",IF(IF(ISNUMBER($F24),AND(BI$2&gt;=$F24,BI$2&lt;=IF(ISNUMBER($G24),$G24,$F24+$E24-$D24)),FALSE()),2,IF(AND(BI$2&gt;=$D24,BI$2&lt;=$E24),1,"")))</f>
        <v/>
      </c>
      <c r="BJ24" s="55" t="str">
        <f aca="false">IF(OR(BJ$2="",$D24=""),"",IF(IF(ISNUMBER($F24),AND(BJ$2&gt;=$F24,BJ$2&lt;=IF(ISNUMBER($G24),$G24,$F24+$E24-$D24)),FALSE()),2,IF(AND(BJ$2&gt;=$D24,BJ$2&lt;=$E24),1,"")))</f>
        <v/>
      </c>
      <c r="BK24" s="55" t="str">
        <f aca="false">IF(OR(BK$2="",$D24=""),"",IF(IF(ISNUMBER($F24),AND(BK$2&gt;=$F24,BK$2&lt;=IF(ISNUMBER($G24),$G24,$F24+$E24-$D24)),FALSE()),2,IF(AND(BK$2&gt;=$D24,BK$2&lt;=$E24),1,"")))</f>
        <v/>
      </c>
      <c r="BL24" s="55" t="str">
        <f aca="false">IF(OR(BL$2="",$D24=""),"",IF(IF(ISNUMBER($F24),AND(BL$2&gt;=$F24,BL$2&lt;=IF(ISNUMBER($G24),$G24,$F24+$E24-$D24)),FALSE()),2,IF(AND(BL$2&gt;=$D24,BL$2&lt;=$E24),1,"")))</f>
        <v/>
      </c>
      <c r="BM24" s="55" t="str">
        <f aca="false">IF(OR(BM$2="",$D24=""),"",IF(IF(ISNUMBER($F24),AND(BM$2&gt;=$F24,BM$2&lt;=IF(ISNUMBER($G24),$G24,$F24+$E24-$D24)),FALSE()),2,IF(AND(BM$2&gt;=$D24,BM$2&lt;=$E24),1,"")))</f>
        <v/>
      </c>
      <c r="BN24" s="55" t="str">
        <f aca="false">IF(OR(BN$2="",$D24=""),"",IF(IF(ISNUMBER($F24),AND(BN$2&gt;=$F24,BN$2&lt;=IF(ISNUMBER($G24),$G24,$F24+$E24-$D24)),FALSE()),2,IF(AND(BN$2&gt;=$D24,BN$2&lt;=$E24),1,"")))</f>
        <v/>
      </c>
      <c r="BO24" s="55" t="str">
        <f aca="false">IF(OR(BO$2="",$D24=""),"",IF(IF(ISNUMBER($F24),AND(BO$2&gt;=$F24,BO$2&lt;=IF(ISNUMBER($G24),$G24,$F24+$E24-$D24)),FALSE()),2,IF(AND(BO$2&gt;=$D24,BO$2&lt;=$E24),1,"")))</f>
        <v/>
      </c>
      <c r="BP24" s="55" t="str">
        <f aca="false">IF(OR(BP$2="",$D24=""),"",IF(IF(ISNUMBER($F24),AND(BP$2&gt;=$F24,BP$2&lt;=IF(ISNUMBER($G24),$G24,$F24+$E24-$D24)),FALSE()),2,IF(AND(BP$2&gt;=$D24,BP$2&lt;=$E24),1,"")))</f>
        <v/>
      </c>
      <c r="BQ24" s="55" t="str">
        <f aca="false">IF(OR(BQ$2="",$D24=""),"",IF(IF(ISNUMBER($F24),AND(BQ$2&gt;=$F24,BQ$2&lt;=IF(ISNUMBER($G24),$G24,$F24+$E24-$D24)),FALSE()),2,IF(AND(BQ$2&gt;=$D24,BQ$2&lt;=$E24),1,"")))</f>
        <v/>
      </c>
      <c r="BR24" s="55" t="str">
        <f aca="false">IF(OR(BR$2="",$D24=""),"",IF(IF(ISNUMBER($F24),AND(BR$2&gt;=$F24,BR$2&lt;=IF(ISNUMBER($G24),$G24,$F24+$E24-$D24)),FALSE()),2,IF(AND(BR$2&gt;=$D24,BR$2&lt;=$E24),1,"")))</f>
        <v/>
      </c>
      <c r="BS24" s="55" t="str">
        <f aca="false">IF(OR(BS$2="",$D24=""),"",IF(IF(ISNUMBER($F24),AND(BS$2&gt;=$F24,BS$2&lt;=IF(ISNUMBER($G24),$G24,$F24+$E24-$D24)),FALSE()),2,IF(AND(BS$2&gt;=$D24,BS$2&lt;=$E24),1,"")))</f>
        <v/>
      </c>
      <c r="BT24" s="55" t="str">
        <f aca="false">IF(OR(BT$2="",$D24=""),"",IF(IF(ISNUMBER($F24),AND(BT$2&gt;=$F24,BT$2&lt;=IF(ISNUMBER($G24),$G24,$F24+$E24-$D24)),FALSE()),2,IF(AND(BT$2&gt;=$D24,BT$2&lt;=$E24),1,"")))</f>
        <v/>
      </c>
      <c r="BU24" s="55" t="str">
        <f aca="false">IF(OR(BU$2="",$D24=""),"",IF(IF(ISNUMBER($F24),AND(BU$2&gt;=$F24,BU$2&lt;=IF(ISNUMBER($G24),$G24,$F24+$E24-$D24)),FALSE()),2,IF(AND(BU$2&gt;=$D24,BU$2&lt;=$E24),1,"")))</f>
        <v/>
      </c>
      <c r="BV24" s="55" t="str">
        <f aca="false">IF(OR(BV$2="",$D24=""),"",IF(IF(ISNUMBER($F24),AND(BV$2&gt;=$F24,BV$2&lt;=IF(ISNUMBER($G24),$G24,$F24+$E24-$D24)),FALSE()),2,IF(AND(BV$2&gt;=$D24,BV$2&lt;=$E24),1,"")))</f>
        <v/>
      </c>
      <c r="BW24" s="55" t="str">
        <f aca="false">IF(OR(BW$2="",$D24=""),"",IF(IF(ISNUMBER($F24),AND(BW$2&gt;=$F24,BW$2&lt;=IF(ISNUMBER($G24),$G24,$F24+$E24-$D24)),FALSE()),2,IF(AND(BW$2&gt;=$D24,BW$2&lt;=$E24),1,"")))</f>
        <v/>
      </c>
      <c r="BX24" s="55" t="str">
        <f aca="false">IF(OR(BX$2="",$D24=""),"",IF(IF(ISNUMBER($F24),AND(BX$2&gt;=$F24,BX$2&lt;=IF(ISNUMBER($G24),$G24,$F24+$E24-$D24)),FALSE()),2,IF(AND(BX$2&gt;=$D24,BX$2&lt;=$E24),1,"")))</f>
        <v/>
      </c>
      <c r="BY24" s="55" t="str">
        <f aca="false">IF(OR(BY$2="",$D24=""),"",IF(IF(ISNUMBER($F24),AND(BY$2&gt;=$F24,BY$2&lt;=IF(ISNUMBER($G24),$G24,$F24+$E24-$D24)),FALSE()),2,IF(AND(BY$2&gt;=$D24,BY$2&lt;=$E24),1,"")))</f>
        <v/>
      </c>
      <c r="BZ24" s="55" t="str">
        <f aca="false">IF(OR(BZ$2="",$D24=""),"",IF(IF(ISNUMBER($F24),AND(BZ$2&gt;=$F24,BZ$2&lt;=IF(ISNUMBER($G24),$G24,$F24+$E24-$D24)),FALSE()),2,IF(AND(BZ$2&gt;=$D24,BZ$2&lt;=$E24),1,"")))</f>
        <v/>
      </c>
      <c r="CA24" s="55" t="str">
        <f aca="false">IF(OR(CA$2="",$D24=""),"",IF(IF(ISNUMBER($F24),AND(CA$2&gt;=$F24,CA$2&lt;=IF(ISNUMBER($G24),$G24,$F24+$E24-$D24)),FALSE()),2,IF(AND(CA$2&gt;=$D24,CA$2&lt;=$E24),1,"")))</f>
        <v/>
      </c>
      <c r="CB24" s="55" t="str">
        <f aca="false">IF(OR(CB$2="",$D24=""),"",IF(IF(ISNUMBER($F24),AND(CB$2&gt;=$F24,CB$2&lt;=IF(ISNUMBER($G24),$G24,$F24+$E24-$D24)),FALSE()),2,IF(AND(CB$2&gt;=$D24,CB$2&lt;=$E24),1,"")))</f>
        <v/>
      </c>
      <c r="CC24" s="55" t="str">
        <f aca="false">IF(OR(CC$2="",$D24=""),"",IF(IF(ISNUMBER($F24),AND(CC$2&gt;=$F24,CC$2&lt;=IF(ISNUMBER($G24),$G24,$F24+$E24-$D24)),FALSE()),2,IF(AND(CC$2&gt;=$D24,CC$2&lt;=$E24),1,"")))</f>
        <v/>
      </c>
      <c r="CD24" s="55" t="str">
        <f aca="false">IF(OR(CD$2="",$D24=""),"",IF(IF(ISNUMBER($F24),AND(CD$2&gt;=$F24,CD$2&lt;=IF(ISNUMBER($G24),$G24,$F24+$E24-$D24)),FALSE()),2,IF(AND(CD$2&gt;=$D24,CD$2&lt;=$E24),1,"")))</f>
        <v/>
      </c>
      <c r="CE24" s="55" t="str">
        <f aca="false">IF(OR(CE$2="",$D24=""),"",IF(IF(ISNUMBER($F24),AND(CE$2&gt;=$F24,CE$2&lt;=IF(ISNUMBER($G24),$G24,$F24+$E24-$D24)),FALSE()),2,IF(AND(CE$2&gt;=$D24,CE$2&lt;=$E24),1,"")))</f>
        <v/>
      </c>
      <c r="CF24" s="55" t="str">
        <f aca="false">IF(OR(CF$2="",$D24=""),"",IF(IF(ISNUMBER($F24),AND(CF$2&gt;=$F24,CF$2&lt;=IF(ISNUMBER($G24),$G24,$F24+$E24-$D24)),FALSE()),2,IF(AND(CF$2&gt;=$D24,CF$2&lt;=$E24),1,"")))</f>
        <v/>
      </c>
      <c r="CG24" s="55" t="str">
        <f aca="false">IF(OR(CG$2="",$D24=""),"",IF(IF(ISNUMBER($F24),AND(CG$2&gt;=$F24,CG$2&lt;=IF(ISNUMBER($G24),$G24,$F24+$E24-$D24)),FALSE()),2,IF(AND(CG$2&gt;=$D24,CG$2&lt;=$E24),1,"")))</f>
        <v/>
      </c>
      <c r="CH24" s="55" t="str">
        <f aca="false">IF(OR(CH$2="",$D24=""),"",IF(IF(ISNUMBER($F24),AND(CH$2&gt;=$F24,CH$2&lt;=IF(ISNUMBER($G24),$G24,$F24+$E24-$D24)),FALSE()),2,IF(AND(CH$2&gt;=$D24,CH$2&lt;=$E24),1,"")))</f>
        <v/>
      </c>
      <c r="CI24" s="55" t="str">
        <f aca="false">IF(OR(CI$2="",$D24=""),"",IF(IF(ISNUMBER($F24),AND(CI$2&gt;=$F24,CI$2&lt;=IF(ISNUMBER($G24),$G24,$F24+$E24-$D24)),FALSE()),2,IF(AND(CI$2&gt;=$D24,CI$2&lt;=$E24),1,"")))</f>
        <v/>
      </c>
      <c r="CJ24" s="55" t="str">
        <f aca="false">IF(OR(CJ$2="",$D24=""),"",IF(IF(ISNUMBER($F24),AND(CJ$2&gt;=$F24,CJ$2&lt;=IF(ISNUMBER($G24),$G24,$F24+$E24-$D24)),FALSE()),2,IF(AND(CJ$2&gt;=$D24,CJ$2&lt;=$E24),1,"")))</f>
        <v/>
      </c>
      <c r="CK24" s="55" t="str">
        <f aca="false">IF(OR(CK$2="",$D24=""),"",IF(IF(ISNUMBER($F24),AND(CK$2&gt;=$F24,CK$2&lt;=IF(ISNUMBER($G24),$G24,$F24+$E24-$D24)),FALSE()),2,IF(AND(CK$2&gt;=$D24,CK$2&lt;=$E24),1,"")))</f>
        <v/>
      </c>
      <c r="CL24" s="55" t="str">
        <f aca="false">IF(OR(CL$2="",$D24=""),"",IF(IF(ISNUMBER($F24),AND(CL$2&gt;=$F24,CL$2&lt;=IF(ISNUMBER($G24),$G24,$F24+$E24-$D24)),FALSE()),2,IF(AND(CL$2&gt;=$D24,CL$2&lt;=$E24),1,"")))</f>
        <v/>
      </c>
      <c r="CM24" s="55" t="str">
        <f aca="false">IF(OR(CM$2="",$D24=""),"",IF(IF(ISNUMBER($F24),AND(CM$2&gt;=$F24,CM$2&lt;=IF(ISNUMBER($G24),$G24,$F24+$E24-$D24)),FALSE()),2,IF(AND(CM$2&gt;=$D24,CM$2&lt;=$E24),1,"")))</f>
        <v/>
      </c>
      <c r="CN24" s="55" t="str">
        <f aca="false">IF(OR(CN$2="",$D24=""),"",IF(IF(ISNUMBER($F24),AND(CN$2&gt;=$F24,CN$2&lt;=IF(ISNUMBER($G24),$G24,$F24+$E24-$D24)),FALSE()),2,IF(AND(CN$2&gt;=$D24,CN$2&lt;=$E24),1,"")))</f>
        <v/>
      </c>
      <c r="CO24" s="55" t="str">
        <f aca="false">IF(OR(CO$2="",$D24=""),"",IF(IF(ISNUMBER($F24),AND(CO$2&gt;=$F24,CO$2&lt;=IF(ISNUMBER($G24),$G24,$F24+$E24-$D24)),FALSE()),2,IF(AND(CO$2&gt;=$D24,CO$2&lt;=$E24),1,"")))</f>
        <v/>
      </c>
      <c r="CP24" s="55" t="str">
        <f aca="false">IF(OR(CP$2="",$D24=""),"",IF(IF(ISNUMBER($F24),AND(CP$2&gt;=$F24,CP$2&lt;=IF(ISNUMBER($G24),$G24,$F24+$E24-$D24)),FALSE()),2,IF(AND(CP$2&gt;=$D24,CP$2&lt;=$E24),1,"")))</f>
        <v/>
      </c>
      <c r="CQ24" s="55" t="str">
        <f aca="false">IF(OR(CQ$2="",$D24=""),"",IF(IF(ISNUMBER($F24),AND(CQ$2&gt;=$F24,CQ$2&lt;=IF(ISNUMBER($G24),$G24,$F24+$E24-$D24)),FALSE()),2,IF(AND(CQ$2&gt;=$D24,CQ$2&lt;=$E24),1,"")))</f>
        <v/>
      </c>
      <c r="CR24" s="55" t="str">
        <f aca="false">IF(OR(CR$2="",$D24=""),"",IF(IF(ISNUMBER($F24),AND(CR$2&gt;=$F24,CR$2&lt;=IF(ISNUMBER($G24),$G24,$F24+$E24-$D24)),FALSE()),2,IF(AND(CR$2&gt;=$D24,CR$2&lt;=$E24),1,"")))</f>
        <v/>
      </c>
      <c r="CS24" s="55" t="str">
        <f aca="false">IF(OR(CS$2="",$D24=""),"",IF(IF(ISNUMBER($F24),AND(CS$2&gt;=$F24,CS$2&lt;=IF(ISNUMBER($G24),$G24,$F24+$E24-$D24)),FALSE()),2,IF(AND(CS$2&gt;=$D24,CS$2&lt;=$E24),1,"")))</f>
        <v/>
      </c>
      <c r="CT24" s="55" t="str">
        <f aca="false">IF(OR(CT$2="",$D24=""),"",IF(IF(ISNUMBER($F24),AND(CT$2&gt;=$F24,CT$2&lt;=IF(ISNUMBER($G24),$G24,$F24+$E24-$D24)),FALSE()),2,IF(AND(CT$2&gt;=$D24,CT$2&lt;=$E24),1,"")))</f>
        <v/>
      </c>
      <c r="CU24" s="55" t="str">
        <f aca="false">IF(OR(CU$2="",$D24=""),"",IF(IF(ISNUMBER($F24),AND(CU$2&gt;=$F24,CU$2&lt;=IF(ISNUMBER($G24),$G24,$F24+$E24-$D24)),FALSE()),2,IF(AND(CU$2&gt;=$D24,CU$2&lt;=$E24),1,"")))</f>
        <v/>
      </c>
      <c r="CV24" s="55" t="str">
        <f aca="false">IF(OR(CV$2="",$D24=""),"",IF(IF(ISNUMBER($F24),AND(CV$2&gt;=$F24,CV$2&lt;=IF(ISNUMBER($G24),$G24,$F24+$E24-$D24)),FALSE()),2,IF(AND(CV$2&gt;=$D24,CV$2&lt;=$E24),1,"")))</f>
        <v/>
      </c>
      <c r="CW24" s="55" t="str">
        <f aca="false">IF(OR(CW$2="",$D24=""),"",IF(IF(ISNUMBER($F24),AND(CW$2&gt;=$F24,CW$2&lt;=IF(ISNUMBER($G24),$G24,$F24+$E24-$D24)),FALSE()),2,IF(AND(CW$2&gt;=$D24,CW$2&lt;=$E24),1,"")))</f>
        <v/>
      </c>
      <c r="CX24" s="55" t="str">
        <f aca="false">IF(OR(CX$2="",$D24=""),"",IF(IF(ISNUMBER($F24),AND(CX$2&gt;=$F24,CX$2&lt;=IF(ISNUMBER($G24),$G24,$F24+$E24-$D24)),FALSE()),2,IF(AND(CX$2&gt;=$D24,CX$2&lt;=$E24),1,"")))</f>
        <v/>
      </c>
      <c r="CY24" s="55" t="str">
        <f aca="false">IF(OR(CY$2="",$D24=""),"",IF(IF(ISNUMBER($F24),AND(CY$2&gt;=$F24,CY$2&lt;=IF(ISNUMBER($G24),$G24,$F24+$E24-$D24)),FALSE()),2,IF(AND(CY$2&gt;=$D24,CY$2&lt;=$E24),1,"")))</f>
        <v/>
      </c>
      <c r="CZ24" s="55" t="str">
        <f aca="false">IF(OR(CZ$2="",$D24=""),"",IF(IF(ISNUMBER($F24),AND(CZ$2&gt;=$F24,CZ$2&lt;=IF(ISNUMBER($G24),$G24,$F24+$E24-$D24)),FALSE()),2,IF(AND(CZ$2&gt;=$D24,CZ$2&lt;=$E24),1,"")))</f>
        <v/>
      </c>
      <c r="DA24" s="55" t="str">
        <f aca="false">IF(OR(DA$2="",$D24=""),"",IF(IF(ISNUMBER($F24),AND(DA$2&gt;=$F24,DA$2&lt;=IF(ISNUMBER($G24),$G24,$F24+$E24-$D24)),FALSE()),2,IF(AND(DA$2&gt;=$D24,DA$2&lt;=$E24),1,"")))</f>
        <v/>
      </c>
      <c r="DB24" s="55" t="str">
        <f aca="false">IF(OR(DB$2="",$D24=""),"",IF(IF(ISNUMBER($F24),AND(DB$2&gt;=$F24,DB$2&lt;=IF(ISNUMBER($G24),$G24,$F24+$E24-$D24)),FALSE()),2,IF(AND(DB$2&gt;=$D24,DB$2&lt;=$E24),1,"")))</f>
        <v/>
      </c>
      <c r="DC24" s="55" t="str">
        <f aca="false">IF(OR(DC$2="",$D24=""),"",IF(IF(ISNUMBER($F24),AND(DC$2&gt;=$F24,DC$2&lt;=IF(ISNUMBER($G24),$G24,$F24+$E24-$D24)),FALSE()),2,IF(AND(DC$2&gt;=$D24,DC$2&lt;=$E24),1,"")))</f>
        <v/>
      </c>
      <c r="DD24" s="55" t="str">
        <f aca="false">IF(OR(DD$2="",$D24=""),"",IF(IF(ISNUMBER($F24),AND(DD$2&gt;=$F24,DD$2&lt;=IF(ISNUMBER($G24),$G24,$F24+$E24-$D24)),FALSE()),2,IF(AND(DD$2&gt;=$D24,DD$2&lt;=$E24),1,"")))</f>
        <v/>
      </c>
      <c r="DE24" s="55" t="str">
        <f aca="false">IF(OR(DE$2="",$D24=""),"",IF(IF(ISNUMBER($F24),AND(DE$2&gt;=$F24,DE$2&lt;=IF(ISNUMBER($G24),$G24,$F24+$E24-$D24)),FALSE()),2,IF(AND(DE$2&gt;=$D24,DE$2&lt;=$E24),1,"")))</f>
        <v/>
      </c>
      <c r="DF24" s="55" t="str">
        <f aca="false">IF(OR(DF$2="",$D24=""),"",IF(IF(ISNUMBER($F24),AND(DF$2&gt;=$F24,DF$2&lt;=IF(ISNUMBER($G24),$G24,$F24+$E24-$D24)),FALSE()),2,IF(AND(DF$2&gt;=$D24,DF$2&lt;=$E24),1,"")))</f>
        <v/>
      </c>
      <c r="DG24" s="55" t="str">
        <f aca="false">IF(OR(DG$2="",$D24=""),"",IF(IF(ISNUMBER($F24),AND(DG$2&gt;=$F24,DG$2&lt;=IF(ISNUMBER($G24),$G24,$F24+$E24-$D24)),FALSE()),2,IF(AND(DG$2&gt;=$D24,DG$2&lt;=$E24),1,"")))</f>
        <v/>
      </c>
      <c r="DH24" s="55" t="str">
        <f aca="false">IF(OR(DH$2="",$D24=""),"",IF(IF(ISNUMBER($F24),AND(DH$2&gt;=$F24,DH$2&lt;=IF(ISNUMBER($G24),$G24,$F24+$E24-$D24)),FALSE()),2,IF(AND(DH$2&gt;=$D24,DH$2&lt;=$E24),1,"")))</f>
        <v/>
      </c>
      <c r="DI24" s="55" t="str">
        <f aca="false">IF(OR(DI$2="",$D24=""),"",IF(IF(ISNUMBER($F24),AND(DI$2&gt;=$F24,DI$2&lt;=IF(ISNUMBER($G24),$G24,$F24+$E24-$D24)),FALSE()),2,IF(AND(DI$2&gt;=$D24,DI$2&lt;=$E24),1,"")))</f>
        <v/>
      </c>
      <c r="DJ24" s="55" t="str">
        <f aca="false">IF(OR(DJ$2="",$D24=""),"",IF(IF(ISNUMBER($F24),AND(DJ$2&gt;=$F24,DJ$2&lt;=IF(ISNUMBER($G24),$G24,$F24+$E24-$D24)),FALSE()),2,IF(AND(DJ$2&gt;=$D24,DJ$2&lt;=$E24),1,"")))</f>
        <v/>
      </c>
      <c r="DK24" s="55" t="str">
        <f aca="false">IF(OR(DK$2="",$D24=""),"",IF(IF(ISNUMBER($F24),AND(DK$2&gt;=$F24,DK$2&lt;=IF(ISNUMBER($G24),$G24,$F24+$E24-$D24)),FALSE()),2,IF(AND(DK$2&gt;=$D24,DK$2&lt;=$E24),1,"")))</f>
        <v/>
      </c>
      <c r="DL24" s="55" t="str">
        <f aca="false">IF(OR(DL$2="",$D24=""),"",IF(IF(ISNUMBER($F24),AND(DL$2&gt;=$F24,DL$2&lt;=IF(ISNUMBER($G24),$G24,$F24+$E24-$D24)),FALSE()),2,IF(AND(DL$2&gt;=$D24,DL$2&lt;=$E24),1,"")))</f>
        <v/>
      </c>
      <c r="DM24" s="55" t="str">
        <f aca="false">IF(OR(DM$2="",$D24=""),"",IF(IF(ISNUMBER($F24),AND(DM$2&gt;=$F24,DM$2&lt;=IF(ISNUMBER($G24),$G24,$F24+$E24-$D24)),FALSE()),2,IF(AND(DM$2&gt;=$D24,DM$2&lt;=$E24),1,"")))</f>
        <v/>
      </c>
      <c r="DN24" s="55" t="str">
        <f aca="false">IF(OR(DN$2="",$D24=""),"",IF(IF(ISNUMBER($F24),AND(DN$2&gt;=$F24,DN$2&lt;=IF(ISNUMBER($G24),$G24,$F24+$E24-$D24)),FALSE()),2,IF(AND(DN$2&gt;=$D24,DN$2&lt;=$E24),1,"")))</f>
        <v/>
      </c>
      <c r="DO24" s="55" t="str">
        <f aca="false">IF(OR(DO$2="",$D24=""),"",IF(IF(ISNUMBER($F24),AND(DO$2&gt;=$F24,DO$2&lt;=IF(ISNUMBER($G24),$G24,$F24+$E24-$D24)),FALSE()),2,IF(AND(DO$2&gt;=$D24,DO$2&lt;=$E24),1,"")))</f>
        <v/>
      </c>
      <c r="DP24" s="55" t="str">
        <f aca="false">IF(OR(DP$2="",$D24=""),"",IF(IF(ISNUMBER($F24),AND(DP$2&gt;=$F24,DP$2&lt;=IF(ISNUMBER($G24),$G24,$F24+$E24-$D24)),FALSE()),2,IF(AND(DP$2&gt;=$D24,DP$2&lt;=$E24),1,"")))</f>
        <v/>
      </c>
      <c r="DQ24" s="55" t="str">
        <f aca="false">IF(OR(DQ$2="",$D24=""),"",IF(IF(ISNUMBER($F24),AND(DQ$2&gt;=$F24,DQ$2&lt;=IF(ISNUMBER($G24),$G24,$F24+$E24-$D24)),FALSE()),2,IF(AND(DQ$2&gt;=$D24,DQ$2&lt;=$E24),1,"")))</f>
        <v/>
      </c>
      <c r="DR24" s="55" t="str">
        <f aca="false">IF(OR(DR$2="",$D24=""),"",IF(IF(ISNUMBER($F24),AND(DR$2&gt;=$F24,DR$2&lt;=IF(ISNUMBER($G24),$G24,$F24+$E24-$D24)),FALSE()),2,IF(AND(DR$2&gt;=$D24,DR$2&lt;=$E24),1,"")))</f>
        <v/>
      </c>
      <c r="DS24" s="55" t="str">
        <f aca="false">IF(OR(DS$2="",$D24=""),"",IF(IF(ISNUMBER($F24),AND(DS$2&gt;=$F24,DS$2&lt;=IF(ISNUMBER($G24),$G24,$F24+$E24-$D24)),FALSE()),2,IF(AND(DS$2&gt;=$D24,DS$2&lt;=$E24),1,"")))</f>
        <v/>
      </c>
      <c r="DT24" s="55" t="str">
        <f aca="false">IF(OR(DT$2="",$D24=""),"",IF(IF(ISNUMBER($F24),AND(DT$2&gt;=$F24,DT$2&lt;=IF(ISNUMBER($G24),$G24,$F24+$E24-$D24)),FALSE()),2,IF(AND(DT$2&gt;=$D24,DT$2&lt;=$E24),1,"")))</f>
        <v/>
      </c>
      <c r="DU24" s="55" t="str">
        <f aca="false">IF(OR(DU$2="",$D24=""),"",IF(IF(ISNUMBER($F24),AND(DU$2&gt;=$F24,DU$2&lt;=IF(ISNUMBER($G24),$G24,$F24+$E24-$D24)),FALSE()),2,IF(AND(DU$2&gt;=$D24,DU$2&lt;=$E24),1,"")))</f>
        <v/>
      </c>
      <c r="DV24" s="55" t="str">
        <f aca="false">IF(OR(DV$2="",$D24=""),"",IF(IF(ISNUMBER($F24),AND(DV$2&gt;=$F24,DV$2&lt;=IF(ISNUMBER($G24),$G24,$F24+$E24-$D24)),FALSE()),2,IF(AND(DV$2&gt;=$D24,DV$2&lt;=$E24),1,"")))</f>
        <v/>
      </c>
      <c r="DW24" s="55" t="str">
        <f aca="false">IF(OR(DW$2="",$D24=""),"",IF(IF(ISNUMBER($F24),AND(DW$2&gt;=$F24,DW$2&lt;=IF(ISNUMBER($G24),$G24,$F24+$E24-$D24)),FALSE()),2,IF(AND(DW$2&gt;=$D24,DW$2&lt;=$E24),1,"")))</f>
        <v/>
      </c>
      <c r="DX24" s="55" t="str">
        <f aca="false">IF(OR(DX$2="",$D24=""),"",IF(IF(ISNUMBER($F24),AND(DX$2&gt;=$F24,DX$2&lt;=IF(ISNUMBER($G24),$G24,$F24+$E24-$D24)),FALSE()),2,IF(AND(DX$2&gt;=$D24,DX$2&lt;=$E24),1,"")))</f>
        <v/>
      </c>
      <c r="DY24" s="55" t="str">
        <f aca="false">IF(OR(DY$2="",$D24=""),"",IF(IF(ISNUMBER($F24),AND(DY$2&gt;=$F24,DY$2&lt;=IF(ISNUMBER($G24),$G24,$F24+$E24-$D24)),FALSE()),2,IF(AND(DY$2&gt;=$D24,DY$2&lt;=$E24),1,"")))</f>
        <v/>
      </c>
      <c r="DZ24" s="55" t="str">
        <f aca="false">IF(OR(DZ$2="",$D24=""),"",IF(IF(ISNUMBER($F24),AND(DZ$2&gt;=$F24,DZ$2&lt;=IF(ISNUMBER($G24),$G24,$F24+$E24-$D24)),FALSE()),2,IF(AND(DZ$2&gt;=$D24,DZ$2&lt;=$E24),1,"")))</f>
        <v/>
      </c>
      <c r="EA24" s="55" t="str">
        <f aca="false">IF(OR(EA$2="",$D24=""),"",IF(IF(ISNUMBER($F24),AND(EA$2&gt;=$F24,EA$2&lt;=IF(ISNUMBER($G24),$G24,$F24+$E24-$D24)),FALSE()),2,IF(AND(EA$2&gt;=$D24,EA$2&lt;=$E24),1,"")))</f>
        <v/>
      </c>
      <c r="EB24" s="55" t="str">
        <f aca="false">IF(OR(EB$2="",$D24=""),"",IF(IF(ISNUMBER($F24),AND(EB$2&gt;=$F24,EB$2&lt;=IF(ISNUMBER($G24),$G24,$F24+$E24-$D24)),FALSE()),2,IF(AND(EB$2&gt;=$D24,EB$2&lt;=$E24),1,"")))</f>
        <v/>
      </c>
      <c r="EC24" s="55" t="str">
        <f aca="false">IF(OR(EC$2="",$D24=""),"",IF(IF(ISNUMBER($F24),AND(EC$2&gt;=$F24,EC$2&lt;=IF(ISNUMBER($G24),$G24,$F24+$E24-$D24)),FALSE()),2,IF(AND(EC$2&gt;=$D24,EC$2&lt;=$E24),1,"")))</f>
        <v/>
      </c>
      <c r="ED24" s="55" t="str">
        <f aca="false">IF(OR(ED$2="",$D24=""),"",IF(IF(ISNUMBER($F24),AND(ED$2&gt;=$F24,ED$2&lt;=IF(ISNUMBER($G24),$G24,$F24+$E24-$D24)),FALSE()),2,IF(AND(ED$2&gt;=$D24,ED$2&lt;=$E24),1,"")))</f>
        <v/>
      </c>
      <c r="EE24" s="55" t="str">
        <f aca="false">IF(OR(EE$2="",$D24=""),"",IF(IF(ISNUMBER($F24),AND(EE$2&gt;=$F24,EE$2&lt;=IF(ISNUMBER($G24),$G24,$F24+$E24-$D24)),FALSE()),2,IF(AND(EE$2&gt;=$D24,EE$2&lt;=$E24),1,"")))</f>
        <v/>
      </c>
      <c r="EF24" s="55" t="str">
        <f aca="false">IF(OR(EF$2="",$D24=""),"",IF(IF(ISNUMBER($F24),AND(EF$2&gt;=$F24,EF$2&lt;=IF(ISNUMBER($G24),$G24,$F24+$E24-$D24)),FALSE()),2,IF(AND(EF$2&gt;=$D24,EF$2&lt;=$E24),1,"")))</f>
        <v/>
      </c>
      <c r="EG24" s="55" t="str">
        <f aca="false">IF(OR(EG$2="",$D24=""),"",IF(IF(ISNUMBER($F24),AND(EG$2&gt;=$F24,EG$2&lt;=IF(ISNUMBER($G24),$G24,$F24+$E24-$D24)),FALSE()),2,IF(AND(EG$2&gt;=$D24,EG$2&lt;=$E24),1,"")))</f>
        <v/>
      </c>
      <c r="EH24" s="55" t="str">
        <f aca="false">IF(OR(EH$2="",$D24=""),"",IF(IF(ISNUMBER($F24),AND(EH$2&gt;=$F24,EH$2&lt;=IF(ISNUMBER($G24),$G24,$F24+$E24-$D24)),FALSE()),2,IF(AND(EH$2&gt;=$D24,EH$2&lt;=$E24),1,"")))</f>
        <v/>
      </c>
      <c r="EI24" s="55" t="str">
        <f aca="false">IF(OR(EI$2="",$D24=""),"",IF(IF(ISNUMBER($F24),AND(EI$2&gt;=$F24,EI$2&lt;=IF(ISNUMBER($G24),$G24,$F24+$E24-$D24)),FALSE()),2,IF(AND(EI$2&gt;=$D24,EI$2&lt;=$E24),1,"")))</f>
        <v/>
      </c>
      <c r="EJ24" s="55" t="str">
        <f aca="false">IF(OR(EJ$2="",$D24=""),"",IF(IF(ISNUMBER($F24),AND(EJ$2&gt;=$F24,EJ$2&lt;=IF(ISNUMBER($G24),$G24,$F24+$E24-$D24)),FALSE()),2,IF(AND(EJ$2&gt;=$D24,EJ$2&lt;=$E24),1,"")))</f>
        <v/>
      </c>
      <c r="EK24" s="55" t="str">
        <f aca="false">IF(OR(EK$2="",$D24=""),"",IF(IF(ISNUMBER($F24),AND(EK$2&gt;=$F24,EK$2&lt;=IF(ISNUMBER($G24),$G24,$F24+$E24-$D24)),FALSE()),2,IF(AND(EK$2&gt;=$D24,EK$2&lt;=$E24),1,"")))</f>
        <v/>
      </c>
      <c r="EL24" s="55" t="str">
        <f aca="false">IF(OR(EL$2="",$D24=""),"",IF(IF(ISNUMBER($F24),AND(EL$2&gt;=$F24,EL$2&lt;=IF(ISNUMBER($G24),$G24,$F24+$E24-$D24)),FALSE()),2,IF(AND(EL$2&gt;=$D24,EL$2&lt;=$E24),1,"")))</f>
        <v/>
      </c>
      <c r="EM24" s="55" t="str">
        <f aca="false">IF(OR(EM$2="",$D24=""),"",IF(IF(ISNUMBER($F24),AND(EM$2&gt;=$F24,EM$2&lt;=IF(ISNUMBER($G24),$G24,$F24+$E24-$D24)),FALSE()),2,IF(AND(EM$2&gt;=$D24,EM$2&lt;=$E24),1,"")))</f>
        <v/>
      </c>
      <c r="EN24" s="55" t="str">
        <f aca="false">IF(OR(EN$2="",$D24=""),"",IF(IF(ISNUMBER($F24),AND(EN$2&gt;=$F24,EN$2&lt;=IF(ISNUMBER($G24),$G24,$F24+$E24-$D24)),FALSE()),2,IF(AND(EN$2&gt;=$D24,EN$2&lt;=$E24),1,"")))</f>
        <v/>
      </c>
      <c r="EO24" s="55" t="str">
        <f aca="false">IF(OR(EO$2="",$D24=""),"",IF(IF(ISNUMBER($F24),AND(EO$2&gt;=$F24,EO$2&lt;=IF(ISNUMBER($G24),$G24,$F24+$E24-$D24)),FALSE()),2,IF(AND(EO$2&gt;=$D24,EO$2&lt;=$E24),1,"")))</f>
        <v/>
      </c>
      <c r="EP24" s="55" t="str">
        <f aca="false">IF(OR(EP$2="",$D24=""),"",IF(IF(ISNUMBER($F24),AND(EP$2&gt;=$F24,EP$2&lt;=IF(ISNUMBER($G24),$G24,$F24+$E24-$D24)),FALSE()),2,IF(AND(EP$2&gt;=$D24,EP$2&lt;=$E24),1,"")))</f>
        <v/>
      </c>
      <c r="EQ24" s="55" t="str">
        <f aca="false">IF(OR(EQ$2="",$D24=""),"",IF(IF(ISNUMBER($F24),AND(EQ$2&gt;=$F24,EQ$2&lt;=IF(ISNUMBER($G24),$G24,$F24+$E24-$D24)),FALSE()),2,IF(AND(EQ$2&gt;=$D24,EQ$2&lt;=$E24),1,"")))</f>
        <v/>
      </c>
      <c r="ER24" s="55" t="str">
        <f aca="false">IF(OR(ER$2="",$D24=""),"",IF(IF(ISNUMBER($F24),AND(ER$2&gt;=$F24,ER$2&lt;=IF(ISNUMBER($G24),$G24,$F24+$E24-$D24)),FALSE()),2,IF(AND(ER$2&gt;=$D24,ER$2&lt;=$E24),1,"")))</f>
        <v/>
      </c>
      <c r="ES24" s="55" t="str">
        <f aca="false">IF(OR(ES$2="",$D24=""),"",IF(IF(ISNUMBER($F24),AND(ES$2&gt;=$F24,ES$2&lt;=IF(ISNUMBER($G24),$G24,$F24+$E24-$D24)),FALSE()),2,IF(AND(ES$2&gt;=$D24,ES$2&lt;=$E24),1,"")))</f>
        <v/>
      </c>
      <c r="ET24" s="55" t="str">
        <f aca="false">IF(OR(ET$2="",$D24=""),"",IF(IF(ISNUMBER($F24),AND(ET$2&gt;=$F24,ET$2&lt;=IF(ISNUMBER($G24),$G24,$F24+$E24-$D24)),FALSE()),2,IF(AND(ET$2&gt;=$D24,ET$2&lt;=$E24),1,"")))</f>
        <v/>
      </c>
      <c r="EU24" s="55" t="str">
        <f aca="false">IF(OR(EU$2="",$D24=""),"",IF(IF(ISNUMBER($F24),AND(EU$2&gt;=$F24,EU$2&lt;=IF(ISNUMBER($G24),$G24,$F24+$E24-$D24)),FALSE()),2,IF(AND(EU$2&gt;=$D24,EU$2&lt;=$E24),1,"")))</f>
        <v/>
      </c>
      <c r="EV24" s="55" t="str">
        <f aca="false">IF(OR(EV$2="",$D24=""),"",IF(IF(ISNUMBER($F24),AND(EV$2&gt;=$F24,EV$2&lt;=IF(ISNUMBER($G24),$G24,$F24+$E24-$D24)),FALSE()),2,IF(AND(EV$2&gt;=$D24,EV$2&lt;=$E24),1,"")))</f>
        <v/>
      </c>
      <c r="EW24" s="55" t="str">
        <f aca="false">IF(OR(EW$2="",$D24=""),"",IF(IF(ISNUMBER($F24),AND(EW$2&gt;=$F24,EW$2&lt;=IF(ISNUMBER($G24),$G24,$F24+$E24-$D24)),FALSE()),2,IF(AND(EW$2&gt;=$D24,EW$2&lt;=$E24),1,"")))</f>
        <v/>
      </c>
      <c r="EX24" s="55" t="str">
        <f aca="false">IF(OR(EX$2="",$D24=""),"",IF(IF(ISNUMBER($F24),AND(EX$2&gt;=$F24,EX$2&lt;=IF(ISNUMBER($G24),$G24,$F24+$E24-$D24)),FALSE()),2,IF(AND(EX$2&gt;=$D24,EX$2&lt;=$E24),1,"")))</f>
        <v/>
      </c>
      <c r="EY24" s="55" t="str">
        <f aca="false">IF(OR(EY$2="",$D24=""),"",IF(IF(ISNUMBER($F24),AND(EY$2&gt;=$F24,EY$2&lt;=IF(ISNUMBER($G24),$G24,$F24+$E24-$D24)),FALSE()),2,IF(AND(EY$2&gt;=$D24,EY$2&lt;=$E24),1,"")))</f>
        <v/>
      </c>
      <c r="EZ24" s="55" t="str">
        <f aca="false">IF(OR(EZ$2="",$D24=""),"",IF(IF(ISNUMBER($F24),AND(EZ$2&gt;=$F24,EZ$2&lt;=IF(ISNUMBER($G24),$G24,$F24+$E24-$D24)),FALSE()),2,IF(AND(EZ$2&gt;=$D24,EZ$2&lt;=$E24),1,"")))</f>
        <v/>
      </c>
      <c r="FA24" s="55" t="str">
        <f aca="false">IF(OR(FA$2="",$D24=""),"",IF(IF(ISNUMBER($F24),AND(FA$2&gt;=$F24,FA$2&lt;=IF(ISNUMBER($G24),$G24,$F24+$E24-$D24)),FALSE()),2,IF(AND(FA$2&gt;=$D24,FA$2&lt;=$E24),1,"")))</f>
        <v/>
      </c>
      <c r="FB24" s="55" t="str">
        <f aca="false">IF(OR(FB$2="",$D24=""),"",IF(IF(ISNUMBER($F24),AND(FB$2&gt;=$F24,FB$2&lt;=IF(ISNUMBER($G24),$G24,$F24+$E24-$D24)),FALSE()),2,IF(AND(FB$2&gt;=$D24,FB$2&lt;=$E24),1,"")))</f>
        <v/>
      </c>
      <c r="FC24" s="55" t="str">
        <f aca="false">IF(OR(FC$2="",$D24=""),"",IF(IF(ISNUMBER($F24),AND(FC$2&gt;=$F24,FC$2&lt;=IF(ISNUMBER($G24),$G24,$F24+$E24-$D24)),FALSE()),2,IF(AND(FC$2&gt;=$D24,FC$2&lt;=$E24),1,"")))</f>
        <v/>
      </c>
      <c r="FD24" s="55" t="str">
        <f aca="false">IF(OR(FD$2="",$D24=""),"",IF(IF(ISNUMBER($F24),AND(FD$2&gt;=$F24,FD$2&lt;=IF(ISNUMBER($G24),$G24,$F24+$E24-$D24)),FALSE()),2,IF(AND(FD$2&gt;=$D24,FD$2&lt;=$E24),1,"")))</f>
        <v/>
      </c>
      <c r="FE24" s="55" t="str">
        <f aca="false">IF(OR(FE$2="",$D24=""),"",IF(IF(ISNUMBER($F24),AND(FE$2&gt;=$F24,FE$2&lt;=IF(ISNUMBER($G24),$G24,$F24+$E24-$D24)),FALSE()),2,IF(AND(FE$2&gt;=$D24,FE$2&lt;=$E24),1,"")))</f>
        <v/>
      </c>
      <c r="FF24" s="55" t="str">
        <f aca="false">IF(OR(FF$2="",$D24=""),"",IF(IF(ISNUMBER($F24),AND(FF$2&gt;=$F24,FF$2&lt;=IF(ISNUMBER($G24),$G24,$F24+$E24-$D24)),FALSE()),2,IF(AND(FF$2&gt;=$D24,FF$2&lt;=$E24),1,"")))</f>
        <v/>
      </c>
      <c r="FG24" s="55" t="n">
        <f aca="false">IF(OR(FG$2="",$D24=""),"",IF(IF(ISNUMBER($F24),AND(FG$2&gt;=$F24,FG$2&lt;=IF(ISNUMBER($G24),$G24,$F24+$E24-$D24)),FALSE()),2,IF(AND(FG$2&gt;=$D24,FG$2&lt;=$E24),1,"")))</f>
        <v>1</v>
      </c>
      <c r="FH24" s="55" t="str">
        <f aca="false">IF(OR(FH$2="",$D24=""),"",IF(IF(ISNUMBER($F24),AND(FH$2&gt;=$F24,FH$2&lt;=IF(ISNUMBER($G24),$G24,$F24+$E24-$D24)),FALSE()),2,IF(AND(FH$2&gt;=$D24,FH$2&lt;=$E24),1,"")))</f>
        <v/>
      </c>
      <c r="FI24" s="55" t="str">
        <f aca="false">IF(OR(FI$2="",$D24=""),"",IF(IF(ISNUMBER($F24),AND(FI$2&gt;=$F24,FI$2&lt;=IF(ISNUMBER($G24),$G24,$F24+$E24-$D24)),FALSE()),2,IF(AND(FI$2&gt;=$D24,FI$2&lt;=$E24),1,"")))</f>
        <v/>
      </c>
      <c r="FJ24" s="55" t="str">
        <f aca="false">IF(OR(FJ$2="",$D24=""),"",IF(IF(ISNUMBER($F24),AND(FJ$2&gt;=$F24,FJ$2&lt;=IF(ISNUMBER($G24),$G24,$F24+$E24-$D24)),FALSE()),2,IF(AND(FJ$2&gt;=$D24,FJ$2&lt;=$E24),1,"")))</f>
        <v/>
      </c>
      <c r="FK24" s="55" t="str">
        <f aca="false">IF(OR(FK$2="",$D24=""),"",IF(IF(ISNUMBER($F24),AND(FK$2&gt;=$F24,FK$2&lt;=IF(ISNUMBER($G24),$G24,$F24+$E24-$D24)),FALSE()),2,IF(AND(FK$2&gt;=$D24,FK$2&lt;=$E24),1,"")))</f>
        <v/>
      </c>
      <c r="FL24" s="55" t="str">
        <f aca="false">IF(OR(FL$2="",$D24=""),"",IF(IF(ISNUMBER($F24),AND(FL$2&gt;=$F24,FL$2&lt;=IF(ISNUMBER($G24),$G24,$F24+$E24-$D24)),FALSE()),2,IF(AND(FL$2&gt;=$D24,FL$2&lt;=$E24),1,"")))</f>
        <v/>
      </c>
      <c r="FM24" s="55" t="str">
        <f aca="false">IF(OR(FM$2="",$D24=""),"",IF(IF(ISNUMBER($F24),AND(FM$2&gt;=$F24,FM$2&lt;=IF(ISNUMBER($G24),$G24,$F24+$E24-$D24)),FALSE()),2,IF(AND(FM$2&gt;=$D24,FM$2&lt;=$E24),1,"")))</f>
        <v/>
      </c>
      <c r="FN24" s="55" t="str">
        <f aca="false">IF(OR(FN$2="",$D24=""),"",IF(IF(ISNUMBER($F24),AND(FN$2&gt;=$F24,FN$2&lt;=IF(ISNUMBER($G24),$G24,$F24+$E24-$D24)),FALSE()),2,IF(AND(FN$2&gt;=$D24,FN$2&lt;=$E24),1,"")))</f>
        <v/>
      </c>
      <c r="FO24" s="55" t="str">
        <f aca="false">IF(OR(FO$2="",$D24=""),"",IF(IF(ISNUMBER($F24),AND(FO$2&gt;=$F24,FO$2&lt;=IF(ISNUMBER($G24),$G24,$F24+$E24-$D24)),FALSE()),2,IF(AND(FO$2&gt;=$D24,FO$2&lt;=$E24),1,"")))</f>
        <v/>
      </c>
      <c r="FP24" s="55" t="str">
        <f aca="false">IF(OR(FP$2="",$D24=""),"",IF(IF(ISNUMBER($F24),AND(FP$2&gt;=$F24,FP$2&lt;=IF(ISNUMBER($G24),$G24,$F24+$E24-$D24)),FALSE()),2,IF(AND(FP$2&gt;=$D24,FP$2&lt;=$E24),1,"")))</f>
        <v/>
      </c>
      <c r="FQ24" s="55" t="str">
        <f aca="false">IF(OR(FQ$2="",$D24=""),"",IF(IF(ISNUMBER($F24),AND(FQ$2&gt;=$F24,FQ$2&lt;=IF(ISNUMBER($G24),$G24,$F24+$E24-$D24)),FALSE()),2,IF(AND(FQ$2&gt;=$D24,FQ$2&lt;=$E24),1,"")))</f>
        <v/>
      </c>
      <c r="FR24" s="55" t="str">
        <f aca="false">IF(OR(FR$2="",$D24=""),"",IF(IF(ISNUMBER($F24),AND(FR$2&gt;=$F24,FR$2&lt;=IF(ISNUMBER($G24),$G24,$F24+$E24-$D24)),FALSE()),2,IF(AND(FR$2&gt;=$D24,FR$2&lt;=$E24),1,"")))</f>
        <v/>
      </c>
      <c r="FS24" s="55" t="str">
        <f aca="false">IF(OR(FS$2="",$D24=""),"",IF(IF(ISNUMBER($F24),AND(FS$2&gt;=$F24,FS$2&lt;=IF(ISNUMBER($G24),$G24,$F24+$E24-$D24)),FALSE()),2,IF(AND(FS$2&gt;=$D24,FS$2&lt;=$E24),1,"")))</f>
        <v/>
      </c>
      <c r="FT24" s="55" t="str">
        <f aca="false">IF(OR(FT$2="",$D24=""),"",IF(IF(ISNUMBER($F24),AND(FT$2&gt;=$F24,FT$2&lt;=IF(ISNUMBER($G24),$G24,$F24+$E24-$D24)),FALSE()),2,IF(AND(FT$2&gt;=$D24,FT$2&lt;=$E24),1,"")))</f>
        <v/>
      </c>
      <c r="FU24" s="55" t="str">
        <f aca="false">IF(OR(FU$2="",$D24=""),"",IF(IF(ISNUMBER($F24),AND(FU$2&gt;=$F24,FU$2&lt;=IF(ISNUMBER($G24),$G24,$F24+$E24-$D24)),FALSE()),2,IF(AND(FU$2&gt;=$D24,FU$2&lt;=$E24),1,"")))</f>
        <v/>
      </c>
      <c r="FV24" s="55" t="str">
        <f aca="false">IF(OR(FV$2="",$D24=""),"",IF(IF(ISNUMBER($F24),AND(FV$2&gt;=$F24,FV$2&lt;=IF(ISNUMBER($G24),$G24,$F24+$E24-$D24)),FALSE()),2,IF(AND(FV$2&gt;=$D24,FV$2&lt;=$E24),1,"")))</f>
        <v/>
      </c>
      <c r="FW24" s="55" t="str">
        <f aca="false">IF(OR(FW$2="",$D24=""),"",IF(IF(ISNUMBER($F24),AND(FW$2&gt;=$F24,FW$2&lt;=IF(ISNUMBER($G24),$G24,$F24+$E24-$D24)),FALSE()),2,IF(AND(FW$2&gt;=$D24,FW$2&lt;=$E24),1,"")))</f>
        <v/>
      </c>
      <c r="FX24" s="55" t="str">
        <f aca="false">IF(OR(FX$2="",$D24=""),"",IF(IF(ISNUMBER($F24),AND(FX$2&gt;=$F24,FX$2&lt;=IF(ISNUMBER($G24),$G24,$F24+$E24-$D24)),FALSE()),2,IF(AND(FX$2&gt;=$D24,FX$2&lt;=$E24),1,"")))</f>
        <v/>
      </c>
      <c r="FY24" s="55" t="str">
        <f aca="false">IF(OR(FY$2="",$D24=""),"",IF(IF(ISNUMBER($F24),AND(FY$2&gt;=$F24,FY$2&lt;=IF(ISNUMBER($G24),$G24,$F24+$E24-$D24)),FALSE()),2,IF(AND(FY$2&gt;=$D24,FY$2&lt;=$E24),1,"")))</f>
        <v/>
      </c>
      <c r="FZ24" s="55" t="str">
        <f aca="false">IF(OR(FZ$2="",$D24=""),"",IF(IF(ISNUMBER($F24),AND(FZ$2&gt;=$F24,FZ$2&lt;=IF(ISNUMBER($G24),$G24,$F24+$E24-$D24)),FALSE()),2,IF(AND(FZ$2&gt;=$D24,FZ$2&lt;=$E24),1,"")))</f>
        <v/>
      </c>
      <c r="GA24" s="55" t="str">
        <f aca="false">IF(OR(GA$2="",$D24=""),"",IF(IF(ISNUMBER($F24),AND(GA$2&gt;=$F24,GA$2&lt;=IF(ISNUMBER($G24),$G24,$F24+$E24-$D24)),FALSE()),2,IF(AND(GA$2&gt;=$D24,GA$2&lt;=$E24),1,"")))</f>
        <v/>
      </c>
      <c r="GB24" s="55" t="str">
        <f aca="false">IF(OR(GB$2="",$D24=""),"",IF(IF(ISNUMBER($F24),AND(GB$2&gt;=$F24,GB$2&lt;=IF(ISNUMBER($G24),$G24,$F24+$E24-$D24)),FALSE()),2,IF(AND(GB$2&gt;=$D24,GB$2&lt;=$E24),1,"")))</f>
        <v/>
      </c>
      <c r="GC24" s="55" t="str">
        <f aca="false">IF(OR(GC$2="",$D24=""),"",IF(IF(ISNUMBER($F24),AND(GC$2&gt;=$F24,GC$2&lt;=IF(ISNUMBER($G24),$G24,$F24+$E24-$D24)),FALSE()),2,IF(AND(GC$2&gt;=$D24,GC$2&lt;=$E24),1,"")))</f>
        <v/>
      </c>
      <c r="GD24" s="55" t="str">
        <f aca="false">IF(OR(GD$2="",$D24=""),"",IF(IF(ISNUMBER($F24),AND(GD$2&gt;=$F24,GD$2&lt;=IF(ISNUMBER($G24),$G24,$F24+$E24-$D24)),FALSE()),2,IF(AND(GD$2&gt;=$D24,GD$2&lt;=$E24),1,"")))</f>
        <v/>
      </c>
      <c r="GE24" s="55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false" outlineLevel="0" collapsed="false">
      <c r="A25" s="54" t="s">
        <v>396</v>
      </c>
      <c r="B25" s="21" t="s">
        <v>397</v>
      </c>
      <c r="C25" s="21" t="s">
        <v>83</v>
      </c>
      <c r="D25" s="51" t="n">
        <f aca="false">IF(Day_0="","",Day_0+cfg_6+cfg_9)</f>
        <v>46142</v>
      </c>
      <c r="E25" s="51" t="n">
        <f aca="false">IF(D25="","",D25)</f>
        <v>46142</v>
      </c>
      <c r="F25" s="51" t="str">
        <f aca="false">IF(_xlfn.MINIFS(2_Daily_input!$D$1:$FQ$1,2_Daily_input!$D$71:$FQ$71,"Harvest")+_xlfn.MINIFS(2_Daily_input!$D$1:$FQ$1,2_Daily_input!$D$72:$FQ$72,"Harvest")=0,"",IF(_xlfn.MINIFS(2_Daily_input!$D$1:$FQ$1,2_Daily_input!$D$71:$FQ$71,"Harvest")=0,_xlfn.MINIFS(2_Daily_input!$D$1:$FQ$1,2_Daily_input!$D$72:$FQ$72,"Harvest"),IF(_xlfn.MINIFS(2_Daily_input!$D$1:$FQ$1,2_Daily_input!$D$72:$FQ$72,"Harvest")=0,_xlfn.MINIFS(2_Daily_input!$D$1:$FQ$1,2_Daily_input!$D$71:$FQ$71,"Harvest"),MIN(_xlfn.MINIFS(2_Daily_input!$D$1:$FQ$1,2_Daily_input!$D$71:$FQ$71,"Harvest"),_xlfn.MINIFS(2_Daily_input!$D$1:$FQ$1,2_Daily_input!$D$72:$FQ$72,"Harvest")))))</f>
        <v/>
      </c>
      <c r="G25" s="51" t="str">
        <f aca="false">""</f>
        <v/>
      </c>
      <c r="H25" s="50" t="str">
        <f aca="true">IF(D25="","no plan",IF(F25&lt;&gt;"",IF(F25-D25&gt;=2,"LATE","OK"),IF(TODAY()&gt;D25+2,"OVERDUE","upcoming")))</f>
        <v>OVERDUE</v>
      </c>
      <c r="I25" s="50" t="str">
        <f aca="false">IF(AND(D25&lt;&gt;"",F25&lt;&gt;""),F25-D25,"")</f>
        <v/>
      </c>
      <c r="J25" s="51" t="n">
        <f aca="false">IF(F25&lt;&gt;"",F25,D25)</f>
        <v>46142</v>
      </c>
      <c r="K25" s="51" t="n">
        <f aca="false">IF(G25&lt;&gt;"",G25,IF(AND(F25&lt;&gt;"",E25=D25),F25,E25))</f>
        <v>46142</v>
      </c>
      <c r="L25" s="50" t="str">
        <f aca="true">IF(AND(D25&lt;&gt;"",F25="",D25&gt;=TODAY()),D25+ROW()/1000,"")</f>
        <v/>
      </c>
      <c r="M25" s="55" t="str">
        <f aca="false">IF(OR(M$2="",$D25=""),"",IF(IF(ISNUMBER($F25),AND(M$2&gt;=$F25,M$2&lt;=IF(ISNUMBER($G25),$G25,$F25+$E25-$D25)),FALSE()),2,IF(AND(M$2&gt;=$D25,M$2&lt;=$E25),1,"")))</f>
        <v/>
      </c>
      <c r="N25" s="55" t="str">
        <f aca="false">IF(OR(N$2="",$D25=""),"",IF(IF(ISNUMBER($F25),AND(N$2&gt;=$F25,N$2&lt;=IF(ISNUMBER($G25),$G25,$F25+$E25-$D25)),FALSE()),2,IF(AND(N$2&gt;=$D25,N$2&lt;=$E25),1,"")))</f>
        <v/>
      </c>
      <c r="O25" s="55" t="str">
        <f aca="false">IF(OR(O$2="",$D25=""),"",IF(IF(ISNUMBER($F25),AND(O$2&gt;=$F25,O$2&lt;=IF(ISNUMBER($G25),$G25,$F25+$E25-$D25)),FALSE()),2,IF(AND(O$2&gt;=$D25,O$2&lt;=$E25),1,"")))</f>
        <v/>
      </c>
      <c r="P25" s="55" t="str">
        <f aca="false">IF(OR(P$2="",$D25=""),"",IF(IF(ISNUMBER($F25),AND(P$2&gt;=$F25,P$2&lt;=IF(ISNUMBER($G25),$G25,$F25+$E25-$D25)),FALSE()),2,IF(AND(P$2&gt;=$D25,P$2&lt;=$E25),1,"")))</f>
        <v/>
      </c>
      <c r="Q25" s="55" t="str">
        <f aca="false">IF(OR(Q$2="",$D25=""),"",IF(IF(ISNUMBER($F25),AND(Q$2&gt;=$F25,Q$2&lt;=IF(ISNUMBER($G25),$G25,$F25+$E25-$D25)),FALSE()),2,IF(AND(Q$2&gt;=$D25,Q$2&lt;=$E25),1,"")))</f>
        <v/>
      </c>
      <c r="R25" s="55" t="str">
        <f aca="false">IF(OR(R$2="",$D25=""),"",IF(IF(ISNUMBER($F25),AND(R$2&gt;=$F25,R$2&lt;=IF(ISNUMBER($G25),$G25,$F25+$E25-$D25)),FALSE()),2,IF(AND(R$2&gt;=$D25,R$2&lt;=$E25),1,"")))</f>
        <v/>
      </c>
      <c r="S25" s="55" t="str">
        <f aca="false">IF(OR(S$2="",$D25=""),"",IF(IF(ISNUMBER($F25),AND(S$2&gt;=$F25,S$2&lt;=IF(ISNUMBER($G25),$G25,$F25+$E25-$D25)),FALSE()),2,IF(AND(S$2&gt;=$D25,S$2&lt;=$E25),1,"")))</f>
        <v/>
      </c>
      <c r="T25" s="55" t="str">
        <f aca="false">IF(OR(T$2="",$D25=""),"",IF(IF(ISNUMBER($F25),AND(T$2&gt;=$F25,T$2&lt;=IF(ISNUMBER($G25),$G25,$F25+$E25-$D25)),FALSE()),2,IF(AND(T$2&gt;=$D25,T$2&lt;=$E25),1,"")))</f>
        <v/>
      </c>
      <c r="U25" s="55" t="str">
        <f aca="false">IF(OR(U$2="",$D25=""),"",IF(IF(ISNUMBER($F25),AND(U$2&gt;=$F25,U$2&lt;=IF(ISNUMBER($G25),$G25,$F25+$E25-$D25)),FALSE()),2,IF(AND(U$2&gt;=$D25,U$2&lt;=$E25),1,"")))</f>
        <v/>
      </c>
      <c r="V25" s="55" t="str">
        <f aca="false">IF(OR(V$2="",$D25=""),"",IF(IF(ISNUMBER($F25),AND(V$2&gt;=$F25,V$2&lt;=IF(ISNUMBER($G25),$G25,$F25+$E25-$D25)),FALSE()),2,IF(AND(V$2&gt;=$D25,V$2&lt;=$E25),1,"")))</f>
        <v/>
      </c>
      <c r="W25" s="55" t="str">
        <f aca="false">IF(OR(W$2="",$D25=""),"",IF(IF(ISNUMBER($F25),AND(W$2&gt;=$F25,W$2&lt;=IF(ISNUMBER($G25),$G25,$F25+$E25-$D25)),FALSE()),2,IF(AND(W$2&gt;=$D25,W$2&lt;=$E25),1,"")))</f>
        <v/>
      </c>
      <c r="X25" s="55" t="str">
        <f aca="false">IF(OR(X$2="",$D25=""),"",IF(IF(ISNUMBER($F25),AND(X$2&gt;=$F25,X$2&lt;=IF(ISNUMBER($G25),$G25,$F25+$E25-$D25)),FALSE()),2,IF(AND(X$2&gt;=$D25,X$2&lt;=$E25),1,"")))</f>
        <v/>
      </c>
      <c r="Y25" s="55" t="str">
        <f aca="false">IF(OR(Y$2="",$D25=""),"",IF(IF(ISNUMBER($F25),AND(Y$2&gt;=$F25,Y$2&lt;=IF(ISNUMBER($G25),$G25,$F25+$E25-$D25)),FALSE()),2,IF(AND(Y$2&gt;=$D25,Y$2&lt;=$E25),1,"")))</f>
        <v/>
      </c>
      <c r="Z25" s="55" t="str">
        <f aca="false">IF(OR(Z$2="",$D25=""),"",IF(IF(ISNUMBER($F25),AND(Z$2&gt;=$F25,Z$2&lt;=IF(ISNUMBER($G25),$G25,$F25+$E25-$D25)),FALSE()),2,IF(AND(Z$2&gt;=$D25,Z$2&lt;=$E25),1,"")))</f>
        <v/>
      </c>
      <c r="AA25" s="55" t="str">
        <f aca="false">IF(OR(AA$2="",$D25=""),"",IF(IF(ISNUMBER($F25),AND(AA$2&gt;=$F25,AA$2&lt;=IF(ISNUMBER($G25),$G25,$F25+$E25-$D25)),FALSE()),2,IF(AND(AA$2&gt;=$D25,AA$2&lt;=$E25),1,"")))</f>
        <v/>
      </c>
      <c r="AB25" s="55" t="str">
        <f aca="false">IF(OR(AB$2="",$D25=""),"",IF(IF(ISNUMBER($F25),AND(AB$2&gt;=$F25,AB$2&lt;=IF(ISNUMBER($G25),$G25,$F25+$E25-$D25)),FALSE()),2,IF(AND(AB$2&gt;=$D25,AB$2&lt;=$E25),1,"")))</f>
        <v/>
      </c>
      <c r="AC25" s="55" t="str">
        <f aca="false">IF(OR(AC$2="",$D25=""),"",IF(IF(ISNUMBER($F25),AND(AC$2&gt;=$F25,AC$2&lt;=IF(ISNUMBER($G25),$G25,$F25+$E25-$D25)),FALSE()),2,IF(AND(AC$2&gt;=$D25,AC$2&lt;=$E25),1,"")))</f>
        <v/>
      </c>
      <c r="AD25" s="55" t="str">
        <f aca="false">IF(OR(AD$2="",$D25=""),"",IF(IF(ISNUMBER($F25),AND(AD$2&gt;=$F25,AD$2&lt;=IF(ISNUMBER($G25),$G25,$F25+$E25-$D25)),FALSE()),2,IF(AND(AD$2&gt;=$D25,AD$2&lt;=$E25),1,"")))</f>
        <v/>
      </c>
      <c r="AE25" s="55" t="str">
        <f aca="false">IF(OR(AE$2="",$D25=""),"",IF(IF(ISNUMBER($F25),AND(AE$2&gt;=$F25,AE$2&lt;=IF(ISNUMBER($G25),$G25,$F25+$E25-$D25)),FALSE()),2,IF(AND(AE$2&gt;=$D25,AE$2&lt;=$E25),1,"")))</f>
        <v/>
      </c>
      <c r="AF25" s="55" t="str">
        <f aca="false">IF(OR(AF$2="",$D25=""),"",IF(IF(ISNUMBER($F25),AND(AF$2&gt;=$F25,AF$2&lt;=IF(ISNUMBER($G25),$G25,$F25+$E25-$D25)),FALSE()),2,IF(AND(AF$2&gt;=$D25,AF$2&lt;=$E25),1,"")))</f>
        <v/>
      </c>
      <c r="AG25" s="55" t="str">
        <f aca="false">IF(OR(AG$2="",$D25=""),"",IF(IF(ISNUMBER($F25),AND(AG$2&gt;=$F25,AG$2&lt;=IF(ISNUMBER($G25),$G25,$F25+$E25-$D25)),FALSE()),2,IF(AND(AG$2&gt;=$D25,AG$2&lt;=$E25),1,"")))</f>
        <v/>
      </c>
      <c r="AH25" s="55" t="str">
        <f aca="false">IF(OR(AH$2="",$D25=""),"",IF(IF(ISNUMBER($F25),AND(AH$2&gt;=$F25,AH$2&lt;=IF(ISNUMBER($G25),$G25,$F25+$E25-$D25)),FALSE()),2,IF(AND(AH$2&gt;=$D25,AH$2&lt;=$E25),1,"")))</f>
        <v/>
      </c>
      <c r="AI25" s="55" t="str">
        <f aca="false">IF(OR(AI$2="",$D25=""),"",IF(IF(ISNUMBER($F25),AND(AI$2&gt;=$F25,AI$2&lt;=IF(ISNUMBER($G25),$G25,$F25+$E25-$D25)),FALSE()),2,IF(AND(AI$2&gt;=$D25,AI$2&lt;=$E25),1,"")))</f>
        <v/>
      </c>
      <c r="AJ25" s="55" t="str">
        <f aca="false">IF(OR(AJ$2="",$D25=""),"",IF(IF(ISNUMBER($F25),AND(AJ$2&gt;=$F25,AJ$2&lt;=IF(ISNUMBER($G25),$G25,$F25+$E25-$D25)),FALSE()),2,IF(AND(AJ$2&gt;=$D25,AJ$2&lt;=$E25),1,"")))</f>
        <v/>
      </c>
      <c r="AK25" s="55" t="str">
        <f aca="false">IF(OR(AK$2="",$D25=""),"",IF(IF(ISNUMBER($F25),AND(AK$2&gt;=$F25,AK$2&lt;=IF(ISNUMBER($G25),$G25,$F25+$E25-$D25)),FALSE()),2,IF(AND(AK$2&gt;=$D25,AK$2&lt;=$E25),1,"")))</f>
        <v/>
      </c>
      <c r="AL25" s="55" t="str">
        <f aca="false">IF(OR(AL$2="",$D25=""),"",IF(IF(ISNUMBER($F25),AND(AL$2&gt;=$F25,AL$2&lt;=IF(ISNUMBER($G25),$G25,$F25+$E25-$D25)),FALSE()),2,IF(AND(AL$2&gt;=$D25,AL$2&lt;=$E25),1,"")))</f>
        <v/>
      </c>
      <c r="AM25" s="55" t="str">
        <f aca="false">IF(OR(AM$2="",$D25=""),"",IF(IF(ISNUMBER($F25),AND(AM$2&gt;=$F25,AM$2&lt;=IF(ISNUMBER($G25),$G25,$F25+$E25-$D25)),FALSE()),2,IF(AND(AM$2&gt;=$D25,AM$2&lt;=$E25),1,"")))</f>
        <v/>
      </c>
      <c r="AN25" s="55" t="str">
        <f aca="false">IF(OR(AN$2="",$D25=""),"",IF(IF(ISNUMBER($F25),AND(AN$2&gt;=$F25,AN$2&lt;=IF(ISNUMBER($G25),$G25,$F25+$E25-$D25)),FALSE()),2,IF(AND(AN$2&gt;=$D25,AN$2&lt;=$E25),1,"")))</f>
        <v/>
      </c>
      <c r="AO25" s="55" t="str">
        <f aca="false">IF(OR(AO$2="",$D25=""),"",IF(IF(ISNUMBER($F25),AND(AO$2&gt;=$F25,AO$2&lt;=IF(ISNUMBER($G25),$G25,$F25+$E25-$D25)),FALSE()),2,IF(AND(AO$2&gt;=$D25,AO$2&lt;=$E25),1,"")))</f>
        <v/>
      </c>
      <c r="AP25" s="55" t="str">
        <f aca="false">IF(OR(AP$2="",$D25=""),"",IF(IF(ISNUMBER($F25),AND(AP$2&gt;=$F25,AP$2&lt;=IF(ISNUMBER($G25),$G25,$F25+$E25-$D25)),FALSE()),2,IF(AND(AP$2&gt;=$D25,AP$2&lt;=$E25),1,"")))</f>
        <v/>
      </c>
      <c r="AQ25" s="55" t="str">
        <f aca="false">IF(OR(AQ$2="",$D25=""),"",IF(IF(ISNUMBER($F25),AND(AQ$2&gt;=$F25,AQ$2&lt;=IF(ISNUMBER($G25),$G25,$F25+$E25-$D25)),FALSE()),2,IF(AND(AQ$2&gt;=$D25,AQ$2&lt;=$E25),1,"")))</f>
        <v/>
      </c>
      <c r="AR25" s="55" t="str">
        <f aca="false">IF(OR(AR$2="",$D25=""),"",IF(IF(ISNUMBER($F25),AND(AR$2&gt;=$F25,AR$2&lt;=IF(ISNUMBER($G25),$G25,$F25+$E25-$D25)),FALSE()),2,IF(AND(AR$2&gt;=$D25,AR$2&lt;=$E25),1,"")))</f>
        <v/>
      </c>
      <c r="AS25" s="55" t="str">
        <f aca="false">IF(OR(AS$2="",$D25=""),"",IF(IF(ISNUMBER($F25),AND(AS$2&gt;=$F25,AS$2&lt;=IF(ISNUMBER($G25),$G25,$F25+$E25-$D25)),FALSE()),2,IF(AND(AS$2&gt;=$D25,AS$2&lt;=$E25),1,"")))</f>
        <v/>
      </c>
      <c r="AT25" s="55" t="str">
        <f aca="false">IF(OR(AT$2="",$D25=""),"",IF(IF(ISNUMBER($F25),AND(AT$2&gt;=$F25,AT$2&lt;=IF(ISNUMBER($G25),$G25,$F25+$E25-$D25)),FALSE()),2,IF(AND(AT$2&gt;=$D25,AT$2&lt;=$E25),1,"")))</f>
        <v/>
      </c>
      <c r="AU25" s="55" t="str">
        <f aca="false">IF(OR(AU$2="",$D25=""),"",IF(IF(ISNUMBER($F25),AND(AU$2&gt;=$F25,AU$2&lt;=IF(ISNUMBER($G25),$G25,$F25+$E25-$D25)),FALSE()),2,IF(AND(AU$2&gt;=$D25,AU$2&lt;=$E25),1,"")))</f>
        <v/>
      </c>
      <c r="AV25" s="55" t="str">
        <f aca="false">IF(OR(AV$2="",$D25=""),"",IF(IF(ISNUMBER($F25),AND(AV$2&gt;=$F25,AV$2&lt;=IF(ISNUMBER($G25),$G25,$F25+$E25-$D25)),FALSE()),2,IF(AND(AV$2&gt;=$D25,AV$2&lt;=$E25),1,"")))</f>
        <v/>
      </c>
      <c r="AW25" s="55" t="str">
        <f aca="false">IF(OR(AW$2="",$D25=""),"",IF(IF(ISNUMBER($F25),AND(AW$2&gt;=$F25,AW$2&lt;=IF(ISNUMBER($G25),$G25,$F25+$E25-$D25)),FALSE()),2,IF(AND(AW$2&gt;=$D25,AW$2&lt;=$E25),1,"")))</f>
        <v/>
      </c>
      <c r="AX25" s="55" t="str">
        <f aca="false">IF(OR(AX$2="",$D25=""),"",IF(IF(ISNUMBER($F25),AND(AX$2&gt;=$F25,AX$2&lt;=IF(ISNUMBER($G25),$G25,$F25+$E25-$D25)),FALSE()),2,IF(AND(AX$2&gt;=$D25,AX$2&lt;=$E25),1,"")))</f>
        <v/>
      </c>
      <c r="AY25" s="55" t="str">
        <f aca="false">IF(OR(AY$2="",$D25=""),"",IF(IF(ISNUMBER($F25),AND(AY$2&gt;=$F25,AY$2&lt;=IF(ISNUMBER($G25),$G25,$F25+$E25-$D25)),FALSE()),2,IF(AND(AY$2&gt;=$D25,AY$2&lt;=$E25),1,"")))</f>
        <v/>
      </c>
      <c r="AZ25" s="55" t="str">
        <f aca="false">IF(OR(AZ$2="",$D25=""),"",IF(IF(ISNUMBER($F25),AND(AZ$2&gt;=$F25,AZ$2&lt;=IF(ISNUMBER($G25),$G25,$F25+$E25-$D25)),FALSE()),2,IF(AND(AZ$2&gt;=$D25,AZ$2&lt;=$E25),1,"")))</f>
        <v/>
      </c>
      <c r="BA25" s="55" t="str">
        <f aca="false">IF(OR(BA$2="",$D25=""),"",IF(IF(ISNUMBER($F25),AND(BA$2&gt;=$F25,BA$2&lt;=IF(ISNUMBER($G25),$G25,$F25+$E25-$D25)),FALSE()),2,IF(AND(BA$2&gt;=$D25,BA$2&lt;=$E25),1,"")))</f>
        <v/>
      </c>
      <c r="BB25" s="55" t="str">
        <f aca="false">IF(OR(BB$2="",$D25=""),"",IF(IF(ISNUMBER($F25),AND(BB$2&gt;=$F25,BB$2&lt;=IF(ISNUMBER($G25),$G25,$F25+$E25-$D25)),FALSE()),2,IF(AND(BB$2&gt;=$D25,BB$2&lt;=$E25),1,"")))</f>
        <v/>
      </c>
      <c r="BC25" s="55" t="str">
        <f aca="false">IF(OR(BC$2="",$D25=""),"",IF(IF(ISNUMBER($F25),AND(BC$2&gt;=$F25,BC$2&lt;=IF(ISNUMBER($G25),$G25,$F25+$E25-$D25)),FALSE()),2,IF(AND(BC$2&gt;=$D25,BC$2&lt;=$E25),1,"")))</f>
        <v/>
      </c>
      <c r="BD25" s="55" t="str">
        <f aca="false">IF(OR(BD$2="",$D25=""),"",IF(IF(ISNUMBER($F25),AND(BD$2&gt;=$F25,BD$2&lt;=IF(ISNUMBER($G25),$G25,$F25+$E25-$D25)),FALSE()),2,IF(AND(BD$2&gt;=$D25,BD$2&lt;=$E25),1,"")))</f>
        <v/>
      </c>
      <c r="BE25" s="55" t="str">
        <f aca="false">IF(OR(BE$2="",$D25=""),"",IF(IF(ISNUMBER($F25),AND(BE$2&gt;=$F25,BE$2&lt;=IF(ISNUMBER($G25),$G25,$F25+$E25-$D25)),FALSE()),2,IF(AND(BE$2&gt;=$D25,BE$2&lt;=$E25),1,"")))</f>
        <v/>
      </c>
      <c r="BF25" s="55" t="str">
        <f aca="false">IF(OR(BF$2="",$D25=""),"",IF(IF(ISNUMBER($F25),AND(BF$2&gt;=$F25,BF$2&lt;=IF(ISNUMBER($G25),$G25,$F25+$E25-$D25)),FALSE()),2,IF(AND(BF$2&gt;=$D25,BF$2&lt;=$E25),1,"")))</f>
        <v/>
      </c>
      <c r="BG25" s="55" t="str">
        <f aca="false">IF(OR(BG$2="",$D25=""),"",IF(IF(ISNUMBER($F25),AND(BG$2&gt;=$F25,BG$2&lt;=IF(ISNUMBER($G25),$G25,$F25+$E25-$D25)),FALSE()),2,IF(AND(BG$2&gt;=$D25,BG$2&lt;=$E25),1,"")))</f>
        <v/>
      </c>
      <c r="BH25" s="55" t="str">
        <f aca="false">IF(OR(BH$2="",$D25=""),"",IF(IF(ISNUMBER($F25),AND(BH$2&gt;=$F25,BH$2&lt;=IF(ISNUMBER($G25),$G25,$F25+$E25-$D25)),FALSE()),2,IF(AND(BH$2&gt;=$D25,BH$2&lt;=$E25),1,"")))</f>
        <v/>
      </c>
      <c r="BI25" s="55" t="str">
        <f aca="false">IF(OR(BI$2="",$D25=""),"",IF(IF(ISNUMBER($F25),AND(BI$2&gt;=$F25,BI$2&lt;=IF(ISNUMBER($G25),$G25,$F25+$E25-$D25)),FALSE()),2,IF(AND(BI$2&gt;=$D25,BI$2&lt;=$E25),1,"")))</f>
        <v/>
      </c>
      <c r="BJ25" s="55" t="str">
        <f aca="false">IF(OR(BJ$2="",$D25=""),"",IF(IF(ISNUMBER($F25),AND(BJ$2&gt;=$F25,BJ$2&lt;=IF(ISNUMBER($G25),$G25,$F25+$E25-$D25)),FALSE()),2,IF(AND(BJ$2&gt;=$D25,BJ$2&lt;=$E25),1,"")))</f>
        <v/>
      </c>
      <c r="BK25" s="55" t="str">
        <f aca="false">IF(OR(BK$2="",$D25=""),"",IF(IF(ISNUMBER($F25),AND(BK$2&gt;=$F25,BK$2&lt;=IF(ISNUMBER($G25),$G25,$F25+$E25-$D25)),FALSE()),2,IF(AND(BK$2&gt;=$D25,BK$2&lt;=$E25),1,"")))</f>
        <v/>
      </c>
      <c r="BL25" s="55" t="str">
        <f aca="false">IF(OR(BL$2="",$D25=""),"",IF(IF(ISNUMBER($F25),AND(BL$2&gt;=$F25,BL$2&lt;=IF(ISNUMBER($G25),$G25,$F25+$E25-$D25)),FALSE()),2,IF(AND(BL$2&gt;=$D25,BL$2&lt;=$E25),1,"")))</f>
        <v/>
      </c>
      <c r="BM25" s="55" t="str">
        <f aca="false">IF(OR(BM$2="",$D25=""),"",IF(IF(ISNUMBER($F25),AND(BM$2&gt;=$F25,BM$2&lt;=IF(ISNUMBER($G25),$G25,$F25+$E25-$D25)),FALSE()),2,IF(AND(BM$2&gt;=$D25,BM$2&lt;=$E25),1,"")))</f>
        <v/>
      </c>
      <c r="BN25" s="55" t="str">
        <f aca="false">IF(OR(BN$2="",$D25=""),"",IF(IF(ISNUMBER($F25),AND(BN$2&gt;=$F25,BN$2&lt;=IF(ISNUMBER($G25),$G25,$F25+$E25-$D25)),FALSE()),2,IF(AND(BN$2&gt;=$D25,BN$2&lt;=$E25),1,"")))</f>
        <v/>
      </c>
      <c r="BO25" s="55" t="str">
        <f aca="false">IF(OR(BO$2="",$D25=""),"",IF(IF(ISNUMBER($F25),AND(BO$2&gt;=$F25,BO$2&lt;=IF(ISNUMBER($G25),$G25,$F25+$E25-$D25)),FALSE()),2,IF(AND(BO$2&gt;=$D25,BO$2&lt;=$E25),1,"")))</f>
        <v/>
      </c>
      <c r="BP25" s="55" t="str">
        <f aca="false">IF(OR(BP$2="",$D25=""),"",IF(IF(ISNUMBER($F25),AND(BP$2&gt;=$F25,BP$2&lt;=IF(ISNUMBER($G25),$G25,$F25+$E25-$D25)),FALSE()),2,IF(AND(BP$2&gt;=$D25,BP$2&lt;=$E25),1,"")))</f>
        <v/>
      </c>
      <c r="BQ25" s="55" t="str">
        <f aca="false">IF(OR(BQ$2="",$D25=""),"",IF(IF(ISNUMBER($F25),AND(BQ$2&gt;=$F25,BQ$2&lt;=IF(ISNUMBER($G25),$G25,$F25+$E25-$D25)),FALSE()),2,IF(AND(BQ$2&gt;=$D25,BQ$2&lt;=$E25),1,"")))</f>
        <v/>
      </c>
      <c r="BR25" s="55" t="str">
        <f aca="false">IF(OR(BR$2="",$D25=""),"",IF(IF(ISNUMBER($F25),AND(BR$2&gt;=$F25,BR$2&lt;=IF(ISNUMBER($G25),$G25,$F25+$E25-$D25)),FALSE()),2,IF(AND(BR$2&gt;=$D25,BR$2&lt;=$E25),1,"")))</f>
        <v/>
      </c>
      <c r="BS25" s="55" t="str">
        <f aca="false">IF(OR(BS$2="",$D25=""),"",IF(IF(ISNUMBER($F25),AND(BS$2&gt;=$F25,BS$2&lt;=IF(ISNUMBER($G25),$G25,$F25+$E25-$D25)),FALSE()),2,IF(AND(BS$2&gt;=$D25,BS$2&lt;=$E25),1,"")))</f>
        <v/>
      </c>
      <c r="BT25" s="55" t="str">
        <f aca="false">IF(OR(BT$2="",$D25=""),"",IF(IF(ISNUMBER($F25),AND(BT$2&gt;=$F25,BT$2&lt;=IF(ISNUMBER($G25),$G25,$F25+$E25-$D25)),FALSE()),2,IF(AND(BT$2&gt;=$D25,BT$2&lt;=$E25),1,"")))</f>
        <v/>
      </c>
      <c r="BU25" s="55" t="str">
        <f aca="false">IF(OR(BU$2="",$D25=""),"",IF(IF(ISNUMBER($F25),AND(BU$2&gt;=$F25,BU$2&lt;=IF(ISNUMBER($G25),$G25,$F25+$E25-$D25)),FALSE()),2,IF(AND(BU$2&gt;=$D25,BU$2&lt;=$E25),1,"")))</f>
        <v/>
      </c>
      <c r="BV25" s="55" t="str">
        <f aca="false">IF(OR(BV$2="",$D25=""),"",IF(IF(ISNUMBER($F25),AND(BV$2&gt;=$F25,BV$2&lt;=IF(ISNUMBER($G25),$G25,$F25+$E25-$D25)),FALSE()),2,IF(AND(BV$2&gt;=$D25,BV$2&lt;=$E25),1,"")))</f>
        <v/>
      </c>
      <c r="BW25" s="55" t="str">
        <f aca="false">IF(OR(BW$2="",$D25=""),"",IF(IF(ISNUMBER($F25),AND(BW$2&gt;=$F25,BW$2&lt;=IF(ISNUMBER($G25),$G25,$F25+$E25-$D25)),FALSE()),2,IF(AND(BW$2&gt;=$D25,BW$2&lt;=$E25),1,"")))</f>
        <v/>
      </c>
      <c r="BX25" s="55" t="str">
        <f aca="false">IF(OR(BX$2="",$D25=""),"",IF(IF(ISNUMBER($F25),AND(BX$2&gt;=$F25,BX$2&lt;=IF(ISNUMBER($G25),$G25,$F25+$E25-$D25)),FALSE()),2,IF(AND(BX$2&gt;=$D25,BX$2&lt;=$E25),1,"")))</f>
        <v/>
      </c>
      <c r="BY25" s="55" t="str">
        <f aca="false">IF(OR(BY$2="",$D25=""),"",IF(IF(ISNUMBER($F25),AND(BY$2&gt;=$F25,BY$2&lt;=IF(ISNUMBER($G25),$G25,$F25+$E25-$D25)),FALSE()),2,IF(AND(BY$2&gt;=$D25,BY$2&lt;=$E25),1,"")))</f>
        <v/>
      </c>
      <c r="BZ25" s="55" t="str">
        <f aca="false">IF(OR(BZ$2="",$D25=""),"",IF(IF(ISNUMBER($F25),AND(BZ$2&gt;=$F25,BZ$2&lt;=IF(ISNUMBER($G25),$G25,$F25+$E25-$D25)),FALSE()),2,IF(AND(BZ$2&gt;=$D25,BZ$2&lt;=$E25),1,"")))</f>
        <v/>
      </c>
      <c r="CA25" s="55" t="str">
        <f aca="false">IF(OR(CA$2="",$D25=""),"",IF(IF(ISNUMBER($F25),AND(CA$2&gt;=$F25,CA$2&lt;=IF(ISNUMBER($G25),$G25,$F25+$E25-$D25)),FALSE()),2,IF(AND(CA$2&gt;=$D25,CA$2&lt;=$E25),1,"")))</f>
        <v/>
      </c>
      <c r="CB25" s="55" t="str">
        <f aca="false">IF(OR(CB$2="",$D25=""),"",IF(IF(ISNUMBER($F25),AND(CB$2&gt;=$F25,CB$2&lt;=IF(ISNUMBER($G25),$G25,$F25+$E25-$D25)),FALSE()),2,IF(AND(CB$2&gt;=$D25,CB$2&lt;=$E25),1,"")))</f>
        <v/>
      </c>
      <c r="CC25" s="55" t="str">
        <f aca="false">IF(OR(CC$2="",$D25=""),"",IF(IF(ISNUMBER($F25),AND(CC$2&gt;=$F25,CC$2&lt;=IF(ISNUMBER($G25),$G25,$F25+$E25-$D25)),FALSE()),2,IF(AND(CC$2&gt;=$D25,CC$2&lt;=$E25),1,"")))</f>
        <v/>
      </c>
      <c r="CD25" s="55" t="str">
        <f aca="false">IF(OR(CD$2="",$D25=""),"",IF(IF(ISNUMBER($F25),AND(CD$2&gt;=$F25,CD$2&lt;=IF(ISNUMBER($G25),$G25,$F25+$E25-$D25)),FALSE()),2,IF(AND(CD$2&gt;=$D25,CD$2&lt;=$E25),1,"")))</f>
        <v/>
      </c>
      <c r="CE25" s="55" t="str">
        <f aca="false">IF(OR(CE$2="",$D25=""),"",IF(IF(ISNUMBER($F25),AND(CE$2&gt;=$F25,CE$2&lt;=IF(ISNUMBER($G25),$G25,$F25+$E25-$D25)),FALSE()),2,IF(AND(CE$2&gt;=$D25,CE$2&lt;=$E25),1,"")))</f>
        <v/>
      </c>
      <c r="CF25" s="55" t="str">
        <f aca="false">IF(OR(CF$2="",$D25=""),"",IF(IF(ISNUMBER($F25),AND(CF$2&gt;=$F25,CF$2&lt;=IF(ISNUMBER($G25),$G25,$F25+$E25-$D25)),FALSE()),2,IF(AND(CF$2&gt;=$D25,CF$2&lt;=$E25),1,"")))</f>
        <v/>
      </c>
      <c r="CG25" s="55" t="str">
        <f aca="false">IF(OR(CG$2="",$D25=""),"",IF(IF(ISNUMBER($F25),AND(CG$2&gt;=$F25,CG$2&lt;=IF(ISNUMBER($G25),$G25,$F25+$E25-$D25)),FALSE()),2,IF(AND(CG$2&gt;=$D25,CG$2&lt;=$E25),1,"")))</f>
        <v/>
      </c>
      <c r="CH25" s="55" t="str">
        <f aca="false">IF(OR(CH$2="",$D25=""),"",IF(IF(ISNUMBER($F25),AND(CH$2&gt;=$F25,CH$2&lt;=IF(ISNUMBER($G25),$G25,$F25+$E25-$D25)),FALSE()),2,IF(AND(CH$2&gt;=$D25,CH$2&lt;=$E25),1,"")))</f>
        <v/>
      </c>
      <c r="CI25" s="55" t="str">
        <f aca="false">IF(OR(CI$2="",$D25=""),"",IF(IF(ISNUMBER($F25),AND(CI$2&gt;=$F25,CI$2&lt;=IF(ISNUMBER($G25),$G25,$F25+$E25-$D25)),FALSE()),2,IF(AND(CI$2&gt;=$D25,CI$2&lt;=$E25),1,"")))</f>
        <v/>
      </c>
      <c r="CJ25" s="55" t="str">
        <f aca="false">IF(OR(CJ$2="",$D25=""),"",IF(IF(ISNUMBER($F25),AND(CJ$2&gt;=$F25,CJ$2&lt;=IF(ISNUMBER($G25),$G25,$F25+$E25-$D25)),FALSE()),2,IF(AND(CJ$2&gt;=$D25,CJ$2&lt;=$E25),1,"")))</f>
        <v/>
      </c>
      <c r="CK25" s="55" t="str">
        <f aca="false">IF(OR(CK$2="",$D25=""),"",IF(IF(ISNUMBER($F25),AND(CK$2&gt;=$F25,CK$2&lt;=IF(ISNUMBER($G25),$G25,$F25+$E25-$D25)),FALSE()),2,IF(AND(CK$2&gt;=$D25,CK$2&lt;=$E25),1,"")))</f>
        <v/>
      </c>
      <c r="CL25" s="55" t="str">
        <f aca="false">IF(OR(CL$2="",$D25=""),"",IF(IF(ISNUMBER($F25),AND(CL$2&gt;=$F25,CL$2&lt;=IF(ISNUMBER($G25),$G25,$F25+$E25-$D25)),FALSE()),2,IF(AND(CL$2&gt;=$D25,CL$2&lt;=$E25),1,"")))</f>
        <v/>
      </c>
      <c r="CM25" s="55" t="str">
        <f aca="false">IF(OR(CM$2="",$D25=""),"",IF(IF(ISNUMBER($F25),AND(CM$2&gt;=$F25,CM$2&lt;=IF(ISNUMBER($G25),$G25,$F25+$E25-$D25)),FALSE()),2,IF(AND(CM$2&gt;=$D25,CM$2&lt;=$E25),1,"")))</f>
        <v/>
      </c>
      <c r="CN25" s="55" t="str">
        <f aca="false">IF(OR(CN$2="",$D25=""),"",IF(IF(ISNUMBER($F25),AND(CN$2&gt;=$F25,CN$2&lt;=IF(ISNUMBER($G25),$G25,$F25+$E25-$D25)),FALSE()),2,IF(AND(CN$2&gt;=$D25,CN$2&lt;=$E25),1,"")))</f>
        <v/>
      </c>
      <c r="CO25" s="55" t="str">
        <f aca="false">IF(OR(CO$2="",$D25=""),"",IF(IF(ISNUMBER($F25),AND(CO$2&gt;=$F25,CO$2&lt;=IF(ISNUMBER($G25),$G25,$F25+$E25-$D25)),FALSE()),2,IF(AND(CO$2&gt;=$D25,CO$2&lt;=$E25),1,"")))</f>
        <v/>
      </c>
      <c r="CP25" s="55" t="str">
        <f aca="false">IF(OR(CP$2="",$D25=""),"",IF(IF(ISNUMBER($F25),AND(CP$2&gt;=$F25,CP$2&lt;=IF(ISNUMBER($G25),$G25,$F25+$E25-$D25)),FALSE()),2,IF(AND(CP$2&gt;=$D25,CP$2&lt;=$E25),1,"")))</f>
        <v/>
      </c>
      <c r="CQ25" s="55" t="str">
        <f aca="false">IF(OR(CQ$2="",$D25=""),"",IF(IF(ISNUMBER($F25),AND(CQ$2&gt;=$F25,CQ$2&lt;=IF(ISNUMBER($G25),$G25,$F25+$E25-$D25)),FALSE()),2,IF(AND(CQ$2&gt;=$D25,CQ$2&lt;=$E25),1,"")))</f>
        <v/>
      </c>
      <c r="CR25" s="55" t="str">
        <f aca="false">IF(OR(CR$2="",$D25=""),"",IF(IF(ISNUMBER($F25),AND(CR$2&gt;=$F25,CR$2&lt;=IF(ISNUMBER($G25),$G25,$F25+$E25-$D25)),FALSE()),2,IF(AND(CR$2&gt;=$D25,CR$2&lt;=$E25),1,"")))</f>
        <v/>
      </c>
      <c r="CS25" s="55" t="str">
        <f aca="false">IF(OR(CS$2="",$D25=""),"",IF(IF(ISNUMBER($F25),AND(CS$2&gt;=$F25,CS$2&lt;=IF(ISNUMBER($G25),$G25,$F25+$E25-$D25)),FALSE()),2,IF(AND(CS$2&gt;=$D25,CS$2&lt;=$E25),1,"")))</f>
        <v/>
      </c>
      <c r="CT25" s="55" t="str">
        <f aca="false">IF(OR(CT$2="",$D25=""),"",IF(IF(ISNUMBER($F25),AND(CT$2&gt;=$F25,CT$2&lt;=IF(ISNUMBER($G25),$G25,$F25+$E25-$D25)),FALSE()),2,IF(AND(CT$2&gt;=$D25,CT$2&lt;=$E25),1,"")))</f>
        <v/>
      </c>
      <c r="CU25" s="55" t="str">
        <f aca="false">IF(OR(CU$2="",$D25=""),"",IF(IF(ISNUMBER($F25),AND(CU$2&gt;=$F25,CU$2&lt;=IF(ISNUMBER($G25),$G25,$F25+$E25-$D25)),FALSE()),2,IF(AND(CU$2&gt;=$D25,CU$2&lt;=$E25),1,"")))</f>
        <v/>
      </c>
      <c r="CV25" s="55" t="str">
        <f aca="false">IF(OR(CV$2="",$D25=""),"",IF(IF(ISNUMBER($F25),AND(CV$2&gt;=$F25,CV$2&lt;=IF(ISNUMBER($G25),$G25,$F25+$E25-$D25)),FALSE()),2,IF(AND(CV$2&gt;=$D25,CV$2&lt;=$E25),1,"")))</f>
        <v/>
      </c>
      <c r="CW25" s="55" t="str">
        <f aca="false">IF(OR(CW$2="",$D25=""),"",IF(IF(ISNUMBER($F25),AND(CW$2&gt;=$F25,CW$2&lt;=IF(ISNUMBER($G25),$G25,$F25+$E25-$D25)),FALSE()),2,IF(AND(CW$2&gt;=$D25,CW$2&lt;=$E25),1,"")))</f>
        <v/>
      </c>
      <c r="CX25" s="55" t="str">
        <f aca="false">IF(OR(CX$2="",$D25=""),"",IF(IF(ISNUMBER($F25),AND(CX$2&gt;=$F25,CX$2&lt;=IF(ISNUMBER($G25),$G25,$F25+$E25-$D25)),FALSE()),2,IF(AND(CX$2&gt;=$D25,CX$2&lt;=$E25),1,"")))</f>
        <v/>
      </c>
      <c r="CY25" s="55" t="str">
        <f aca="false">IF(OR(CY$2="",$D25=""),"",IF(IF(ISNUMBER($F25),AND(CY$2&gt;=$F25,CY$2&lt;=IF(ISNUMBER($G25),$G25,$F25+$E25-$D25)),FALSE()),2,IF(AND(CY$2&gt;=$D25,CY$2&lt;=$E25),1,"")))</f>
        <v/>
      </c>
      <c r="CZ25" s="55" t="str">
        <f aca="false">IF(OR(CZ$2="",$D25=""),"",IF(IF(ISNUMBER($F25),AND(CZ$2&gt;=$F25,CZ$2&lt;=IF(ISNUMBER($G25),$G25,$F25+$E25-$D25)),FALSE()),2,IF(AND(CZ$2&gt;=$D25,CZ$2&lt;=$E25),1,"")))</f>
        <v/>
      </c>
      <c r="DA25" s="55" t="str">
        <f aca="false">IF(OR(DA$2="",$D25=""),"",IF(IF(ISNUMBER($F25),AND(DA$2&gt;=$F25,DA$2&lt;=IF(ISNUMBER($G25),$G25,$F25+$E25-$D25)),FALSE()),2,IF(AND(DA$2&gt;=$D25,DA$2&lt;=$E25),1,"")))</f>
        <v/>
      </c>
      <c r="DB25" s="55" t="str">
        <f aca="false">IF(OR(DB$2="",$D25=""),"",IF(IF(ISNUMBER($F25),AND(DB$2&gt;=$F25,DB$2&lt;=IF(ISNUMBER($G25),$G25,$F25+$E25-$D25)),FALSE()),2,IF(AND(DB$2&gt;=$D25,DB$2&lt;=$E25),1,"")))</f>
        <v/>
      </c>
      <c r="DC25" s="55" t="str">
        <f aca="false">IF(OR(DC$2="",$D25=""),"",IF(IF(ISNUMBER($F25),AND(DC$2&gt;=$F25,DC$2&lt;=IF(ISNUMBER($G25),$G25,$F25+$E25-$D25)),FALSE()),2,IF(AND(DC$2&gt;=$D25,DC$2&lt;=$E25),1,"")))</f>
        <v/>
      </c>
      <c r="DD25" s="55" t="str">
        <f aca="false">IF(OR(DD$2="",$D25=""),"",IF(IF(ISNUMBER($F25),AND(DD$2&gt;=$F25,DD$2&lt;=IF(ISNUMBER($G25),$G25,$F25+$E25-$D25)),FALSE()),2,IF(AND(DD$2&gt;=$D25,DD$2&lt;=$E25),1,"")))</f>
        <v/>
      </c>
      <c r="DE25" s="55" t="str">
        <f aca="false">IF(OR(DE$2="",$D25=""),"",IF(IF(ISNUMBER($F25),AND(DE$2&gt;=$F25,DE$2&lt;=IF(ISNUMBER($G25),$G25,$F25+$E25-$D25)),FALSE()),2,IF(AND(DE$2&gt;=$D25,DE$2&lt;=$E25),1,"")))</f>
        <v/>
      </c>
      <c r="DF25" s="55" t="str">
        <f aca="false">IF(OR(DF$2="",$D25=""),"",IF(IF(ISNUMBER($F25),AND(DF$2&gt;=$F25,DF$2&lt;=IF(ISNUMBER($G25),$G25,$F25+$E25-$D25)),FALSE()),2,IF(AND(DF$2&gt;=$D25,DF$2&lt;=$E25),1,"")))</f>
        <v/>
      </c>
      <c r="DG25" s="55" t="str">
        <f aca="false">IF(OR(DG$2="",$D25=""),"",IF(IF(ISNUMBER($F25),AND(DG$2&gt;=$F25,DG$2&lt;=IF(ISNUMBER($G25),$G25,$F25+$E25-$D25)),FALSE()),2,IF(AND(DG$2&gt;=$D25,DG$2&lt;=$E25),1,"")))</f>
        <v/>
      </c>
      <c r="DH25" s="55" t="str">
        <f aca="false">IF(OR(DH$2="",$D25=""),"",IF(IF(ISNUMBER($F25),AND(DH$2&gt;=$F25,DH$2&lt;=IF(ISNUMBER($G25),$G25,$F25+$E25-$D25)),FALSE()),2,IF(AND(DH$2&gt;=$D25,DH$2&lt;=$E25),1,"")))</f>
        <v/>
      </c>
      <c r="DI25" s="55" t="str">
        <f aca="false">IF(OR(DI$2="",$D25=""),"",IF(IF(ISNUMBER($F25),AND(DI$2&gt;=$F25,DI$2&lt;=IF(ISNUMBER($G25),$G25,$F25+$E25-$D25)),FALSE()),2,IF(AND(DI$2&gt;=$D25,DI$2&lt;=$E25),1,"")))</f>
        <v/>
      </c>
      <c r="DJ25" s="55" t="str">
        <f aca="false">IF(OR(DJ$2="",$D25=""),"",IF(IF(ISNUMBER($F25),AND(DJ$2&gt;=$F25,DJ$2&lt;=IF(ISNUMBER($G25),$G25,$F25+$E25-$D25)),FALSE()),2,IF(AND(DJ$2&gt;=$D25,DJ$2&lt;=$E25),1,"")))</f>
        <v/>
      </c>
      <c r="DK25" s="55" t="str">
        <f aca="false">IF(OR(DK$2="",$D25=""),"",IF(IF(ISNUMBER($F25),AND(DK$2&gt;=$F25,DK$2&lt;=IF(ISNUMBER($G25),$G25,$F25+$E25-$D25)),FALSE()),2,IF(AND(DK$2&gt;=$D25,DK$2&lt;=$E25),1,"")))</f>
        <v/>
      </c>
      <c r="DL25" s="55" t="str">
        <f aca="false">IF(OR(DL$2="",$D25=""),"",IF(IF(ISNUMBER($F25),AND(DL$2&gt;=$F25,DL$2&lt;=IF(ISNUMBER($G25),$G25,$F25+$E25-$D25)),FALSE()),2,IF(AND(DL$2&gt;=$D25,DL$2&lt;=$E25),1,"")))</f>
        <v/>
      </c>
      <c r="DM25" s="55" t="str">
        <f aca="false">IF(OR(DM$2="",$D25=""),"",IF(IF(ISNUMBER($F25),AND(DM$2&gt;=$F25,DM$2&lt;=IF(ISNUMBER($G25),$G25,$F25+$E25-$D25)),FALSE()),2,IF(AND(DM$2&gt;=$D25,DM$2&lt;=$E25),1,"")))</f>
        <v/>
      </c>
      <c r="DN25" s="55" t="str">
        <f aca="false">IF(OR(DN$2="",$D25=""),"",IF(IF(ISNUMBER($F25),AND(DN$2&gt;=$F25,DN$2&lt;=IF(ISNUMBER($G25),$G25,$F25+$E25-$D25)),FALSE()),2,IF(AND(DN$2&gt;=$D25,DN$2&lt;=$E25),1,"")))</f>
        <v/>
      </c>
      <c r="DO25" s="55" t="str">
        <f aca="false">IF(OR(DO$2="",$D25=""),"",IF(IF(ISNUMBER($F25),AND(DO$2&gt;=$F25,DO$2&lt;=IF(ISNUMBER($G25),$G25,$F25+$E25-$D25)),FALSE()),2,IF(AND(DO$2&gt;=$D25,DO$2&lt;=$E25),1,"")))</f>
        <v/>
      </c>
      <c r="DP25" s="55" t="str">
        <f aca="false">IF(OR(DP$2="",$D25=""),"",IF(IF(ISNUMBER($F25),AND(DP$2&gt;=$F25,DP$2&lt;=IF(ISNUMBER($G25),$G25,$F25+$E25-$D25)),FALSE()),2,IF(AND(DP$2&gt;=$D25,DP$2&lt;=$E25),1,"")))</f>
        <v/>
      </c>
      <c r="DQ25" s="55" t="str">
        <f aca="false">IF(OR(DQ$2="",$D25=""),"",IF(IF(ISNUMBER($F25),AND(DQ$2&gt;=$F25,DQ$2&lt;=IF(ISNUMBER($G25),$G25,$F25+$E25-$D25)),FALSE()),2,IF(AND(DQ$2&gt;=$D25,DQ$2&lt;=$E25),1,"")))</f>
        <v/>
      </c>
      <c r="DR25" s="55" t="str">
        <f aca="false">IF(OR(DR$2="",$D25=""),"",IF(IF(ISNUMBER($F25),AND(DR$2&gt;=$F25,DR$2&lt;=IF(ISNUMBER($G25),$G25,$F25+$E25-$D25)),FALSE()),2,IF(AND(DR$2&gt;=$D25,DR$2&lt;=$E25),1,"")))</f>
        <v/>
      </c>
      <c r="DS25" s="55" t="str">
        <f aca="false">IF(OR(DS$2="",$D25=""),"",IF(IF(ISNUMBER($F25),AND(DS$2&gt;=$F25,DS$2&lt;=IF(ISNUMBER($G25),$G25,$F25+$E25-$D25)),FALSE()),2,IF(AND(DS$2&gt;=$D25,DS$2&lt;=$E25),1,"")))</f>
        <v/>
      </c>
      <c r="DT25" s="55" t="str">
        <f aca="false">IF(OR(DT$2="",$D25=""),"",IF(IF(ISNUMBER($F25),AND(DT$2&gt;=$F25,DT$2&lt;=IF(ISNUMBER($G25),$G25,$F25+$E25-$D25)),FALSE()),2,IF(AND(DT$2&gt;=$D25,DT$2&lt;=$E25),1,"")))</f>
        <v/>
      </c>
      <c r="DU25" s="55" t="str">
        <f aca="false">IF(OR(DU$2="",$D25=""),"",IF(IF(ISNUMBER($F25),AND(DU$2&gt;=$F25,DU$2&lt;=IF(ISNUMBER($G25),$G25,$F25+$E25-$D25)),FALSE()),2,IF(AND(DU$2&gt;=$D25,DU$2&lt;=$E25),1,"")))</f>
        <v/>
      </c>
      <c r="DV25" s="55" t="str">
        <f aca="false">IF(OR(DV$2="",$D25=""),"",IF(IF(ISNUMBER($F25),AND(DV$2&gt;=$F25,DV$2&lt;=IF(ISNUMBER($G25),$G25,$F25+$E25-$D25)),FALSE()),2,IF(AND(DV$2&gt;=$D25,DV$2&lt;=$E25),1,"")))</f>
        <v/>
      </c>
      <c r="DW25" s="55" t="str">
        <f aca="false">IF(OR(DW$2="",$D25=""),"",IF(IF(ISNUMBER($F25),AND(DW$2&gt;=$F25,DW$2&lt;=IF(ISNUMBER($G25),$G25,$F25+$E25-$D25)),FALSE()),2,IF(AND(DW$2&gt;=$D25,DW$2&lt;=$E25),1,"")))</f>
        <v/>
      </c>
      <c r="DX25" s="55" t="str">
        <f aca="false">IF(OR(DX$2="",$D25=""),"",IF(IF(ISNUMBER($F25),AND(DX$2&gt;=$F25,DX$2&lt;=IF(ISNUMBER($G25),$G25,$F25+$E25-$D25)),FALSE()),2,IF(AND(DX$2&gt;=$D25,DX$2&lt;=$E25),1,"")))</f>
        <v/>
      </c>
      <c r="DY25" s="55" t="str">
        <f aca="false">IF(OR(DY$2="",$D25=""),"",IF(IF(ISNUMBER($F25),AND(DY$2&gt;=$F25,DY$2&lt;=IF(ISNUMBER($G25),$G25,$F25+$E25-$D25)),FALSE()),2,IF(AND(DY$2&gt;=$D25,DY$2&lt;=$E25),1,"")))</f>
        <v/>
      </c>
      <c r="DZ25" s="55" t="str">
        <f aca="false">IF(OR(DZ$2="",$D25=""),"",IF(IF(ISNUMBER($F25),AND(DZ$2&gt;=$F25,DZ$2&lt;=IF(ISNUMBER($G25),$G25,$F25+$E25-$D25)),FALSE()),2,IF(AND(DZ$2&gt;=$D25,DZ$2&lt;=$E25),1,"")))</f>
        <v/>
      </c>
      <c r="EA25" s="55" t="str">
        <f aca="false">IF(OR(EA$2="",$D25=""),"",IF(IF(ISNUMBER($F25),AND(EA$2&gt;=$F25,EA$2&lt;=IF(ISNUMBER($G25),$G25,$F25+$E25-$D25)),FALSE()),2,IF(AND(EA$2&gt;=$D25,EA$2&lt;=$E25),1,"")))</f>
        <v/>
      </c>
      <c r="EB25" s="55" t="str">
        <f aca="false">IF(OR(EB$2="",$D25=""),"",IF(IF(ISNUMBER($F25),AND(EB$2&gt;=$F25,EB$2&lt;=IF(ISNUMBER($G25),$G25,$F25+$E25-$D25)),FALSE()),2,IF(AND(EB$2&gt;=$D25,EB$2&lt;=$E25),1,"")))</f>
        <v/>
      </c>
      <c r="EC25" s="55" t="str">
        <f aca="false">IF(OR(EC$2="",$D25=""),"",IF(IF(ISNUMBER($F25),AND(EC$2&gt;=$F25,EC$2&lt;=IF(ISNUMBER($G25),$G25,$F25+$E25-$D25)),FALSE()),2,IF(AND(EC$2&gt;=$D25,EC$2&lt;=$E25),1,"")))</f>
        <v/>
      </c>
      <c r="ED25" s="55" t="str">
        <f aca="false">IF(OR(ED$2="",$D25=""),"",IF(IF(ISNUMBER($F25),AND(ED$2&gt;=$F25,ED$2&lt;=IF(ISNUMBER($G25),$G25,$F25+$E25-$D25)),FALSE()),2,IF(AND(ED$2&gt;=$D25,ED$2&lt;=$E25),1,"")))</f>
        <v/>
      </c>
      <c r="EE25" s="55" t="str">
        <f aca="false">IF(OR(EE$2="",$D25=""),"",IF(IF(ISNUMBER($F25),AND(EE$2&gt;=$F25,EE$2&lt;=IF(ISNUMBER($G25),$G25,$F25+$E25-$D25)),FALSE()),2,IF(AND(EE$2&gt;=$D25,EE$2&lt;=$E25),1,"")))</f>
        <v/>
      </c>
      <c r="EF25" s="55" t="str">
        <f aca="false">IF(OR(EF$2="",$D25=""),"",IF(IF(ISNUMBER($F25),AND(EF$2&gt;=$F25,EF$2&lt;=IF(ISNUMBER($G25),$G25,$F25+$E25-$D25)),FALSE()),2,IF(AND(EF$2&gt;=$D25,EF$2&lt;=$E25),1,"")))</f>
        <v/>
      </c>
      <c r="EG25" s="55" t="str">
        <f aca="false">IF(OR(EG$2="",$D25=""),"",IF(IF(ISNUMBER($F25),AND(EG$2&gt;=$F25,EG$2&lt;=IF(ISNUMBER($G25),$G25,$F25+$E25-$D25)),FALSE()),2,IF(AND(EG$2&gt;=$D25,EG$2&lt;=$E25),1,"")))</f>
        <v/>
      </c>
      <c r="EH25" s="55" t="str">
        <f aca="false">IF(OR(EH$2="",$D25=""),"",IF(IF(ISNUMBER($F25),AND(EH$2&gt;=$F25,EH$2&lt;=IF(ISNUMBER($G25),$G25,$F25+$E25-$D25)),FALSE()),2,IF(AND(EH$2&gt;=$D25,EH$2&lt;=$E25),1,"")))</f>
        <v/>
      </c>
      <c r="EI25" s="55" t="str">
        <f aca="false">IF(OR(EI$2="",$D25=""),"",IF(IF(ISNUMBER($F25),AND(EI$2&gt;=$F25,EI$2&lt;=IF(ISNUMBER($G25),$G25,$F25+$E25-$D25)),FALSE()),2,IF(AND(EI$2&gt;=$D25,EI$2&lt;=$E25),1,"")))</f>
        <v/>
      </c>
      <c r="EJ25" s="55" t="str">
        <f aca="false">IF(OR(EJ$2="",$D25=""),"",IF(IF(ISNUMBER($F25),AND(EJ$2&gt;=$F25,EJ$2&lt;=IF(ISNUMBER($G25),$G25,$F25+$E25-$D25)),FALSE()),2,IF(AND(EJ$2&gt;=$D25,EJ$2&lt;=$E25),1,"")))</f>
        <v/>
      </c>
      <c r="EK25" s="55" t="str">
        <f aca="false">IF(OR(EK$2="",$D25=""),"",IF(IF(ISNUMBER($F25),AND(EK$2&gt;=$F25,EK$2&lt;=IF(ISNUMBER($G25),$G25,$F25+$E25-$D25)),FALSE()),2,IF(AND(EK$2&gt;=$D25,EK$2&lt;=$E25),1,"")))</f>
        <v/>
      </c>
      <c r="EL25" s="55" t="str">
        <f aca="false">IF(OR(EL$2="",$D25=""),"",IF(IF(ISNUMBER($F25),AND(EL$2&gt;=$F25,EL$2&lt;=IF(ISNUMBER($G25),$G25,$F25+$E25-$D25)),FALSE()),2,IF(AND(EL$2&gt;=$D25,EL$2&lt;=$E25),1,"")))</f>
        <v/>
      </c>
      <c r="EM25" s="55" t="str">
        <f aca="false">IF(OR(EM$2="",$D25=""),"",IF(IF(ISNUMBER($F25),AND(EM$2&gt;=$F25,EM$2&lt;=IF(ISNUMBER($G25),$G25,$F25+$E25-$D25)),FALSE()),2,IF(AND(EM$2&gt;=$D25,EM$2&lt;=$E25),1,"")))</f>
        <v/>
      </c>
      <c r="EN25" s="55" t="str">
        <f aca="false">IF(OR(EN$2="",$D25=""),"",IF(IF(ISNUMBER($F25),AND(EN$2&gt;=$F25,EN$2&lt;=IF(ISNUMBER($G25),$G25,$F25+$E25-$D25)),FALSE()),2,IF(AND(EN$2&gt;=$D25,EN$2&lt;=$E25),1,"")))</f>
        <v/>
      </c>
      <c r="EO25" s="55" t="str">
        <f aca="false">IF(OR(EO$2="",$D25=""),"",IF(IF(ISNUMBER($F25),AND(EO$2&gt;=$F25,EO$2&lt;=IF(ISNUMBER($G25),$G25,$F25+$E25-$D25)),FALSE()),2,IF(AND(EO$2&gt;=$D25,EO$2&lt;=$E25),1,"")))</f>
        <v/>
      </c>
      <c r="EP25" s="55" t="str">
        <f aca="false">IF(OR(EP$2="",$D25=""),"",IF(IF(ISNUMBER($F25),AND(EP$2&gt;=$F25,EP$2&lt;=IF(ISNUMBER($G25),$G25,$F25+$E25-$D25)),FALSE()),2,IF(AND(EP$2&gt;=$D25,EP$2&lt;=$E25),1,"")))</f>
        <v/>
      </c>
      <c r="EQ25" s="55" t="str">
        <f aca="false">IF(OR(EQ$2="",$D25=""),"",IF(IF(ISNUMBER($F25),AND(EQ$2&gt;=$F25,EQ$2&lt;=IF(ISNUMBER($G25),$G25,$F25+$E25-$D25)),FALSE()),2,IF(AND(EQ$2&gt;=$D25,EQ$2&lt;=$E25),1,"")))</f>
        <v/>
      </c>
      <c r="ER25" s="55" t="str">
        <f aca="false">IF(OR(ER$2="",$D25=""),"",IF(IF(ISNUMBER($F25),AND(ER$2&gt;=$F25,ER$2&lt;=IF(ISNUMBER($G25),$G25,$F25+$E25-$D25)),FALSE()),2,IF(AND(ER$2&gt;=$D25,ER$2&lt;=$E25),1,"")))</f>
        <v/>
      </c>
      <c r="ES25" s="55" t="str">
        <f aca="false">IF(OR(ES$2="",$D25=""),"",IF(IF(ISNUMBER($F25),AND(ES$2&gt;=$F25,ES$2&lt;=IF(ISNUMBER($G25),$G25,$F25+$E25-$D25)),FALSE()),2,IF(AND(ES$2&gt;=$D25,ES$2&lt;=$E25),1,"")))</f>
        <v/>
      </c>
      <c r="ET25" s="55" t="str">
        <f aca="false">IF(OR(ET$2="",$D25=""),"",IF(IF(ISNUMBER($F25),AND(ET$2&gt;=$F25,ET$2&lt;=IF(ISNUMBER($G25),$G25,$F25+$E25-$D25)),FALSE()),2,IF(AND(ET$2&gt;=$D25,ET$2&lt;=$E25),1,"")))</f>
        <v/>
      </c>
      <c r="EU25" s="55" t="str">
        <f aca="false">IF(OR(EU$2="",$D25=""),"",IF(IF(ISNUMBER($F25),AND(EU$2&gt;=$F25,EU$2&lt;=IF(ISNUMBER($G25),$G25,$F25+$E25-$D25)),FALSE()),2,IF(AND(EU$2&gt;=$D25,EU$2&lt;=$E25),1,"")))</f>
        <v/>
      </c>
      <c r="EV25" s="55" t="str">
        <f aca="false">IF(OR(EV$2="",$D25=""),"",IF(IF(ISNUMBER($F25),AND(EV$2&gt;=$F25,EV$2&lt;=IF(ISNUMBER($G25),$G25,$F25+$E25-$D25)),FALSE()),2,IF(AND(EV$2&gt;=$D25,EV$2&lt;=$E25),1,"")))</f>
        <v/>
      </c>
      <c r="EW25" s="55" t="str">
        <f aca="false">IF(OR(EW$2="",$D25=""),"",IF(IF(ISNUMBER($F25),AND(EW$2&gt;=$F25,EW$2&lt;=IF(ISNUMBER($G25),$G25,$F25+$E25-$D25)),FALSE()),2,IF(AND(EW$2&gt;=$D25,EW$2&lt;=$E25),1,"")))</f>
        <v/>
      </c>
      <c r="EX25" s="55" t="str">
        <f aca="false">IF(OR(EX$2="",$D25=""),"",IF(IF(ISNUMBER($F25),AND(EX$2&gt;=$F25,EX$2&lt;=IF(ISNUMBER($G25),$G25,$F25+$E25-$D25)),FALSE()),2,IF(AND(EX$2&gt;=$D25,EX$2&lt;=$E25),1,"")))</f>
        <v/>
      </c>
      <c r="EY25" s="55" t="str">
        <f aca="false">IF(OR(EY$2="",$D25=""),"",IF(IF(ISNUMBER($F25),AND(EY$2&gt;=$F25,EY$2&lt;=IF(ISNUMBER($G25),$G25,$F25+$E25-$D25)),FALSE()),2,IF(AND(EY$2&gt;=$D25,EY$2&lt;=$E25),1,"")))</f>
        <v/>
      </c>
      <c r="EZ25" s="55" t="str">
        <f aca="false">IF(OR(EZ$2="",$D25=""),"",IF(IF(ISNUMBER($F25),AND(EZ$2&gt;=$F25,EZ$2&lt;=IF(ISNUMBER($G25),$G25,$F25+$E25-$D25)),FALSE()),2,IF(AND(EZ$2&gt;=$D25,EZ$2&lt;=$E25),1,"")))</f>
        <v/>
      </c>
      <c r="FA25" s="55" t="str">
        <f aca="false">IF(OR(FA$2="",$D25=""),"",IF(IF(ISNUMBER($F25),AND(FA$2&gt;=$F25,FA$2&lt;=IF(ISNUMBER($G25),$G25,$F25+$E25-$D25)),FALSE()),2,IF(AND(FA$2&gt;=$D25,FA$2&lt;=$E25),1,"")))</f>
        <v/>
      </c>
      <c r="FB25" s="55" t="str">
        <f aca="false">IF(OR(FB$2="",$D25=""),"",IF(IF(ISNUMBER($F25),AND(FB$2&gt;=$F25,FB$2&lt;=IF(ISNUMBER($G25),$G25,$F25+$E25-$D25)),FALSE()),2,IF(AND(FB$2&gt;=$D25,FB$2&lt;=$E25),1,"")))</f>
        <v/>
      </c>
      <c r="FC25" s="55" t="str">
        <f aca="false">IF(OR(FC$2="",$D25=""),"",IF(IF(ISNUMBER($F25),AND(FC$2&gt;=$F25,FC$2&lt;=IF(ISNUMBER($G25),$G25,$F25+$E25-$D25)),FALSE()),2,IF(AND(FC$2&gt;=$D25,FC$2&lt;=$E25),1,"")))</f>
        <v/>
      </c>
      <c r="FD25" s="55" t="str">
        <f aca="false">IF(OR(FD$2="",$D25=""),"",IF(IF(ISNUMBER($F25),AND(FD$2&gt;=$F25,FD$2&lt;=IF(ISNUMBER($G25),$G25,$F25+$E25-$D25)),FALSE()),2,IF(AND(FD$2&gt;=$D25,FD$2&lt;=$E25),1,"")))</f>
        <v/>
      </c>
      <c r="FE25" s="55" t="str">
        <f aca="false">IF(OR(FE$2="",$D25=""),"",IF(IF(ISNUMBER($F25),AND(FE$2&gt;=$F25,FE$2&lt;=IF(ISNUMBER($G25),$G25,$F25+$E25-$D25)),FALSE()),2,IF(AND(FE$2&gt;=$D25,FE$2&lt;=$E25),1,"")))</f>
        <v/>
      </c>
      <c r="FF25" s="55" t="str">
        <f aca="false">IF(OR(FF$2="",$D25=""),"",IF(IF(ISNUMBER($F25),AND(FF$2&gt;=$F25,FF$2&lt;=IF(ISNUMBER($G25),$G25,$F25+$E25-$D25)),FALSE()),2,IF(AND(FF$2&gt;=$D25,FF$2&lt;=$E25),1,"")))</f>
        <v/>
      </c>
      <c r="FG25" s="55" t="str">
        <f aca="false">IF(OR(FG$2="",$D25=""),"",IF(IF(ISNUMBER($F25),AND(FG$2&gt;=$F25,FG$2&lt;=IF(ISNUMBER($G25),$G25,$F25+$E25-$D25)),FALSE()),2,IF(AND(FG$2&gt;=$D25,FG$2&lt;=$E25),1,"")))</f>
        <v/>
      </c>
      <c r="FH25" s="55" t="str">
        <f aca="false">IF(OR(FH$2="",$D25=""),"",IF(IF(ISNUMBER($F25),AND(FH$2&gt;=$F25,FH$2&lt;=IF(ISNUMBER($G25),$G25,$F25+$E25-$D25)),FALSE()),2,IF(AND(FH$2&gt;=$D25,FH$2&lt;=$E25),1,"")))</f>
        <v/>
      </c>
      <c r="FI25" s="55" t="str">
        <f aca="false">IF(OR(FI$2="",$D25=""),"",IF(IF(ISNUMBER($F25),AND(FI$2&gt;=$F25,FI$2&lt;=IF(ISNUMBER($G25),$G25,$F25+$E25-$D25)),FALSE()),2,IF(AND(FI$2&gt;=$D25,FI$2&lt;=$E25),1,"")))</f>
        <v/>
      </c>
      <c r="FJ25" s="55" t="str">
        <f aca="false">IF(OR(FJ$2="",$D25=""),"",IF(IF(ISNUMBER($F25),AND(FJ$2&gt;=$F25,FJ$2&lt;=IF(ISNUMBER($G25),$G25,$F25+$E25-$D25)),FALSE()),2,IF(AND(FJ$2&gt;=$D25,FJ$2&lt;=$E25),1,"")))</f>
        <v/>
      </c>
      <c r="FK25" s="55" t="str">
        <f aca="false">IF(OR(FK$2="",$D25=""),"",IF(IF(ISNUMBER($F25),AND(FK$2&gt;=$F25,FK$2&lt;=IF(ISNUMBER($G25),$G25,$F25+$E25-$D25)),FALSE()),2,IF(AND(FK$2&gt;=$D25,FK$2&lt;=$E25),1,"")))</f>
        <v/>
      </c>
      <c r="FL25" s="55" t="str">
        <f aca="false">IF(OR(FL$2="",$D25=""),"",IF(IF(ISNUMBER($F25),AND(FL$2&gt;=$F25,FL$2&lt;=IF(ISNUMBER($G25),$G25,$F25+$E25-$D25)),FALSE()),2,IF(AND(FL$2&gt;=$D25,FL$2&lt;=$E25),1,"")))</f>
        <v/>
      </c>
      <c r="FM25" s="55" t="n">
        <f aca="false">IF(OR(FM$2="",$D25=""),"",IF(IF(ISNUMBER($F25),AND(FM$2&gt;=$F25,FM$2&lt;=IF(ISNUMBER($G25),$G25,$F25+$E25-$D25)),FALSE()),2,IF(AND(FM$2&gt;=$D25,FM$2&lt;=$E25),1,"")))</f>
        <v>1</v>
      </c>
      <c r="FN25" s="55" t="str">
        <f aca="false">IF(OR(FN$2="",$D25=""),"",IF(IF(ISNUMBER($F25),AND(FN$2&gt;=$F25,FN$2&lt;=IF(ISNUMBER($G25),$G25,$F25+$E25-$D25)),FALSE()),2,IF(AND(FN$2&gt;=$D25,FN$2&lt;=$E25),1,"")))</f>
        <v/>
      </c>
      <c r="FO25" s="55" t="str">
        <f aca="false">IF(OR(FO$2="",$D25=""),"",IF(IF(ISNUMBER($F25),AND(FO$2&gt;=$F25,FO$2&lt;=IF(ISNUMBER($G25),$G25,$F25+$E25-$D25)),FALSE()),2,IF(AND(FO$2&gt;=$D25,FO$2&lt;=$E25),1,"")))</f>
        <v/>
      </c>
      <c r="FP25" s="55" t="str">
        <f aca="false">IF(OR(FP$2="",$D25=""),"",IF(IF(ISNUMBER($F25),AND(FP$2&gt;=$F25,FP$2&lt;=IF(ISNUMBER($G25),$G25,$F25+$E25-$D25)),FALSE()),2,IF(AND(FP$2&gt;=$D25,FP$2&lt;=$E25),1,"")))</f>
        <v/>
      </c>
      <c r="FQ25" s="55" t="str">
        <f aca="false">IF(OR(FQ$2="",$D25=""),"",IF(IF(ISNUMBER($F25),AND(FQ$2&gt;=$F25,FQ$2&lt;=IF(ISNUMBER($G25),$G25,$F25+$E25-$D25)),FALSE()),2,IF(AND(FQ$2&gt;=$D25,FQ$2&lt;=$E25),1,"")))</f>
        <v/>
      </c>
      <c r="FR25" s="55" t="str">
        <f aca="false">IF(OR(FR$2="",$D25=""),"",IF(IF(ISNUMBER($F25),AND(FR$2&gt;=$F25,FR$2&lt;=IF(ISNUMBER($G25),$G25,$F25+$E25-$D25)),FALSE()),2,IF(AND(FR$2&gt;=$D25,FR$2&lt;=$E25),1,"")))</f>
        <v/>
      </c>
      <c r="FS25" s="55" t="str">
        <f aca="false">IF(OR(FS$2="",$D25=""),"",IF(IF(ISNUMBER($F25),AND(FS$2&gt;=$F25,FS$2&lt;=IF(ISNUMBER($G25),$G25,$F25+$E25-$D25)),FALSE()),2,IF(AND(FS$2&gt;=$D25,FS$2&lt;=$E25),1,"")))</f>
        <v/>
      </c>
      <c r="FT25" s="55" t="str">
        <f aca="false">IF(OR(FT$2="",$D25=""),"",IF(IF(ISNUMBER($F25),AND(FT$2&gt;=$F25,FT$2&lt;=IF(ISNUMBER($G25),$G25,$F25+$E25-$D25)),FALSE()),2,IF(AND(FT$2&gt;=$D25,FT$2&lt;=$E25),1,"")))</f>
        <v/>
      </c>
      <c r="FU25" s="55" t="str">
        <f aca="false">IF(OR(FU$2="",$D25=""),"",IF(IF(ISNUMBER($F25),AND(FU$2&gt;=$F25,FU$2&lt;=IF(ISNUMBER($G25),$G25,$F25+$E25-$D25)),FALSE()),2,IF(AND(FU$2&gt;=$D25,FU$2&lt;=$E25),1,"")))</f>
        <v/>
      </c>
      <c r="FV25" s="55" t="str">
        <f aca="false">IF(OR(FV$2="",$D25=""),"",IF(IF(ISNUMBER($F25),AND(FV$2&gt;=$F25,FV$2&lt;=IF(ISNUMBER($G25),$G25,$F25+$E25-$D25)),FALSE()),2,IF(AND(FV$2&gt;=$D25,FV$2&lt;=$E25),1,"")))</f>
        <v/>
      </c>
      <c r="FW25" s="55" t="str">
        <f aca="false">IF(OR(FW$2="",$D25=""),"",IF(IF(ISNUMBER($F25),AND(FW$2&gt;=$F25,FW$2&lt;=IF(ISNUMBER($G25),$G25,$F25+$E25-$D25)),FALSE()),2,IF(AND(FW$2&gt;=$D25,FW$2&lt;=$E25),1,"")))</f>
        <v/>
      </c>
      <c r="FX25" s="55" t="str">
        <f aca="false">IF(OR(FX$2="",$D25=""),"",IF(IF(ISNUMBER($F25),AND(FX$2&gt;=$F25,FX$2&lt;=IF(ISNUMBER($G25),$G25,$F25+$E25-$D25)),FALSE()),2,IF(AND(FX$2&gt;=$D25,FX$2&lt;=$E25),1,"")))</f>
        <v/>
      </c>
      <c r="FY25" s="55" t="str">
        <f aca="false">IF(OR(FY$2="",$D25=""),"",IF(IF(ISNUMBER($F25),AND(FY$2&gt;=$F25,FY$2&lt;=IF(ISNUMBER($G25),$G25,$F25+$E25-$D25)),FALSE()),2,IF(AND(FY$2&gt;=$D25,FY$2&lt;=$E25),1,"")))</f>
        <v/>
      </c>
      <c r="FZ25" s="55" t="str">
        <f aca="false">IF(OR(FZ$2="",$D25=""),"",IF(IF(ISNUMBER($F25),AND(FZ$2&gt;=$F25,FZ$2&lt;=IF(ISNUMBER($G25),$G25,$F25+$E25-$D25)),FALSE()),2,IF(AND(FZ$2&gt;=$D25,FZ$2&lt;=$E25),1,"")))</f>
        <v/>
      </c>
      <c r="GA25" s="55" t="str">
        <f aca="false">IF(OR(GA$2="",$D25=""),"",IF(IF(ISNUMBER($F25),AND(GA$2&gt;=$F25,GA$2&lt;=IF(ISNUMBER($G25),$G25,$F25+$E25-$D25)),FALSE()),2,IF(AND(GA$2&gt;=$D25,GA$2&lt;=$E25),1,"")))</f>
        <v/>
      </c>
      <c r="GB25" s="55" t="str">
        <f aca="false">IF(OR(GB$2="",$D25=""),"",IF(IF(ISNUMBER($F25),AND(GB$2&gt;=$F25,GB$2&lt;=IF(ISNUMBER($G25),$G25,$F25+$E25-$D25)),FALSE()),2,IF(AND(GB$2&gt;=$D25,GB$2&lt;=$E25),1,"")))</f>
        <v/>
      </c>
      <c r="GC25" s="55" t="str">
        <f aca="false">IF(OR(GC$2="",$D25=""),"",IF(IF(ISNUMBER($F25),AND(GC$2&gt;=$F25,GC$2&lt;=IF(ISNUMBER($G25),$G25,$F25+$E25-$D25)),FALSE()),2,IF(AND(GC$2&gt;=$D25,GC$2&lt;=$E25),1,"")))</f>
        <v/>
      </c>
      <c r="GD25" s="55" t="str">
        <f aca="false">IF(OR(GD$2="",$D25=""),"",IF(IF(ISNUMBER($F25),AND(GD$2&gt;=$F25,GD$2&lt;=IF(ISNUMBER($G25),$G25,$F25+$E25-$D25)),FALSE()),2,IF(AND(GD$2&gt;=$D25,GD$2&lt;=$E25),1,"")))</f>
        <v/>
      </c>
      <c r="GE25" s="55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false" outlineLevel="0" collapsed="false">
      <c r="A27" s="24" t="s">
        <v>398</v>
      </c>
    </row>
    <row r="28" customFormat="false" ht="15" hidden="false" customHeight="false" outlineLevel="0" collapsed="false">
      <c r="A28" s="54" t="s">
        <v>212</v>
      </c>
      <c r="B28" s="21" t="s">
        <v>360</v>
      </c>
      <c r="C28" s="21" t="s">
        <v>328</v>
      </c>
      <c r="D28" s="51" t="n">
        <f aca="false">IF(D5="","",D5)</f>
        <v>45986</v>
      </c>
      <c r="E28" s="51" t="n">
        <f aca="false">IF(D28="","",D28)</f>
        <v>45986</v>
      </c>
      <c r="F28" s="51" t="n">
        <f aca="false">IF(_xlfn.MINIFS(2_Daily_input!$D$1:$FQ$1,2_Daily_input!$D$73:$FQ$73,"Seed wetting")+_xlfn.MINIFS(2_Daily_input!$D$1:$FQ$1,2_Daily_input!$D$74:$FQ$74,"Seed wetting")=0,"",IF(_xlfn.MINIFS(2_Daily_input!$D$1:$FQ$1,2_Daily_input!$D$73:$FQ$73,"Seed wetting")=0,_xlfn.MINIFS(2_Daily_input!$D$1:$FQ$1,2_Daily_input!$D$74:$FQ$74,"Seed wetting"),IF(_xlfn.MINIFS(2_Daily_input!$D$1:$FQ$1,2_Daily_input!$D$74:$FQ$74,"Seed wetting")=0,_xlfn.MINIFS(2_Daily_input!$D$1:$FQ$1,2_Daily_input!$D$73:$FQ$73,"Seed wetting"),MIN(_xlfn.MINIFS(2_Daily_input!$D$1:$FQ$1,2_Daily_input!$D$73:$FQ$73,"Seed wetting"),_xlfn.MINIFS(2_Daily_input!$D$1:$FQ$1,2_Daily_input!$D$74:$FQ$74,"Seed wetting")))))</f>
        <v>45986</v>
      </c>
      <c r="G28" s="51" t="str">
        <f aca="false">""</f>
        <v/>
      </c>
      <c r="H28" s="50" t="str">
        <f aca="true">IF(D28="","no plan",IF(F28&lt;&gt;"",IF(F28-D28&gt;=2,"LATE","OK"),IF(TODAY()&gt;D28+2,"OVERDUE","upcoming")))</f>
        <v>OK</v>
      </c>
      <c r="I28" s="50" t="n">
        <f aca="false">IF(AND(D28&lt;&gt;"",F28&lt;&gt;""),F28-D28,"")</f>
        <v>0</v>
      </c>
      <c r="J28" s="51" t="n">
        <f aca="false">IF(F28&lt;&gt;"",F28,D28)</f>
        <v>45986</v>
      </c>
      <c r="K28" s="51" t="n">
        <f aca="false">IF(G28&lt;&gt;"",G28,IF(AND(F28&lt;&gt;"",E28=D28),F28,E28))</f>
        <v>45986</v>
      </c>
      <c r="L28" s="50" t="str">
        <f aca="true">IF(AND(D28&lt;&gt;"",F28="",D28&gt;=TODAY()),D28+ROW()/1000,"")</f>
        <v/>
      </c>
      <c r="M28" s="55" t="n">
        <f aca="false">IF(OR(M$2="",$D28=""),"",IF(IF(ISNUMBER($F28),AND(M$2&gt;=$F28,M$2&lt;=IF(ISNUMBER($G28),$G28,$F28+$E28-$D28)),FALSE()),2,IF(AND(M$2&gt;=$D28,M$2&lt;=$E28),1,"")))</f>
        <v>2</v>
      </c>
      <c r="N28" s="55" t="str">
        <f aca="false">IF(OR(N$2="",$D28=""),"",IF(IF(ISNUMBER($F28),AND(N$2&gt;=$F28,N$2&lt;=IF(ISNUMBER($G28),$G28,$F28+$E28-$D28)),FALSE()),2,IF(AND(N$2&gt;=$D28,N$2&lt;=$E28),1,"")))</f>
        <v/>
      </c>
      <c r="O28" s="55" t="str">
        <f aca="false">IF(OR(O$2="",$D28=""),"",IF(IF(ISNUMBER($F28),AND(O$2&gt;=$F28,O$2&lt;=IF(ISNUMBER($G28),$G28,$F28+$E28-$D28)),FALSE()),2,IF(AND(O$2&gt;=$D28,O$2&lt;=$E28),1,"")))</f>
        <v/>
      </c>
      <c r="P28" s="55" t="str">
        <f aca="false">IF(OR(P$2="",$D28=""),"",IF(IF(ISNUMBER($F28),AND(P$2&gt;=$F28,P$2&lt;=IF(ISNUMBER($G28),$G28,$F28+$E28-$D28)),FALSE()),2,IF(AND(P$2&gt;=$D28,P$2&lt;=$E28),1,"")))</f>
        <v/>
      </c>
      <c r="Q28" s="55" t="str">
        <f aca="false">IF(OR(Q$2="",$D28=""),"",IF(IF(ISNUMBER($F28),AND(Q$2&gt;=$F28,Q$2&lt;=IF(ISNUMBER($G28),$G28,$F28+$E28-$D28)),FALSE()),2,IF(AND(Q$2&gt;=$D28,Q$2&lt;=$E28),1,"")))</f>
        <v/>
      </c>
      <c r="R28" s="55" t="str">
        <f aca="false">IF(OR(R$2="",$D28=""),"",IF(IF(ISNUMBER($F28),AND(R$2&gt;=$F28,R$2&lt;=IF(ISNUMBER($G28),$G28,$F28+$E28-$D28)),FALSE()),2,IF(AND(R$2&gt;=$D28,R$2&lt;=$E28),1,"")))</f>
        <v/>
      </c>
      <c r="S28" s="55" t="str">
        <f aca="false">IF(OR(S$2="",$D28=""),"",IF(IF(ISNUMBER($F28),AND(S$2&gt;=$F28,S$2&lt;=IF(ISNUMBER($G28),$G28,$F28+$E28-$D28)),FALSE()),2,IF(AND(S$2&gt;=$D28,S$2&lt;=$E28),1,"")))</f>
        <v/>
      </c>
      <c r="T28" s="55" t="str">
        <f aca="false">IF(OR(T$2="",$D28=""),"",IF(IF(ISNUMBER($F28),AND(T$2&gt;=$F28,T$2&lt;=IF(ISNUMBER($G28),$G28,$F28+$E28-$D28)),FALSE()),2,IF(AND(T$2&gt;=$D28,T$2&lt;=$E28),1,"")))</f>
        <v/>
      </c>
      <c r="U28" s="55" t="str">
        <f aca="false">IF(OR(U$2="",$D28=""),"",IF(IF(ISNUMBER($F28),AND(U$2&gt;=$F28,U$2&lt;=IF(ISNUMBER($G28),$G28,$F28+$E28-$D28)),FALSE()),2,IF(AND(U$2&gt;=$D28,U$2&lt;=$E28),1,"")))</f>
        <v/>
      </c>
      <c r="V28" s="55" t="str">
        <f aca="false">IF(OR(V$2="",$D28=""),"",IF(IF(ISNUMBER($F28),AND(V$2&gt;=$F28,V$2&lt;=IF(ISNUMBER($G28),$G28,$F28+$E28-$D28)),FALSE()),2,IF(AND(V$2&gt;=$D28,V$2&lt;=$E28),1,"")))</f>
        <v/>
      </c>
      <c r="W28" s="55" t="str">
        <f aca="false">IF(OR(W$2="",$D28=""),"",IF(IF(ISNUMBER($F28),AND(W$2&gt;=$F28,W$2&lt;=IF(ISNUMBER($G28),$G28,$F28+$E28-$D28)),FALSE()),2,IF(AND(W$2&gt;=$D28,W$2&lt;=$E28),1,"")))</f>
        <v/>
      </c>
      <c r="X28" s="55" t="str">
        <f aca="false">IF(OR(X$2="",$D28=""),"",IF(IF(ISNUMBER($F28),AND(X$2&gt;=$F28,X$2&lt;=IF(ISNUMBER($G28),$G28,$F28+$E28-$D28)),FALSE()),2,IF(AND(X$2&gt;=$D28,X$2&lt;=$E28),1,"")))</f>
        <v/>
      </c>
      <c r="Y28" s="55" t="str">
        <f aca="false">IF(OR(Y$2="",$D28=""),"",IF(IF(ISNUMBER($F28),AND(Y$2&gt;=$F28,Y$2&lt;=IF(ISNUMBER($G28),$G28,$F28+$E28-$D28)),FALSE()),2,IF(AND(Y$2&gt;=$D28,Y$2&lt;=$E28),1,"")))</f>
        <v/>
      </c>
      <c r="Z28" s="55" t="str">
        <f aca="false">IF(OR(Z$2="",$D28=""),"",IF(IF(ISNUMBER($F28),AND(Z$2&gt;=$F28,Z$2&lt;=IF(ISNUMBER($G28),$G28,$F28+$E28-$D28)),FALSE()),2,IF(AND(Z$2&gt;=$D28,Z$2&lt;=$E28),1,"")))</f>
        <v/>
      </c>
      <c r="AA28" s="55" t="str">
        <f aca="false">IF(OR(AA$2="",$D28=""),"",IF(IF(ISNUMBER($F28),AND(AA$2&gt;=$F28,AA$2&lt;=IF(ISNUMBER($G28),$G28,$F28+$E28-$D28)),FALSE()),2,IF(AND(AA$2&gt;=$D28,AA$2&lt;=$E28),1,"")))</f>
        <v/>
      </c>
      <c r="AB28" s="55" t="str">
        <f aca="false">IF(OR(AB$2="",$D28=""),"",IF(IF(ISNUMBER($F28),AND(AB$2&gt;=$F28,AB$2&lt;=IF(ISNUMBER($G28),$G28,$F28+$E28-$D28)),FALSE()),2,IF(AND(AB$2&gt;=$D28,AB$2&lt;=$E28),1,"")))</f>
        <v/>
      </c>
      <c r="AC28" s="55" t="str">
        <f aca="false">IF(OR(AC$2="",$D28=""),"",IF(IF(ISNUMBER($F28),AND(AC$2&gt;=$F28,AC$2&lt;=IF(ISNUMBER($G28),$G28,$F28+$E28-$D28)),FALSE()),2,IF(AND(AC$2&gt;=$D28,AC$2&lt;=$E28),1,"")))</f>
        <v/>
      </c>
      <c r="AD28" s="55" t="str">
        <f aca="false">IF(OR(AD$2="",$D28=""),"",IF(IF(ISNUMBER($F28),AND(AD$2&gt;=$F28,AD$2&lt;=IF(ISNUMBER($G28),$G28,$F28+$E28-$D28)),FALSE()),2,IF(AND(AD$2&gt;=$D28,AD$2&lt;=$E28),1,"")))</f>
        <v/>
      </c>
      <c r="AE28" s="55" t="str">
        <f aca="false">IF(OR(AE$2="",$D28=""),"",IF(IF(ISNUMBER($F28),AND(AE$2&gt;=$F28,AE$2&lt;=IF(ISNUMBER($G28),$G28,$F28+$E28-$D28)),FALSE()),2,IF(AND(AE$2&gt;=$D28,AE$2&lt;=$E28),1,"")))</f>
        <v/>
      </c>
      <c r="AF28" s="55" t="str">
        <f aca="false">IF(OR(AF$2="",$D28=""),"",IF(IF(ISNUMBER($F28),AND(AF$2&gt;=$F28,AF$2&lt;=IF(ISNUMBER($G28),$G28,$F28+$E28-$D28)),FALSE()),2,IF(AND(AF$2&gt;=$D28,AF$2&lt;=$E28),1,"")))</f>
        <v/>
      </c>
      <c r="AG28" s="55" t="str">
        <f aca="false">IF(OR(AG$2="",$D28=""),"",IF(IF(ISNUMBER($F28),AND(AG$2&gt;=$F28,AG$2&lt;=IF(ISNUMBER($G28),$G28,$F28+$E28-$D28)),FALSE()),2,IF(AND(AG$2&gt;=$D28,AG$2&lt;=$E28),1,"")))</f>
        <v/>
      </c>
      <c r="AH28" s="55" t="str">
        <f aca="false">IF(OR(AH$2="",$D28=""),"",IF(IF(ISNUMBER($F28),AND(AH$2&gt;=$F28,AH$2&lt;=IF(ISNUMBER($G28),$G28,$F28+$E28-$D28)),FALSE()),2,IF(AND(AH$2&gt;=$D28,AH$2&lt;=$E28),1,"")))</f>
        <v/>
      </c>
      <c r="AI28" s="55" t="str">
        <f aca="false">IF(OR(AI$2="",$D28=""),"",IF(IF(ISNUMBER($F28),AND(AI$2&gt;=$F28,AI$2&lt;=IF(ISNUMBER($G28),$G28,$F28+$E28-$D28)),FALSE()),2,IF(AND(AI$2&gt;=$D28,AI$2&lt;=$E28),1,"")))</f>
        <v/>
      </c>
      <c r="AJ28" s="55" t="str">
        <f aca="false">IF(OR(AJ$2="",$D28=""),"",IF(IF(ISNUMBER($F28),AND(AJ$2&gt;=$F28,AJ$2&lt;=IF(ISNUMBER($G28),$G28,$F28+$E28-$D28)),FALSE()),2,IF(AND(AJ$2&gt;=$D28,AJ$2&lt;=$E28),1,"")))</f>
        <v/>
      </c>
      <c r="AK28" s="55" t="str">
        <f aca="false">IF(OR(AK$2="",$D28=""),"",IF(IF(ISNUMBER($F28),AND(AK$2&gt;=$F28,AK$2&lt;=IF(ISNUMBER($G28),$G28,$F28+$E28-$D28)),FALSE()),2,IF(AND(AK$2&gt;=$D28,AK$2&lt;=$E28),1,"")))</f>
        <v/>
      </c>
      <c r="AL28" s="55" t="str">
        <f aca="false">IF(OR(AL$2="",$D28=""),"",IF(IF(ISNUMBER($F28),AND(AL$2&gt;=$F28,AL$2&lt;=IF(ISNUMBER($G28),$G28,$F28+$E28-$D28)),FALSE()),2,IF(AND(AL$2&gt;=$D28,AL$2&lt;=$E28),1,"")))</f>
        <v/>
      </c>
      <c r="AM28" s="55" t="str">
        <f aca="false">IF(OR(AM$2="",$D28=""),"",IF(IF(ISNUMBER($F28),AND(AM$2&gt;=$F28,AM$2&lt;=IF(ISNUMBER($G28),$G28,$F28+$E28-$D28)),FALSE()),2,IF(AND(AM$2&gt;=$D28,AM$2&lt;=$E28),1,"")))</f>
        <v/>
      </c>
      <c r="AN28" s="55" t="str">
        <f aca="false">IF(OR(AN$2="",$D28=""),"",IF(IF(ISNUMBER($F28),AND(AN$2&gt;=$F28,AN$2&lt;=IF(ISNUMBER($G28),$G28,$F28+$E28-$D28)),FALSE()),2,IF(AND(AN$2&gt;=$D28,AN$2&lt;=$E28),1,"")))</f>
        <v/>
      </c>
      <c r="AO28" s="55" t="str">
        <f aca="false">IF(OR(AO$2="",$D28=""),"",IF(IF(ISNUMBER($F28),AND(AO$2&gt;=$F28,AO$2&lt;=IF(ISNUMBER($G28),$G28,$F28+$E28-$D28)),FALSE()),2,IF(AND(AO$2&gt;=$D28,AO$2&lt;=$E28),1,"")))</f>
        <v/>
      </c>
      <c r="AP28" s="55" t="str">
        <f aca="false">IF(OR(AP$2="",$D28=""),"",IF(IF(ISNUMBER($F28),AND(AP$2&gt;=$F28,AP$2&lt;=IF(ISNUMBER($G28),$G28,$F28+$E28-$D28)),FALSE()),2,IF(AND(AP$2&gt;=$D28,AP$2&lt;=$E28),1,"")))</f>
        <v/>
      </c>
      <c r="AQ28" s="55" t="str">
        <f aca="false">IF(OR(AQ$2="",$D28=""),"",IF(IF(ISNUMBER($F28),AND(AQ$2&gt;=$F28,AQ$2&lt;=IF(ISNUMBER($G28),$G28,$F28+$E28-$D28)),FALSE()),2,IF(AND(AQ$2&gt;=$D28,AQ$2&lt;=$E28),1,"")))</f>
        <v/>
      </c>
      <c r="AR28" s="55" t="str">
        <f aca="false">IF(OR(AR$2="",$D28=""),"",IF(IF(ISNUMBER($F28),AND(AR$2&gt;=$F28,AR$2&lt;=IF(ISNUMBER($G28),$G28,$F28+$E28-$D28)),FALSE()),2,IF(AND(AR$2&gt;=$D28,AR$2&lt;=$E28),1,"")))</f>
        <v/>
      </c>
      <c r="AS28" s="55" t="str">
        <f aca="false">IF(OR(AS$2="",$D28=""),"",IF(IF(ISNUMBER($F28),AND(AS$2&gt;=$F28,AS$2&lt;=IF(ISNUMBER($G28),$G28,$F28+$E28-$D28)),FALSE()),2,IF(AND(AS$2&gt;=$D28,AS$2&lt;=$E28),1,"")))</f>
        <v/>
      </c>
      <c r="AT28" s="55" t="str">
        <f aca="false">IF(OR(AT$2="",$D28=""),"",IF(IF(ISNUMBER($F28),AND(AT$2&gt;=$F28,AT$2&lt;=IF(ISNUMBER($G28),$G28,$F28+$E28-$D28)),FALSE()),2,IF(AND(AT$2&gt;=$D28,AT$2&lt;=$E28),1,"")))</f>
        <v/>
      </c>
      <c r="AU28" s="55" t="str">
        <f aca="false">IF(OR(AU$2="",$D28=""),"",IF(IF(ISNUMBER($F28),AND(AU$2&gt;=$F28,AU$2&lt;=IF(ISNUMBER($G28),$G28,$F28+$E28-$D28)),FALSE()),2,IF(AND(AU$2&gt;=$D28,AU$2&lt;=$E28),1,"")))</f>
        <v/>
      </c>
      <c r="AV28" s="55" t="str">
        <f aca="false">IF(OR(AV$2="",$D28=""),"",IF(IF(ISNUMBER($F28),AND(AV$2&gt;=$F28,AV$2&lt;=IF(ISNUMBER($G28),$G28,$F28+$E28-$D28)),FALSE()),2,IF(AND(AV$2&gt;=$D28,AV$2&lt;=$E28),1,"")))</f>
        <v/>
      </c>
      <c r="AW28" s="55" t="str">
        <f aca="false">IF(OR(AW$2="",$D28=""),"",IF(IF(ISNUMBER($F28),AND(AW$2&gt;=$F28,AW$2&lt;=IF(ISNUMBER($G28),$G28,$F28+$E28-$D28)),FALSE()),2,IF(AND(AW$2&gt;=$D28,AW$2&lt;=$E28),1,"")))</f>
        <v/>
      </c>
      <c r="AX28" s="55" t="str">
        <f aca="false">IF(OR(AX$2="",$D28=""),"",IF(IF(ISNUMBER($F28),AND(AX$2&gt;=$F28,AX$2&lt;=IF(ISNUMBER($G28),$G28,$F28+$E28-$D28)),FALSE()),2,IF(AND(AX$2&gt;=$D28,AX$2&lt;=$E28),1,"")))</f>
        <v/>
      </c>
      <c r="AY28" s="55" t="str">
        <f aca="false">IF(OR(AY$2="",$D28=""),"",IF(IF(ISNUMBER($F28),AND(AY$2&gt;=$F28,AY$2&lt;=IF(ISNUMBER($G28),$G28,$F28+$E28-$D28)),FALSE()),2,IF(AND(AY$2&gt;=$D28,AY$2&lt;=$E28),1,"")))</f>
        <v/>
      </c>
      <c r="AZ28" s="55" t="str">
        <f aca="false">IF(OR(AZ$2="",$D28=""),"",IF(IF(ISNUMBER($F28),AND(AZ$2&gt;=$F28,AZ$2&lt;=IF(ISNUMBER($G28),$G28,$F28+$E28-$D28)),FALSE()),2,IF(AND(AZ$2&gt;=$D28,AZ$2&lt;=$E28),1,"")))</f>
        <v/>
      </c>
      <c r="BA28" s="55" t="str">
        <f aca="false">IF(OR(BA$2="",$D28=""),"",IF(IF(ISNUMBER($F28),AND(BA$2&gt;=$F28,BA$2&lt;=IF(ISNUMBER($G28),$G28,$F28+$E28-$D28)),FALSE()),2,IF(AND(BA$2&gt;=$D28,BA$2&lt;=$E28),1,"")))</f>
        <v/>
      </c>
      <c r="BB28" s="55" t="str">
        <f aca="false">IF(OR(BB$2="",$D28=""),"",IF(IF(ISNUMBER($F28),AND(BB$2&gt;=$F28,BB$2&lt;=IF(ISNUMBER($G28),$G28,$F28+$E28-$D28)),FALSE()),2,IF(AND(BB$2&gt;=$D28,BB$2&lt;=$E28),1,"")))</f>
        <v/>
      </c>
      <c r="BC28" s="55" t="str">
        <f aca="false">IF(OR(BC$2="",$D28=""),"",IF(IF(ISNUMBER($F28),AND(BC$2&gt;=$F28,BC$2&lt;=IF(ISNUMBER($G28),$G28,$F28+$E28-$D28)),FALSE()),2,IF(AND(BC$2&gt;=$D28,BC$2&lt;=$E28),1,"")))</f>
        <v/>
      </c>
      <c r="BD28" s="55" t="str">
        <f aca="false">IF(OR(BD$2="",$D28=""),"",IF(IF(ISNUMBER($F28),AND(BD$2&gt;=$F28,BD$2&lt;=IF(ISNUMBER($G28),$G28,$F28+$E28-$D28)),FALSE()),2,IF(AND(BD$2&gt;=$D28,BD$2&lt;=$E28),1,"")))</f>
        <v/>
      </c>
      <c r="BE28" s="55" t="str">
        <f aca="false">IF(OR(BE$2="",$D28=""),"",IF(IF(ISNUMBER($F28),AND(BE$2&gt;=$F28,BE$2&lt;=IF(ISNUMBER($G28),$G28,$F28+$E28-$D28)),FALSE()),2,IF(AND(BE$2&gt;=$D28,BE$2&lt;=$E28),1,"")))</f>
        <v/>
      </c>
      <c r="BF28" s="55" t="str">
        <f aca="false">IF(OR(BF$2="",$D28=""),"",IF(IF(ISNUMBER($F28),AND(BF$2&gt;=$F28,BF$2&lt;=IF(ISNUMBER($G28),$G28,$F28+$E28-$D28)),FALSE()),2,IF(AND(BF$2&gt;=$D28,BF$2&lt;=$E28),1,"")))</f>
        <v/>
      </c>
      <c r="BG28" s="55" t="str">
        <f aca="false">IF(OR(BG$2="",$D28=""),"",IF(IF(ISNUMBER($F28),AND(BG$2&gt;=$F28,BG$2&lt;=IF(ISNUMBER($G28),$G28,$F28+$E28-$D28)),FALSE()),2,IF(AND(BG$2&gt;=$D28,BG$2&lt;=$E28),1,"")))</f>
        <v/>
      </c>
      <c r="BH28" s="55" t="str">
        <f aca="false">IF(OR(BH$2="",$D28=""),"",IF(IF(ISNUMBER($F28),AND(BH$2&gt;=$F28,BH$2&lt;=IF(ISNUMBER($G28),$G28,$F28+$E28-$D28)),FALSE()),2,IF(AND(BH$2&gt;=$D28,BH$2&lt;=$E28),1,"")))</f>
        <v/>
      </c>
      <c r="BI28" s="55" t="str">
        <f aca="false">IF(OR(BI$2="",$D28=""),"",IF(IF(ISNUMBER($F28),AND(BI$2&gt;=$F28,BI$2&lt;=IF(ISNUMBER($G28),$G28,$F28+$E28-$D28)),FALSE()),2,IF(AND(BI$2&gt;=$D28,BI$2&lt;=$E28),1,"")))</f>
        <v/>
      </c>
      <c r="BJ28" s="55" t="str">
        <f aca="false">IF(OR(BJ$2="",$D28=""),"",IF(IF(ISNUMBER($F28),AND(BJ$2&gt;=$F28,BJ$2&lt;=IF(ISNUMBER($G28),$G28,$F28+$E28-$D28)),FALSE()),2,IF(AND(BJ$2&gt;=$D28,BJ$2&lt;=$E28),1,"")))</f>
        <v/>
      </c>
      <c r="BK28" s="55" t="str">
        <f aca="false">IF(OR(BK$2="",$D28=""),"",IF(IF(ISNUMBER($F28),AND(BK$2&gt;=$F28,BK$2&lt;=IF(ISNUMBER($G28),$G28,$F28+$E28-$D28)),FALSE()),2,IF(AND(BK$2&gt;=$D28,BK$2&lt;=$E28),1,"")))</f>
        <v/>
      </c>
      <c r="BL28" s="55" t="str">
        <f aca="false">IF(OR(BL$2="",$D28=""),"",IF(IF(ISNUMBER($F28),AND(BL$2&gt;=$F28,BL$2&lt;=IF(ISNUMBER($G28),$G28,$F28+$E28-$D28)),FALSE()),2,IF(AND(BL$2&gt;=$D28,BL$2&lt;=$E28),1,"")))</f>
        <v/>
      </c>
      <c r="BM28" s="55" t="str">
        <f aca="false">IF(OR(BM$2="",$D28=""),"",IF(IF(ISNUMBER($F28),AND(BM$2&gt;=$F28,BM$2&lt;=IF(ISNUMBER($G28),$G28,$F28+$E28-$D28)),FALSE()),2,IF(AND(BM$2&gt;=$D28,BM$2&lt;=$E28),1,"")))</f>
        <v/>
      </c>
      <c r="BN28" s="55" t="str">
        <f aca="false">IF(OR(BN$2="",$D28=""),"",IF(IF(ISNUMBER($F28),AND(BN$2&gt;=$F28,BN$2&lt;=IF(ISNUMBER($G28),$G28,$F28+$E28-$D28)),FALSE()),2,IF(AND(BN$2&gt;=$D28,BN$2&lt;=$E28),1,"")))</f>
        <v/>
      </c>
      <c r="BO28" s="55" t="str">
        <f aca="false">IF(OR(BO$2="",$D28=""),"",IF(IF(ISNUMBER($F28),AND(BO$2&gt;=$F28,BO$2&lt;=IF(ISNUMBER($G28),$G28,$F28+$E28-$D28)),FALSE()),2,IF(AND(BO$2&gt;=$D28,BO$2&lt;=$E28),1,"")))</f>
        <v/>
      </c>
      <c r="BP28" s="55" t="str">
        <f aca="false">IF(OR(BP$2="",$D28=""),"",IF(IF(ISNUMBER($F28),AND(BP$2&gt;=$F28,BP$2&lt;=IF(ISNUMBER($G28),$G28,$F28+$E28-$D28)),FALSE()),2,IF(AND(BP$2&gt;=$D28,BP$2&lt;=$E28),1,"")))</f>
        <v/>
      </c>
      <c r="BQ28" s="55" t="str">
        <f aca="false">IF(OR(BQ$2="",$D28=""),"",IF(IF(ISNUMBER($F28),AND(BQ$2&gt;=$F28,BQ$2&lt;=IF(ISNUMBER($G28),$G28,$F28+$E28-$D28)),FALSE()),2,IF(AND(BQ$2&gt;=$D28,BQ$2&lt;=$E28),1,"")))</f>
        <v/>
      </c>
      <c r="BR28" s="55" t="str">
        <f aca="false">IF(OR(BR$2="",$D28=""),"",IF(IF(ISNUMBER($F28),AND(BR$2&gt;=$F28,BR$2&lt;=IF(ISNUMBER($G28),$G28,$F28+$E28-$D28)),FALSE()),2,IF(AND(BR$2&gt;=$D28,BR$2&lt;=$E28),1,"")))</f>
        <v/>
      </c>
      <c r="BS28" s="55" t="str">
        <f aca="false">IF(OR(BS$2="",$D28=""),"",IF(IF(ISNUMBER($F28),AND(BS$2&gt;=$F28,BS$2&lt;=IF(ISNUMBER($G28),$G28,$F28+$E28-$D28)),FALSE()),2,IF(AND(BS$2&gt;=$D28,BS$2&lt;=$E28),1,"")))</f>
        <v/>
      </c>
      <c r="BT28" s="55" t="str">
        <f aca="false">IF(OR(BT$2="",$D28=""),"",IF(IF(ISNUMBER($F28),AND(BT$2&gt;=$F28,BT$2&lt;=IF(ISNUMBER($G28),$G28,$F28+$E28-$D28)),FALSE()),2,IF(AND(BT$2&gt;=$D28,BT$2&lt;=$E28),1,"")))</f>
        <v/>
      </c>
      <c r="BU28" s="55" t="str">
        <f aca="false">IF(OR(BU$2="",$D28=""),"",IF(IF(ISNUMBER($F28),AND(BU$2&gt;=$F28,BU$2&lt;=IF(ISNUMBER($G28),$G28,$F28+$E28-$D28)),FALSE()),2,IF(AND(BU$2&gt;=$D28,BU$2&lt;=$E28),1,"")))</f>
        <v/>
      </c>
      <c r="BV28" s="55" t="str">
        <f aca="false">IF(OR(BV$2="",$D28=""),"",IF(IF(ISNUMBER($F28),AND(BV$2&gt;=$F28,BV$2&lt;=IF(ISNUMBER($G28),$G28,$F28+$E28-$D28)),FALSE()),2,IF(AND(BV$2&gt;=$D28,BV$2&lt;=$E28),1,"")))</f>
        <v/>
      </c>
      <c r="BW28" s="55" t="str">
        <f aca="false">IF(OR(BW$2="",$D28=""),"",IF(IF(ISNUMBER($F28),AND(BW$2&gt;=$F28,BW$2&lt;=IF(ISNUMBER($G28),$G28,$F28+$E28-$D28)),FALSE()),2,IF(AND(BW$2&gt;=$D28,BW$2&lt;=$E28),1,"")))</f>
        <v/>
      </c>
      <c r="BX28" s="55" t="str">
        <f aca="false">IF(OR(BX$2="",$D28=""),"",IF(IF(ISNUMBER($F28),AND(BX$2&gt;=$F28,BX$2&lt;=IF(ISNUMBER($G28),$G28,$F28+$E28-$D28)),FALSE()),2,IF(AND(BX$2&gt;=$D28,BX$2&lt;=$E28),1,"")))</f>
        <v/>
      </c>
      <c r="BY28" s="55" t="str">
        <f aca="false">IF(OR(BY$2="",$D28=""),"",IF(IF(ISNUMBER($F28),AND(BY$2&gt;=$F28,BY$2&lt;=IF(ISNUMBER($G28),$G28,$F28+$E28-$D28)),FALSE()),2,IF(AND(BY$2&gt;=$D28,BY$2&lt;=$E28),1,"")))</f>
        <v/>
      </c>
      <c r="BZ28" s="55" t="str">
        <f aca="false">IF(OR(BZ$2="",$D28=""),"",IF(IF(ISNUMBER($F28),AND(BZ$2&gt;=$F28,BZ$2&lt;=IF(ISNUMBER($G28),$G28,$F28+$E28-$D28)),FALSE()),2,IF(AND(BZ$2&gt;=$D28,BZ$2&lt;=$E28),1,"")))</f>
        <v/>
      </c>
      <c r="CA28" s="55" t="str">
        <f aca="false">IF(OR(CA$2="",$D28=""),"",IF(IF(ISNUMBER($F28),AND(CA$2&gt;=$F28,CA$2&lt;=IF(ISNUMBER($G28),$G28,$F28+$E28-$D28)),FALSE()),2,IF(AND(CA$2&gt;=$D28,CA$2&lt;=$E28),1,"")))</f>
        <v/>
      </c>
      <c r="CB28" s="55" t="str">
        <f aca="false">IF(OR(CB$2="",$D28=""),"",IF(IF(ISNUMBER($F28),AND(CB$2&gt;=$F28,CB$2&lt;=IF(ISNUMBER($G28),$G28,$F28+$E28-$D28)),FALSE()),2,IF(AND(CB$2&gt;=$D28,CB$2&lt;=$E28),1,"")))</f>
        <v/>
      </c>
      <c r="CC28" s="55" t="str">
        <f aca="false">IF(OR(CC$2="",$D28=""),"",IF(IF(ISNUMBER($F28),AND(CC$2&gt;=$F28,CC$2&lt;=IF(ISNUMBER($G28),$G28,$F28+$E28-$D28)),FALSE()),2,IF(AND(CC$2&gt;=$D28,CC$2&lt;=$E28),1,"")))</f>
        <v/>
      </c>
      <c r="CD28" s="55" t="str">
        <f aca="false">IF(OR(CD$2="",$D28=""),"",IF(IF(ISNUMBER($F28),AND(CD$2&gt;=$F28,CD$2&lt;=IF(ISNUMBER($G28),$G28,$F28+$E28-$D28)),FALSE()),2,IF(AND(CD$2&gt;=$D28,CD$2&lt;=$E28),1,"")))</f>
        <v/>
      </c>
      <c r="CE28" s="55" t="str">
        <f aca="false">IF(OR(CE$2="",$D28=""),"",IF(IF(ISNUMBER($F28),AND(CE$2&gt;=$F28,CE$2&lt;=IF(ISNUMBER($G28),$G28,$F28+$E28-$D28)),FALSE()),2,IF(AND(CE$2&gt;=$D28,CE$2&lt;=$E28),1,"")))</f>
        <v/>
      </c>
      <c r="CF28" s="55" t="str">
        <f aca="false">IF(OR(CF$2="",$D28=""),"",IF(IF(ISNUMBER($F28),AND(CF$2&gt;=$F28,CF$2&lt;=IF(ISNUMBER($G28),$G28,$F28+$E28-$D28)),FALSE()),2,IF(AND(CF$2&gt;=$D28,CF$2&lt;=$E28),1,"")))</f>
        <v/>
      </c>
      <c r="CG28" s="55" t="str">
        <f aca="false">IF(OR(CG$2="",$D28=""),"",IF(IF(ISNUMBER($F28),AND(CG$2&gt;=$F28,CG$2&lt;=IF(ISNUMBER($G28),$G28,$F28+$E28-$D28)),FALSE()),2,IF(AND(CG$2&gt;=$D28,CG$2&lt;=$E28),1,"")))</f>
        <v/>
      </c>
      <c r="CH28" s="55" t="str">
        <f aca="false">IF(OR(CH$2="",$D28=""),"",IF(IF(ISNUMBER($F28),AND(CH$2&gt;=$F28,CH$2&lt;=IF(ISNUMBER($G28),$G28,$F28+$E28-$D28)),FALSE()),2,IF(AND(CH$2&gt;=$D28,CH$2&lt;=$E28),1,"")))</f>
        <v/>
      </c>
      <c r="CI28" s="55" t="str">
        <f aca="false">IF(OR(CI$2="",$D28=""),"",IF(IF(ISNUMBER($F28),AND(CI$2&gt;=$F28,CI$2&lt;=IF(ISNUMBER($G28),$G28,$F28+$E28-$D28)),FALSE()),2,IF(AND(CI$2&gt;=$D28,CI$2&lt;=$E28),1,"")))</f>
        <v/>
      </c>
      <c r="CJ28" s="55" t="str">
        <f aca="false">IF(OR(CJ$2="",$D28=""),"",IF(IF(ISNUMBER($F28),AND(CJ$2&gt;=$F28,CJ$2&lt;=IF(ISNUMBER($G28),$G28,$F28+$E28-$D28)),FALSE()),2,IF(AND(CJ$2&gt;=$D28,CJ$2&lt;=$E28),1,"")))</f>
        <v/>
      </c>
      <c r="CK28" s="55" t="str">
        <f aca="false">IF(OR(CK$2="",$D28=""),"",IF(IF(ISNUMBER($F28),AND(CK$2&gt;=$F28,CK$2&lt;=IF(ISNUMBER($G28),$G28,$F28+$E28-$D28)),FALSE()),2,IF(AND(CK$2&gt;=$D28,CK$2&lt;=$E28),1,"")))</f>
        <v/>
      </c>
      <c r="CL28" s="55" t="str">
        <f aca="false">IF(OR(CL$2="",$D28=""),"",IF(IF(ISNUMBER($F28),AND(CL$2&gt;=$F28,CL$2&lt;=IF(ISNUMBER($G28),$G28,$F28+$E28-$D28)),FALSE()),2,IF(AND(CL$2&gt;=$D28,CL$2&lt;=$E28),1,"")))</f>
        <v/>
      </c>
      <c r="CM28" s="55" t="str">
        <f aca="false">IF(OR(CM$2="",$D28=""),"",IF(IF(ISNUMBER($F28),AND(CM$2&gt;=$F28,CM$2&lt;=IF(ISNUMBER($G28),$G28,$F28+$E28-$D28)),FALSE()),2,IF(AND(CM$2&gt;=$D28,CM$2&lt;=$E28),1,"")))</f>
        <v/>
      </c>
      <c r="CN28" s="55" t="str">
        <f aca="false">IF(OR(CN$2="",$D28=""),"",IF(IF(ISNUMBER($F28),AND(CN$2&gt;=$F28,CN$2&lt;=IF(ISNUMBER($G28),$G28,$F28+$E28-$D28)),FALSE()),2,IF(AND(CN$2&gt;=$D28,CN$2&lt;=$E28),1,"")))</f>
        <v/>
      </c>
      <c r="CO28" s="55" t="str">
        <f aca="false">IF(OR(CO$2="",$D28=""),"",IF(IF(ISNUMBER($F28),AND(CO$2&gt;=$F28,CO$2&lt;=IF(ISNUMBER($G28),$G28,$F28+$E28-$D28)),FALSE()),2,IF(AND(CO$2&gt;=$D28,CO$2&lt;=$E28),1,"")))</f>
        <v/>
      </c>
      <c r="CP28" s="55" t="str">
        <f aca="false">IF(OR(CP$2="",$D28=""),"",IF(IF(ISNUMBER($F28),AND(CP$2&gt;=$F28,CP$2&lt;=IF(ISNUMBER($G28),$G28,$F28+$E28-$D28)),FALSE()),2,IF(AND(CP$2&gt;=$D28,CP$2&lt;=$E28),1,"")))</f>
        <v/>
      </c>
      <c r="CQ28" s="55" t="str">
        <f aca="false">IF(OR(CQ$2="",$D28=""),"",IF(IF(ISNUMBER($F28),AND(CQ$2&gt;=$F28,CQ$2&lt;=IF(ISNUMBER($G28),$G28,$F28+$E28-$D28)),FALSE()),2,IF(AND(CQ$2&gt;=$D28,CQ$2&lt;=$E28),1,"")))</f>
        <v/>
      </c>
      <c r="CR28" s="55" t="str">
        <f aca="false">IF(OR(CR$2="",$D28=""),"",IF(IF(ISNUMBER($F28),AND(CR$2&gt;=$F28,CR$2&lt;=IF(ISNUMBER($G28),$G28,$F28+$E28-$D28)),FALSE()),2,IF(AND(CR$2&gt;=$D28,CR$2&lt;=$E28),1,"")))</f>
        <v/>
      </c>
      <c r="CS28" s="55" t="str">
        <f aca="false">IF(OR(CS$2="",$D28=""),"",IF(IF(ISNUMBER($F28),AND(CS$2&gt;=$F28,CS$2&lt;=IF(ISNUMBER($G28),$G28,$F28+$E28-$D28)),FALSE()),2,IF(AND(CS$2&gt;=$D28,CS$2&lt;=$E28),1,"")))</f>
        <v/>
      </c>
      <c r="CT28" s="55" t="str">
        <f aca="false">IF(OR(CT$2="",$D28=""),"",IF(IF(ISNUMBER($F28),AND(CT$2&gt;=$F28,CT$2&lt;=IF(ISNUMBER($G28),$G28,$F28+$E28-$D28)),FALSE()),2,IF(AND(CT$2&gt;=$D28,CT$2&lt;=$E28),1,"")))</f>
        <v/>
      </c>
      <c r="CU28" s="55" t="str">
        <f aca="false">IF(OR(CU$2="",$D28=""),"",IF(IF(ISNUMBER($F28),AND(CU$2&gt;=$F28,CU$2&lt;=IF(ISNUMBER($G28),$G28,$F28+$E28-$D28)),FALSE()),2,IF(AND(CU$2&gt;=$D28,CU$2&lt;=$E28),1,"")))</f>
        <v/>
      </c>
      <c r="CV28" s="55" t="str">
        <f aca="false">IF(OR(CV$2="",$D28=""),"",IF(IF(ISNUMBER($F28),AND(CV$2&gt;=$F28,CV$2&lt;=IF(ISNUMBER($G28),$G28,$F28+$E28-$D28)),FALSE()),2,IF(AND(CV$2&gt;=$D28,CV$2&lt;=$E28),1,"")))</f>
        <v/>
      </c>
      <c r="CW28" s="55" t="str">
        <f aca="false">IF(OR(CW$2="",$D28=""),"",IF(IF(ISNUMBER($F28),AND(CW$2&gt;=$F28,CW$2&lt;=IF(ISNUMBER($G28),$G28,$F28+$E28-$D28)),FALSE()),2,IF(AND(CW$2&gt;=$D28,CW$2&lt;=$E28),1,"")))</f>
        <v/>
      </c>
      <c r="CX28" s="55" t="str">
        <f aca="false">IF(OR(CX$2="",$D28=""),"",IF(IF(ISNUMBER($F28),AND(CX$2&gt;=$F28,CX$2&lt;=IF(ISNUMBER($G28),$G28,$F28+$E28-$D28)),FALSE()),2,IF(AND(CX$2&gt;=$D28,CX$2&lt;=$E28),1,"")))</f>
        <v/>
      </c>
      <c r="CY28" s="55" t="str">
        <f aca="false">IF(OR(CY$2="",$D28=""),"",IF(IF(ISNUMBER($F28),AND(CY$2&gt;=$F28,CY$2&lt;=IF(ISNUMBER($G28),$G28,$F28+$E28-$D28)),FALSE()),2,IF(AND(CY$2&gt;=$D28,CY$2&lt;=$E28),1,"")))</f>
        <v/>
      </c>
      <c r="CZ28" s="55" t="str">
        <f aca="false">IF(OR(CZ$2="",$D28=""),"",IF(IF(ISNUMBER($F28),AND(CZ$2&gt;=$F28,CZ$2&lt;=IF(ISNUMBER($G28),$G28,$F28+$E28-$D28)),FALSE()),2,IF(AND(CZ$2&gt;=$D28,CZ$2&lt;=$E28),1,"")))</f>
        <v/>
      </c>
      <c r="DA28" s="55" t="str">
        <f aca="false">IF(OR(DA$2="",$D28=""),"",IF(IF(ISNUMBER($F28),AND(DA$2&gt;=$F28,DA$2&lt;=IF(ISNUMBER($G28),$G28,$F28+$E28-$D28)),FALSE()),2,IF(AND(DA$2&gt;=$D28,DA$2&lt;=$E28),1,"")))</f>
        <v/>
      </c>
      <c r="DB28" s="55" t="str">
        <f aca="false">IF(OR(DB$2="",$D28=""),"",IF(IF(ISNUMBER($F28),AND(DB$2&gt;=$F28,DB$2&lt;=IF(ISNUMBER($G28),$G28,$F28+$E28-$D28)),FALSE()),2,IF(AND(DB$2&gt;=$D28,DB$2&lt;=$E28),1,"")))</f>
        <v/>
      </c>
      <c r="DC28" s="55" t="str">
        <f aca="false">IF(OR(DC$2="",$D28=""),"",IF(IF(ISNUMBER($F28),AND(DC$2&gt;=$F28,DC$2&lt;=IF(ISNUMBER($G28),$G28,$F28+$E28-$D28)),FALSE()),2,IF(AND(DC$2&gt;=$D28,DC$2&lt;=$E28),1,"")))</f>
        <v/>
      </c>
      <c r="DD28" s="55" t="str">
        <f aca="false">IF(OR(DD$2="",$D28=""),"",IF(IF(ISNUMBER($F28),AND(DD$2&gt;=$F28,DD$2&lt;=IF(ISNUMBER($G28),$G28,$F28+$E28-$D28)),FALSE()),2,IF(AND(DD$2&gt;=$D28,DD$2&lt;=$E28),1,"")))</f>
        <v/>
      </c>
      <c r="DE28" s="55" t="str">
        <f aca="false">IF(OR(DE$2="",$D28=""),"",IF(IF(ISNUMBER($F28),AND(DE$2&gt;=$F28,DE$2&lt;=IF(ISNUMBER($G28),$G28,$F28+$E28-$D28)),FALSE()),2,IF(AND(DE$2&gt;=$D28,DE$2&lt;=$E28),1,"")))</f>
        <v/>
      </c>
      <c r="DF28" s="55" t="str">
        <f aca="false">IF(OR(DF$2="",$D28=""),"",IF(IF(ISNUMBER($F28),AND(DF$2&gt;=$F28,DF$2&lt;=IF(ISNUMBER($G28),$G28,$F28+$E28-$D28)),FALSE()),2,IF(AND(DF$2&gt;=$D28,DF$2&lt;=$E28),1,"")))</f>
        <v/>
      </c>
      <c r="DG28" s="55" t="str">
        <f aca="false">IF(OR(DG$2="",$D28=""),"",IF(IF(ISNUMBER($F28),AND(DG$2&gt;=$F28,DG$2&lt;=IF(ISNUMBER($G28),$G28,$F28+$E28-$D28)),FALSE()),2,IF(AND(DG$2&gt;=$D28,DG$2&lt;=$E28),1,"")))</f>
        <v/>
      </c>
      <c r="DH28" s="55" t="str">
        <f aca="false">IF(OR(DH$2="",$D28=""),"",IF(IF(ISNUMBER($F28),AND(DH$2&gt;=$F28,DH$2&lt;=IF(ISNUMBER($G28),$G28,$F28+$E28-$D28)),FALSE()),2,IF(AND(DH$2&gt;=$D28,DH$2&lt;=$E28),1,"")))</f>
        <v/>
      </c>
      <c r="DI28" s="55" t="str">
        <f aca="false">IF(OR(DI$2="",$D28=""),"",IF(IF(ISNUMBER($F28),AND(DI$2&gt;=$F28,DI$2&lt;=IF(ISNUMBER($G28),$G28,$F28+$E28-$D28)),FALSE()),2,IF(AND(DI$2&gt;=$D28,DI$2&lt;=$E28),1,"")))</f>
        <v/>
      </c>
      <c r="DJ28" s="55" t="str">
        <f aca="false">IF(OR(DJ$2="",$D28=""),"",IF(IF(ISNUMBER($F28),AND(DJ$2&gt;=$F28,DJ$2&lt;=IF(ISNUMBER($G28),$G28,$F28+$E28-$D28)),FALSE()),2,IF(AND(DJ$2&gt;=$D28,DJ$2&lt;=$E28),1,"")))</f>
        <v/>
      </c>
      <c r="DK28" s="55" t="str">
        <f aca="false">IF(OR(DK$2="",$D28=""),"",IF(IF(ISNUMBER($F28),AND(DK$2&gt;=$F28,DK$2&lt;=IF(ISNUMBER($G28),$G28,$F28+$E28-$D28)),FALSE()),2,IF(AND(DK$2&gt;=$D28,DK$2&lt;=$E28),1,"")))</f>
        <v/>
      </c>
      <c r="DL28" s="55" t="str">
        <f aca="false">IF(OR(DL$2="",$D28=""),"",IF(IF(ISNUMBER($F28),AND(DL$2&gt;=$F28,DL$2&lt;=IF(ISNUMBER($G28),$G28,$F28+$E28-$D28)),FALSE()),2,IF(AND(DL$2&gt;=$D28,DL$2&lt;=$E28),1,"")))</f>
        <v/>
      </c>
      <c r="DM28" s="55" t="str">
        <f aca="false">IF(OR(DM$2="",$D28=""),"",IF(IF(ISNUMBER($F28),AND(DM$2&gt;=$F28,DM$2&lt;=IF(ISNUMBER($G28),$G28,$F28+$E28-$D28)),FALSE()),2,IF(AND(DM$2&gt;=$D28,DM$2&lt;=$E28),1,"")))</f>
        <v/>
      </c>
      <c r="DN28" s="55" t="str">
        <f aca="false">IF(OR(DN$2="",$D28=""),"",IF(IF(ISNUMBER($F28),AND(DN$2&gt;=$F28,DN$2&lt;=IF(ISNUMBER($G28),$G28,$F28+$E28-$D28)),FALSE()),2,IF(AND(DN$2&gt;=$D28,DN$2&lt;=$E28),1,"")))</f>
        <v/>
      </c>
      <c r="DO28" s="55" t="str">
        <f aca="false">IF(OR(DO$2="",$D28=""),"",IF(IF(ISNUMBER($F28),AND(DO$2&gt;=$F28,DO$2&lt;=IF(ISNUMBER($G28),$G28,$F28+$E28-$D28)),FALSE()),2,IF(AND(DO$2&gt;=$D28,DO$2&lt;=$E28),1,"")))</f>
        <v/>
      </c>
      <c r="DP28" s="55" t="str">
        <f aca="false">IF(OR(DP$2="",$D28=""),"",IF(IF(ISNUMBER($F28),AND(DP$2&gt;=$F28,DP$2&lt;=IF(ISNUMBER($G28),$G28,$F28+$E28-$D28)),FALSE()),2,IF(AND(DP$2&gt;=$D28,DP$2&lt;=$E28),1,"")))</f>
        <v/>
      </c>
      <c r="DQ28" s="55" t="str">
        <f aca="false">IF(OR(DQ$2="",$D28=""),"",IF(IF(ISNUMBER($F28),AND(DQ$2&gt;=$F28,DQ$2&lt;=IF(ISNUMBER($G28),$G28,$F28+$E28-$D28)),FALSE()),2,IF(AND(DQ$2&gt;=$D28,DQ$2&lt;=$E28),1,"")))</f>
        <v/>
      </c>
      <c r="DR28" s="55" t="str">
        <f aca="false">IF(OR(DR$2="",$D28=""),"",IF(IF(ISNUMBER($F28),AND(DR$2&gt;=$F28,DR$2&lt;=IF(ISNUMBER($G28),$G28,$F28+$E28-$D28)),FALSE()),2,IF(AND(DR$2&gt;=$D28,DR$2&lt;=$E28),1,"")))</f>
        <v/>
      </c>
      <c r="DS28" s="55" t="str">
        <f aca="false">IF(OR(DS$2="",$D28=""),"",IF(IF(ISNUMBER($F28),AND(DS$2&gt;=$F28,DS$2&lt;=IF(ISNUMBER($G28),$G28,$F28+$E28-$D28)),FALSE()),2,IF(AND(DS$2&gt;=$D28,DS$2&lt;=$E28),1,"")))</f>
        <v/>
      </c>
      <c r="DT28" s="55" t="str">
        <f aca="false">IF(OR(DT$2="",$D28=""),"",IF(IF(ISNUMBER($F28),AND(DT$2&gt;=$F28,DT$2&lt;=IF(ISNUMBER($G28),$G28,$F28+$E28-$D28)),FALSE()),2,IF(AND(DT$2&gt;=$D28,DT$2&lt;=$E28),1,"")))</f>
        <v/>
      </c>
      <c r="DU28" s="55" t="str">
        <f aca="false">IF(OR(DU$2="",$D28=""),"",IF(IF(ISNUMBER($F28),AND(DU$2&gt;=$F28,DU$2&lt;=IF(ISNUMBER($G28),$G28,$F28+$E28-$D28)),FALSE()),2,IF(AND(DU$2&gt;=$D28,DU$2&lt;=$E28),1,"")))</f>
        <v/>
      </c>
      <c r="DV28" s="55" t="str">
        <f aca="false">IF(OR(DV$2="",$D28=""),"",IF(IF(ISNUMBER($F28),AND(DV$2&gt;=$F28,DV$2&lt;=IF(ISNUMBER($G28),$G28,$F28+$E28-$D28)),FALSE()),2,IF(AND(DV$2&gt;=$D28,DV$2&lt;=$E28),1,"")))</f>
        <v/>
      </c>
      <c r="DW28" s="55" t="str">
        <f aca="false">IF(OR(DW$2="",$D28=""),"",IF(IF(ISNUMBER($F28),AND(DW$2&gt;=$F28,DW$2&lt;=IF(ISNUMBER($G28),$G28,$F28+$E28-$D28)),FALSE()),2,IF(AND(DW$2&gt;=$D28,DW$2&lt;=$E28),1,"")))</f>
        <v/>
      </c>
      <c r="DX28" s="55" t="str">
        <f aca="false">IF(OR(DX$2="",$D28=""),"",IF(IF(ISNUMBER($F28),AND(DX$2&gt;=$F28,DX$2&lt;=IF(ISNUMBER($G28),$G28,$F28+$E28-$D28)),FALSE()),2,IF(AND(DX$2&gt;=$D28,DX$2&lt;=$E28),1,"")))</f>
        <v/>
      </c>
      <c r="DY28" s="55" t="str">
        <f aca="false">IF(OR(DY$2="",$D28=""),"",IF(IF(ISNUMBER($F28),AND(DY$2&gt;=$F28,DY$2&lt;=IF(ISNUMBER($G28),$G28,$F28+$E28-$D28)),FALSE()),2,IF(AND(DY$2&gt;=$D28,DY$2&lt;=$E28),1,"")))</f>
        <v/>
      </c>
      <c r="DZ28" s="55" t="str">
        <f aca="false">IF(OR(DZ$2="",$D28=""),"",IF(IF(ISNUMBER($F28),AND(DZ$2&gt;=$F28,DZ$2&lt;=IF(ISNUMBER($G28),$G28,$F28+$E28-$D28)),FALSE()),2,IF(AND(DZ$2&gt;=$D28,DZ$2&lt;=$E28),1,"")))</f>
        <v/>
      </c>
      <c r="EA28" s="55" t="str">
        <f aca="false">IF(OR(EA$2="",$D28=""),"",IF(IF(ISNUMBER($F28),AND(EA$2&gt;=$F28,EA$2&lt;=IF(ISNUMBER($G28),$G28,$F28+$E28-$D28)),FALSE()),2,IF(AND(EA$2&gt;=$D28,EA$2&lt;=$E28),1,"")))</f>
        <v/>
      </c>
      <c r="EB28" s="55" t="str">
        <f aca="false">IF(OR(EB$2="",$D28=""),"",IF(IF(ISNUMBER($F28),AND(EB$2&gt;=$F28,EB$2&lt;=IF(ISNUMBER($G28),$G28,$F28+$E28-$D28)),FALSE()),2,IF(AND(EB$2&gt;=$D28,EB$2&lt;=$E28),1,"")))</f>
        <v/>
      </c>
      <c r="EC28" s="55" t="str">
        <f aca="false">IF(OR(EC$2="",$D28=""),"",IF(IF(ISNUMBER($F28),AND(EC$2&gt;=$F28,EC$2&lt;=IF(ISNUMBER($G28),$G28,$F28+$E28-$D28)),FALSE()),2,IF(AND(EC$2&gt;=$D28,EC$2&lt;=$E28),1,"")))</f>
        <v/>
      </c>
      <c r="ED28" s="55" t="str">
        <f aca="false">IF(OR(ED$2="",$D28=""),"",IF(IF(ISNUMBER($F28),AND(ED$2&gt;=$F28,ED$2&lt;=IF(ISNUMBER($G28),$G28,$F28+$E28-$D28)),FALSE()),2,IF(AND(ED$2&gt;=$D28,ED$2&lt;=$E28),1,"")))</f>
        <v/>
      </c>
      <c r="EE28" s="55" t="str">
        <f aca="false">IF(OR(EE$2="",$D28=""),"",IF(IF(ISNUMBER($F28),AND(EE$2&gt;=$F28,EE$2&lt;=IF(ISNUMBER($G28),$G28,$F28+$E28-$D28)),FALSE()),2,IF(AND(EE$2&gt;=$D28,EE$2&lt;=$E28),1,"")))</f>
        <v/>
      </c>
      <c r="EF28" s="55" t="str">
        <f aca="false">IF(OR(EF$2="",$D28=""),"",IF(IF(ISNUMBER($F28),AND(EF$2&gt;=$F28,EF$2&lt;=IF(ISNUMBER($G28),$G28,$F28+$E28-$D28)),FALSE()),2,IF(AND(EF$2&gt;=$D28,EF$2&lt;=$E28),1,"")))</f>
        <v/>
      </c>
      <c r="EG28" s="55" t="str">
        <f aca="false">IF(OR(EG$2="",$D28=""),"",IF(IF(ISNUMBER($F28),AND(EG$2&gt;=$F28,EG$2&lt;=IF(ISNUMBER($G28),$G28,$F28+$E28-$D28)),FALSE()),2,IF(AND(EG$2&gt;=$D28,EG$2&lt;=$E28),1,"")))</f>
        <v/>
      </c>
      <c r="EH28" s="55" t="str">
        <f aca="false">IF(OR(EH$2="",$D28=""),"",IF(IF(ISNUMBER($F28),AND(EH$2&gt;=$F28,EH$2&lt;=IF(ISNUMBER($G28),$G28,$F28+$E28-$D28)),FALSE()),2,IF(AND(EH$2&gt;=$D28,EH$2&lt;=$E28),1,"")))</f>
        <v/>
      </c>
      <c r="EI28" s="55" t="str">
        <f aca="false">IF(OR(EI$2="",$D28=""),"",IF(IF(ISNUMBER($F28),AND(EI$2&gt;=$F28,EI$2&lt;=IF(ISNUMBER($G28),$G28,$F28+$E28-$D28)),FALSE()),2,IF(AND(EI$2&gt;=$D28,EI$2&lt;=$E28),1,"")))</f>
        <v/>
      </c>
      <c r="EJ28" s="55" t="str">
        <f aca="false">IF(OR(EJ$2="",$D28=""),"",IF(IF(ISNUMBER($F28),AND(EJ$2&gt;=$F28,EJ$2&lt;=IF(ISNUMBER($G28),$G28,$F28+$E28-$D28)),FALSE()),2,IF(AND(EJ$2&gt;=$D28,EJ$2&lt;=$E28),1,"")))</f>
        <v/>
      </c>
      <c r="EK28" s="55" t="str">
        <f aca="false">IF(OR(EK$2="",$D28=""),"",IF(IF(ISNUMBER($F28),AND(EK$2&gt;=$F28,EK$2&lt;=IF(ISNUMBER($G28),$G28,$F28+$E28-$D28)),FALSE()),2,IF(AND(EK$2&gt;=$D28,EK$2&lt;=$E28),1,"")))</f>
        <v/>
      </c>
      <c r="EL28" s="55" t="str">
        <f aca="false">IF(OR(EL$2="",$D28=""),"",IF(IF(ISNUMBER($F28),AND(EL$2&gt;=$F28,EL$2&lt;=IF(ISNUMBER($G28),$G28,$F28+$E28-$D28)),FALSE()),2,IF(AND(EL$2&gt;=$D28,EL$2&lt;=$E28),1,"")))</f>
        <v/>
      </c>
      <c r="EM28" s="55" t="str">
        <f aca="false">IF(OR(EM$2="",$D28=""),"",IF(IF(ISNUMBER($F28),AND(EM$2&gt;=$F28,EM$2&lt;=IF(ISNUMBER($G28),$G28,$F28+$E28-$D28)),FALSE()),2,IF(AND(EM$2&gt;=$D28,EM$2&lt;=$E28),1,"")))</f>
        <v/>
      </c>
      <c r="EN28" s="55" t="str">
        <f aca="false">IF(OR(EN$2="",$D28=""),"",IF(IF(ISNUMBER($F28),AND(EN$2&gt;=$F28,EN$2&lt;=IF(ISNUMBER($G28),$G28,$F28+$E28-$D28)),FALSE()),2,IF(AND(EN$2&gt;=$D28,EN$2&lt;=$E28),1,"")))</f>
        <v/>
      </c>
      <c r="EO28" s="55" t="str">
        <f aca="false">IF(OR(EO$2="",$D28=""),"",IF(IF(ISNUMBER($F28),AND(EO$2&gt;=$F28,EO$2&lt;=IF(ISNUMBER($G28),$G28,$F28+$E28-$D28)),FALSE()),2,IF(AND(EO$2&gt;=$D28,EO$2&lt;=$E28),1,"")))</f>
        <v/>
      </c>
      <c r="EP28" s="55" t="str">
        <f aca="false">IF(OR(EP$2="",$D28=""),"",IF(IF(ISNUMBER($F28),AND(EP$2&gt;=$F28,EP$2&lt;=IF(ISNUMBER($G28),$G28,$F28+$E28-$D28)),FALSE()),2,IF(AND(EP$2&gt;=$D28,EP$2&lt;=$E28),1,"")))</f>
        <v/>
      </c>
      <c r="EQ28" s="55" t="str">
        <f aca="false">IF(OR(EQ$2="",$D28=""),"",IF(IF(ISNUMBER($F28),AND(EQ$2&gt;=$F28,EQ$2&lt;=IF(ISNUMBER($G28),$G28,$F28+$E28-$D28)),FALSE()),2,IF(AND(EQ$2&gt;=$D28,EQ$2&lt;=$E28),1,"")))</f>
        <v/>
      </c>
      <c r="ER28" s="55" t="str">
        <f aca="false">IF(OR(ER$2="",$D28=""),"",IF(IF(ISNUMBER($F28),AND(ER$2&gt;=$F28,ER$2&lt;=IF(ISNUMBER($G28),$G28,$F28+$E28-$D28)),FALSE()),2,IF(AND(ER$2&gt;=$D28,ER$2&lt;=$E28),1,"")))</f>
        <v/>
      </c>
      <c r="ES28" s="55" t="str">
        <f aca="false">IF(OR(ES$2="",$D28=""),"",IF(IF(ISNUMBER($F28),AND(ES$2&gt;=$F28,ES$2&lt;=IF(ISNUMBER($G28),$G28,$F28+$E28-$D28)),FALSE()),2,IF(AND(ES$2&gt;=$D28,ES$2&lt;=$E28),1,"")))</f>
        <v/>
      </c>
      <c r="ET28" s="55" t="str">
        <f aca="false">IF(OR(ET$2="",$D28=""),"",IF(IF(ISNUMBER($F28),AND(ET$2&gt;=$F28,ET$2&lt;=IF(ISNUMBER($G28),$G28,$F28+$E28-$D28)),FALSE()),2,IF(AND(ET$2&gt;=$D28,ET$2&lt;=$E28),1,"")))</f>
        <v/>
      </c>
      <c r="EU28" s="55" t="str">
        <f aca="false">IF(OR(EU$2="",$D28=""),"",IF(IF(ISNUMBER($F28),AND(EU$2&gt;=$F28,EU$2&lt;=IF(ISNUMBER($G28),$G28,$F28+$E28-$D28)),FALSE()),2,IF(AND(EU$2&gt;=$D28,EU$2&lt;=$E28),1,"")))</f>
        <v/>
      </c>
      <c r="EV28" s="55" t="str">
        <f aca="false">IF(OR(EV$2="",$D28=""),"",IF(IF(ISNUMBER($F28),AND(EV$2&gt;=$F28,EV$2&lt;=IF(ISNUMBER($G28),$G28,$F28+$E28-$D28)),FALSE()),2,IF(AND(EV$2&gt;=$D28,EV$2&lt;=$E28),1,"")))</f>
        <v/>
      </c>
      <c r="EW28" s="55" t="str">
        <f aca="false">IF(OR(EW$2="",$D28=""),"",IF(IF(ISNUMBER($F28),AND(EW$2&gt;=$F28,EW$2&lt;=IF(ISNUMBER($G28),$G28,$F28+$E28-$D28)),FALSE()),2,IF(AND(EW$2&gt;=$D28,EW$2&lt;=$E28),1,"")))</f>
        <v/>
      </c>
      <c r="EX28" s="55" t="str">
        <f aca="false">IF(OR(EX$2="",$D28=""),"",IF(IF(ISNUMBER($F28),AND(EX$2&gt;=$F28,EX$2&lt;=IF(ISNUMBER($G28),$G28,$F28+$E28-$D28)),FALSE()),2,IF(AND(EX$2&gt;=$D28,EX$2&lt;=$E28),1,"")))</f>
        <v/>
      </c>
      <c r="EY28" s="55" t="str">
        <f aca="false">IF(OR(EY$2="",$D28=""),"",IF(IF(ISNUMBER($F28),AND(EY$2&gt;=$F28,EY$2&lt;=IF(ISNUMBER($G28),$G28,$F28+$E28-$D28)),FALSE()),2,IF(AND(EY$2&gt;=$D28,EY$2&lt;=$E28),1,"")))</f>
        <v/>
      </c>
      <c r="EZ28" s="55" t="str">
        <f aca="false">IF(OR(EZ$2="",$D28=""),"",IF(IF(ISNUMBER($F28),AND(EZ$2&gt;=$F28,EZ$2&lt;=IF(ISNUMBER($G28),$G28,$F28+$E28-$D28)),FALSE()),2,IF(AND(EZ$2&gt;=$D28,EZ$2&lt;=$E28),1,"")))</f>
        <v/>
      </c>
      <c r="FA28" s="55" t="str">
        <f aca="false">IF(OR(FA$2="",$D28=""),"",IF(IF(ISNUMBER($F28),AND(FA$2&gt;=$F28,FA$2&lt;=IF(ISNUMBER($G28),$G28,$F28+$E28-$D28)),FALSE()),2,IF(AND(FA$2&gt;=$D28,FA$2&lt;=$E28),1,"")))</f>
        <v/>
      </c>
      <c r="FB28" s="55" t="str">
        <f aca="false">IF(OR(FB$2="",$D28=""),"",IF(IF(ISNUMBER($F28),AND(FB$2&gt;=$F28,FB$2&lt;=IF(ISNUMBER($G28),$G28,$F28+$E28-$D28)),FALSE()),2,IF(AND(FB$2&gt;=$D28,FB$2&lt;=$E28),1,"")))</f>
        <v/>
      </c>
      <c r="FC28" s="55" t="str">
        <f aca="false">IF(OR(FC$2="",$D28=""),"",IF(IF(ISNUMBER($F28),AND(FC$2&gt;=$F28,FC$2&lt;=IF(ISNUMBER($G28),$G28,$F28+$E28-$D28)),FALSE()),2,IF(AND(FC$2&gt;=$D28,FC$2&lt;=$E28),1,"")))</f>
        <v/>
      </c>
      <c r="FD28" s="55" t="str">
        <f aca="false">IF(OR(FD$2="",$D28=""),"",IF(IF(ISNUMBER($F28),AND(FD$2&gt;=$F28,FD$2&lt;=IF(ISNUMBER($G28),$G28,$F28+$E28-$D28)),FALSE()),2,IF(AND(FD$2&gt;=$D28,FD$2&lt;=$E28),1,"")))</f>
        <v/>
      </c>
      <c r="FE28" s="55" t="str">
        <f aca="false">IF(OR(FE$2="",$D28=""),"",IF(IF(ISNUMBER($F28),AND(FE$2&gt;=$F28,FE$2&lt;=IF(ISNUMBER($G28),$G28,$F28+$E28-$D28)),FALSE()),2,IF(AND(FE$2&gt;=$D28,FE$2&lt;=$E28),1,"")))</f>
        <v/>
      </c>
      <c r="FF28" s="55" t="str">
        <f aca="false">IF(OR(FF$2="",$D28=""),"",IF(IF(ISNUMBER($F28),AND(FF$2&gt;=$F28,FF$2&lt;=IF(ISNUMBER($G28),$G28,$F28+$E28-$D28)),FALSE()),2,IF(AND(FF$2&gt;=$D28,FF$2&lt;=$E28),1,"")))</f>
        <v/>
      </c>
      <c r="FG28" s="55" t="str">
        <f aca="false">IF(OR(FG$2="",$D28=""),"",IF(IF(ISNUMBER($F28),AND(FG$2&gt;=$F28,FG$2&lt;=IF(ISNUMBER($G28),$G28,$F28+$E28-$D28)),FALSE()),2,IF(AND(FG$2&gt;=$D28,FG$2&lt;=$E28),1,"")))</f>
        <v/>
      </c>
      <c r="FH28" s="55" t="str">
        <f aca="false">IF(OR(FH$2="",$D28=""),"",IF(IF(ISNUMBER($F28),AND(FH$2&gt;=$F28,FH$2&lt;=IF(ISNUMBER($G28),$G28,$F28+$E28-$D28)),FALSE()),2,IF(AND(FH$2&gt;=$D28,FH$2&lt;=$E28),1,"")))</f>
        <v/>
      </c>
      <c r="FI28" s="55" t="str">
        <f aca="false">IF(OR(FI$2="",$D28=""),"",IF(IF(ISNUMBER($F28),AND(FI$2&gt;=$F28,FI$2&lt;=IF(ISNUMBER($G28),$G28,$F28+$E28-$D28)),FALSE()),2,IF(AND(FI$2&gt;=$D28,FI$2&lt;=$E28),1,"")))</f>
        <v/>
      </c>
      <c r="FJ28" s="55" t="str">
        <f aca="false">IF(OR(FJ$2="",$D28=""),"",IF(IF(ISNUMBER($F28),AND(FJ$2&gt;=$F28,FJ$2&lt;=IF(ISNUMBER($G28),$G28,$F28+$E28-$D28)),FALSE()),2,IF(AND(FJ$2&gt;=$D28,FJ$2&lt;=$E28),1,"")))</f>
        <v/>
      </c>
      <c r="FK28" s="55" t="str">
        <f aca="false">IF(OR(FK$2="",$D28=""),"",IF(IF(ISNUMBER($F28),AND(FK$2&gt;=$F28,FK$2&lt;=IF(ISNUMBER($G28),$G28,$F28+$E28-$D28)),FALSE()),2,IF(AND(FK$2&gt;=$D28,FK$2&lt;=$E28),1,"")))</f>
        <v/>
      </c>
      <c r="FL28" s="55" t="str">
        <f aca="false">IF(OR(FL$2="",$D28=""),"",IF(IF(ISNUMBER($F28),AND(FL$2&gt;=$F28,FL$2&lt;=IF(ISNUMBER($G28),$G28,$F28+$E28-$D28)),FALSE()),2,IF(AND(FL$2&gt;=$D28,FL$2&lt;=$E28),1,"")))</f>
        <v/>
      </c>
      <c r="FM28" s="55" t="str">
        <f aca="false">IF(OR(FM$2="",$D28=""),"",IF(IF(ISNUMBER($F28),AND(FM$2&gt;=$F28,FM$2&lt;=IF(ISNUMBER($G28),$G28,$F28+$E28-$D28)),FALSE()),2,IF(AND(FM$2&gt;=$D28,FM$2&lt;=$E28),1,"")))</f>
        <v/>
      </c>
      <c r="FN28" s="55" t="str">
        <f aca="false">IF(OR(FN$2="",$D28=""),"",IF(IF(ISNUMBER($F28),AND(FN$2&gt;=$F28,FN$2&lt;=IF(ISNUMBER($G28),$G28,$F28+$E28-$D28)),FALSE()),2,IF(AND(FN$2&gt;=$D28,FN$2&lt;=$E28),1,"")))</f>
        <v/>
      </c>
      <c r="FO28" s="55" t="str">
        <f aca="false">IF(OR(FO$2="",$D28=""),"",IF(IF(ISNUMBER($F28),AND(FO$2&gt;=$F28,FO$2&lt;=IF(ISNUMBER($G28),$G28,$F28+$E28-$D28)),FALSE()),2,IF(AND(FO$2&gt;=$D28,FO$2&lt;=$E28),1,"")))</f>
        <v/>
      </c>
      <c r="FP28" s="55" t="str">
        <f aca="false">IF(OR(FP$2="",$D28=""),"",IF(IF(ISNUMBER($F28),AND(FP$2&gt;=$F28,FP$2&lt;=IF(ISNUMBER($G28),$G28,$F28+$E28-$D28)),FALSE()),2,IF(AND(FP$2&gt;=$D28,FP$2&lt;=$E28),1,"")))</f>
        <v/>
      </c>
      <c r="FQ28" s="55" t="str">
        <f aca="false">IF(OR(FQ$2="",$D28=""),"",IF(IF(ISNUMBER($F28),AND(FQ$2&gt;=$F28,FQ$2&lt;=IF(ISNUMBER($G28),$G28,$F28+$E28-$D28)),FALSE()),2,IF(AND(FQ$2&gt;=$D28,FQ$2&lt;=$E28),1,"")))</f>
        <v/>
      </c>
      <c r="FR28" s="55" t="str">
        <f aca="false">IF(OR(FR$2="",$D28=""),"",IF(IF(ISNUMBER($F28),AND(FR$2&gt;=$F28,FR$2&lt;=IF(ISNUMBER($G28),$G28,$F28+$E28-$D28)),FALSE()),2,IF(AND(FR$2&gt;=$D28,FR$2&lt;=$E28),1,"")))</f>
        <v/>
      </c>
      <c r="FS28" s="55" t="str">
        <f aca="false">IF(OR(FS$2="",$D28=""),"",IF(IF(ISNUMBER($F28),AND(FS$2&gt;=$F28,FS$2&lt;=IF(ISNUMBER($G28),$G28,$F28+$E28-$D28)),FALSE()),2,IF(AND(FS$2&gt;=$D28,FS$2&lt;=$E28),1,"")))</f>
        <v/>
      </c>
      <c r="FT28" s="55" t="str">
        <f aca="false">IF(OR(FT$2="",$D28=""),"",IF(IF(ISNUMBER($F28),AND(FT$2&gt;=$F28,FT$2&lt;=IF(ISNUMBER($G28),$G28,$F28+$E28-$D28)),FALSE()),2,IF(AND(FT$2&gt;=$D28,FT$2&lt;=$E28),1,"")))</f>
        <v/>
      </c>
      <c r="FU28" s="55" t="str">
        <f aca="false">IF(OR(FU$2="",$D28=""),"",IF(IF(ISNUMBER($F28),AND(FU$2&gt;=$F28,FU$2&lt;=IF(ISNUMBER($G28),$G28,$F28+$E28-$D28)),FALSE()),2,IF(AND(FU$2&gt;=$D28,FU$2&lt;=$E28),1,"")))</f>
        <v/>
      </c>
      <c r="FV28" s="55" t="str">
        <f aca="false">IF(OR(FV$2="",$D28=""),"",IF(IF(ISNUMBER($F28),AND(FV$2&gt;=$F28,FV$2&lt;=IF(ISNUMBER($G28),$G28,$F28+$E28-$D28)),FALSE()),2,IF(AND(FV$2&gt;=$D28,FV$2&lt;=$E28),1,"")))</f>
        <v/>
      </c>
      <c r="FW28" s="55" t="str">
        <f aca="false">IF(OR(FW$2="",$D28=""),"",IF(IF(ISNUMBER($F28),AND(FW$2&gt;=$F28,FW$2&lt;=IF(ISNUMBER($G28),$G28,$F28+$E28-$D28)),FALSE()),2,IF(AND(FW$2&gt;=$D28,FW$2&lt;=$E28),1,"")))</f>
        <v/>
      </c>
      <c r="FX28" s="55" t="str">
        <f aca="false">IF(OR(FX$2="",$D28=""),"",IF(IF(ISNUMBER($F28),AND(FX$2&gt;=$F28,FX$2&lt;=IF(ISNUMBER($G28),$G28,$F28+$E28-$D28)),FALSE()),2,IF(AND(FX$2&gt;=$D28,FX$2&lt;=$E28),1,"")))</f>
        <v/>
      </c>
      <c r="FY28" s="55" t="str">
        <f aca="false">IF(OR(FY$2="",$D28=""),"",IF(IF(ISNUMBER($F28),AND(FY$2&gt;=$F28,FY$2&lt;=IF(ISNUMBER($G28),$G28,$F28+$E28-$D28)),FALSE()),2,IF(AND(FY$2&gt;=$D28,FY$2&lt;=$E28),1,"")))</f>
        <v/>
      </c>
      <c r="FZ28" s="55" t="str">
        <f aca="false">IF(OR(FZ$2="",$D28=""),"",IF(IF(ISNUMBER($F28),AND(FZ$2&gt;=$F28,FZ$2&lt;=IF(ISNUMBER($G28),$G28,$F28+$E28-$D28)),FALSE()),2,IF(AND(FZ$2&gt;=$D28,FZ$2&lt;=$E28),1,"")))</f>
        <v/>
      </c>
      <c r="GA28" s="55" t="str">
        <f aca="false">IF(OR(GA$2="",$D28=""),"",IF(IF(ISNUMBER($F28),AND(GA$2&gt;=$F28,GA$2&lt;=IF(ISNUMBER($G28),$G28,$F28+$E28-$D28)),FALSE()),2,IF(AND(GA$2&gt;=$D28,GA$2&lt;=$E28),1,"")))</f>
        <v/>
      </c>
      <c r="GB28" s="55" t="str">
        <f aca="false">IF(OR(GB$2="",$D28=""),"",IF(IF(ISNUMBER($F28),AND(GB$2&gt;=$F28,GB$2&lt;=IF(ISNUMBER($G28),$G28,$F28+$E28-$D28)),FALSE()),2,IF(AND(GB$2&gt;=$D28,GB$2&lt;=$E28),1,"")))</f>
        <v/>
      </c>
      <c r="GC28" s="55" t="str">
        <f aca="false">IF(OR(GC$2="",$D28=""),"",IF(IF(ISNUMBER($F28),AND(GC$2&gt;=$F28,GC$2&lt;=IF(ISNUMBER($G28),$G28,$F28+$E28-$D28)),FALSE()),2,IF(AND(GC$2&gt;=$D28,GC$2&lt;=$E28),1,"")))</f>
        <v/>
      </c>
      <c r="GD28" s="55" t="str">
        <f aca="false">IF(OR(GD$2="",$D28=""),"",IF(IF(ISNUMBER($F28),AND(GD$2&gt;=$F28,GD$2&lt;=IF(ISNUMBER($G28),$G28,$F28+$E28-$D28)),FALSE()),2,IF(AND(GD$2&gt;=$D28,GD$2&lt;=$E28),1,"")))</f>
        <v/>
      </c>
      <c r="GE28" s="55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false" outlineLevel="0" collapsed="false">
      <c r="A29" s="54" t="s">
        <v>213</v>
      </c>
      <c r="B29" s="21" t="s">
        <v>361</v>
      </c>
      <c r="C29" s="21" t="s">
        <v>328</v>
      </c>
      <c r="D29" s="51" t="n">
        <f aca="false">IF(D6="","",D6)</f>
        <v>45989</v>
      </c>
      <c r="E29" s="51" t="n">
        <f aca="false">IF(D29="","",D29)</f>
        <v>45989</v>
      </c>
      <c r="F29" s="51" t="n">
        <f aca="false">IF(_xlfn.MINIFS(2_Daily_input!$D$1:$FQ$1,2_Daily_input!$D$73:$FQ$73,"Sowing")+_xlfn.MINIFS(2_Daily_input!$D$1:$FQ$1,2_Daily_input!$D$74:$FQ$74,"Sowing")=0,"",IF(_xlfn.MINIFS(2_Daily_input!$D$1:$FQ$1,2_Daily_input!$D$73:$FQ$73,"Sowing")=0,_xlfn.MINIFS(2_Daily_input!$D$1:$FQ$1,2_Daily_input!$D$74:$FQ$74,"Sowing"),IF(_xlfn.MINIFS(2_Daily_input!$D$1:$FQ$1,2_Daily_input!$D$74:$FQ$74,"Sowing")=0,_xlfn.MINIFS(2_Daily_input!$D$1:$FQ$1,2_Daily_input!$D$73:$FQ$73,"Sowing"),MIN(_xlfn.MINIFS(2_Daily_input!$D$1:$FQ$1,2_Daily_input!$D$73:$FQ$73,"Sowing"),_xlfn.MINIFS(2_Daily_input!$D$1:$FQ$1,2_Daily_input!$D$74:$FQ$74,"Sowing")))))</f>
        <v>45989</v>
      </c>
      <c r="G29" s="51" t="str">
        <f aca="false">""</f>
        <v/>
      </c>
      <c r="H29" s="50" t="str">
        <f aca="true">IF(D29="","no plan",IF(F29&lt;&gt;"",IF(F29-D29&gt;=2,"LATE","OK"),IF(TODAY()&gt;D29+2,"OVERDUE","upcoming")))</f>
        <v>OK</v>
      </c>
      <c r="I29" s="50" t="n">
        <f aca="false">IF(AND(D29&lt;&gt;"",F29&lt;&gt;""),F29-D29,"")</f>
        <v>0</v>
      </c>
      <c r="J29" s="51" t="n">
        <f aca="false">IF(F29&lt;&gt;"",F29,D29)</f>
        <v>45989</v>
      </c>
      <c r="K29" s="51" t="n">
        <f aca="false">IF(G29&lt;&gt;"",G29,IF(AND(F29&lt;&gt;"",E29=D29),F29,E29))</f>
        <v>45989</v>
      </c>
      <c r="L29" s="50" t="str">
        <f aca="true">IF(AND(D29&lt;&gt;"",F29="",D29&gt;=TODAY()),D29+ROW()/1000,"")</f>
        <v/>
      </c>
      <c r="M29" s="55" t="str">
        <f aca="false">IF(OR(M$2="",$D29=""),"",IF(IF(ISNUMBER($F29),AND(M$2&gt;=$F29,M$2&lt;=IF(ISNUMBER($G29),$G29,$F29+$E29-$D29)),FALSE()),2,IF(AND(M$2&gt;=$D29,M$2&lt;=$E29),1,"")))</f>
        <v/>
      </c>
      <c r="N29" s="55" t="str">
        <f aca="false">IF(OR(N$2="",$D29=""),"",IF(IF(ISNUMBER($F29),AND(N$2&gt;=$F29,N$2&lt;=IF(ISNUMBER($G29),$G29,$F29+$E29-$D29)),FALSE()),2,IF(AND(N$2&gt;=$D29,N$2&lt;=$E29),1,"")))</f>
        <v/>
      </c>
      <c r="O29" s="55" t="str">
        <f aca="false">IF(OR(O$2="",$D29=""),"",IF(IF(ISNUMBER($F29),AND(O$2&gt;=$F29,O$2&lt;=IF(ISNUMBER($G29),$G29,$F29+$E29-$D29)),FALSE()),2,IF(AND(O$2&gt;=$D29,O$2&lt;=$E29),1,"")))</f>
        <v/>
      </c>
      <c r="P29" s="55" t="n">
        <f aca="false">IF(OR(P$2="",$D29=""),"",IF(IF(ISNUMBER($F29),AND(P$2&gt;=$F29,P$2&lt;=IF(ISNUMBER($G29),$G29,$F29+$E29-$D29)),FALSE()),2,IF(AND(P$2&gt;=$D29,P$2&lt;=$E29),1,"")))</f>
        <v>2</v>
      </c>
      <c r="Q29" s="55" t="str">
        <f aca="false">IF(OR(Q$2="",$D29=""),"",IF(IF(ISNUMBER($F29),AND(Q$2&gt;=$F29,Q$2&lt;=IF(ISNUMBER($G29),$G29,$F29+$E29-$D29)),FALSE()),2,IF(AND(Q$2&gt;=$D29,Q$2&lt;=$E29),1,"")))</f>
        <v/>
      </c>
      <c r="R29" s="55" t="str">
        <f aca="false">IF(OR(R$2="",$D29=""),"",IF(IF(ISNUMBER($F29),AND(R$2&gt;=$F29,R$2&lt;=IF(ISNUMBER($G29),$G29,$F29+$E29-$D29)),FALSE()),2,IF(AND(R$2&gt;=$D29,R$2&lt;=$E29),1,"")))</f>
        <v/>
      </c>
      <c r="S29" s="55" t="str">
        <f aca="false">IF(OR(S$2="",$D29=""),"",IF(IF(ISNUMBER($F29),AND(S$2&gt;=$F29,S$2&lt;=IF(ISNUMBER($G29),$G29,$F29+$E29-$D29)),FALSE()),2,IF(AND(S$2&gt;=$D29,S$2&lt;=$E29),1,"")))</f>
        <v/>
      </c>
      <c r="T29" s="55" t="str">
        <f aca="false">IF(OR(T$2="",$D29=""),"",IF(IF(ISNUMBER($F29),AND(T$2&gt;=$F29,T$2&lt;=IF(ISNUMBER($G29),$G29,$F29+$E29-$D29)),FALSE()),2,IF(AND(T$2&gt;=$D29,T$2&lt;=$E29),1,"")))</f>
        <v/>
      </c>
      <c r="U29" s="55" t="str">
        <f aca="false">IF(OR(U$2="",$D29=""),"",IF(IF(ISNUMBER($F29),AND(U$2&gt;=$F29,U$2&lt;=IF(ISNUMBER($G29),$G29,$F29+$E29-$D29)),FALSE()),2,IF(AND(U$2&gt;=$D29,U$2&lt;=$E29),1,"")))</f>
        <v/>
      </c>
      <c r="V29" s="55" t="str">
        <f aca="false">IF(OR(V$2="",$D29=""),"",IF(IF(ISNUMBER($F29),AND(V$2&gt;=$F29,V$2&lt;=IF(ISNUMBER($G29),$G29,$F29+$E29-$D29)),FALSE()),2,IF(AND(V$2&gt;=$D29,V$2&lt;=$E29),1,"")))</f>
        <v/>
      </c>
      <c r="W29" s="55" t="str">
        <f aca="false">IF(OR(W$2="",$D29=""),"",IF(IF(ISNUMBER($F29),AND(W$2&gt;=$F29,W$2&lt;=IF(ISNUMBER($G29),$G29,$F29+$E29-$D29)),FALSE()),2,IF(AND(W$2&gt;=$D29,W$2&lt;=$E29),1,"")))</f>
        <v/>
      </c>
      <c r="X29" s="55" t="str">
        <f aca="false">IF(OR(X$2="",$D29=""),"",IF(IF(ISNUMBER($F29),AND(X$2&gt;=$F29,X$2&lt;=IF(ISNUMBER($G29),$G29,$F29+$E29-$D29)),FALSE()),2,IF(AND(X$2&gt;=$D29,X$2&lt;=$E29),1,"")))</f>
        <v/>
      </c>
      <c r="Y29" s="55" t="str">
        <f aca="false">IF(OR(Y$2="",$D29=""),"",IF(IF(ISNUMBER($F29),AND(Y$2&gt;=$F29,Y$2&lt;=IF(ISNUMBER($G29),$G29,$F29+$E29-$D29)),FALSE()),2,IF(AND(Y$2&gt;=$D29,Y$2&lt;=$E29),1,"")))</f>
        <v/>
      </c>
      <c r="Z29" s="55" t="str">
        <f aca="false">IF(OR(Z$2="",$D29=""),"",IF(IF(ISNUMBER($F29),AND(Z$2&gt;=$F29,Z$2&lt;=IF(ISNUMBER($G29),$G29,$F29+$E29-$D29)),FALSE()),2,IF(AND(Z$2&gt;=$D29,Z$2&lt;=$E29),1,"")))</f>
        <v/>
      </c>
      <c r="AA29" s="55" t="str">
        <f aca="false">IF(OR(AA$2="",$D29=""),"",IF(IF(ISNUMBER($F29),AND(AA$2&gt;=$F29,AA$2&lt;=IF(ISNUMBER($G29),$G29,$F29+$E29-$D29)),FALSE()),2,IF(AND(AA$2&gt;=$D29,AA$2&lt;=$E29),1,"")))</f>
        <v/>
      </c>
      <c r="AB29" s="55" t="str">
        <f aca="false">IF(OR(AB$2="",$D29=""),"",IF(IF(ISNUMBER($F29),AND(AB$2&gt;=$F29,AB$2&lt;=IF(ISNUMBER($G29),$G29,$F29+$E29-$D29)),FALSE()),2,IF(AND(AB$2&gt;=$D29,AB$2&lt;=$E29),1,"")))</f>
        <v/>
      </c>
      <c r="AC29" s="55" t="str">
        <f aca="false">IF(OR(AC$2="",$D29=""),"",IF(IF(ISNUMBER($F29),AND(AC$2&gt;=$F29,AC$2&lt;=IF(ISNUMBER($G29),$G29,$F29+$E29-$D29)),FALSE()),2,IF(AND(AC$2&gt;=$D29,AC$2&lt;=$E29),1,"")))</f>
        <v/>
      </c>
      <c r="AD29" s="55" t="str">
        <f aca="false">IF(OR(AD$2="",$D29=""),"",IF(IF(ISNUMBER($F29),AND(AD$2&gt;=$F29,AD$2&lt;=IF(ISNUMBER($G29),$G29,$F29+$E29-$D29)),FALSE()),2,IF(AND(AD$2&gt;=$D29,AD$2&lt;=$E29),1,"")))</f>
        <v/>
      </c>
      <c r="AE29" s="55" t="str">
        <f aca="false">IF(OR(AE$2="",$D29=""),"",IF(IF(ISNUMBER($F29),AND(AE$2&gt;=$F29,AE$2&lt;=IF(ISNUMBER($G29),$G29,$F29+$E29-$D29)),FALSE()),2,IF(AND(AE$2&gt;=$D29,AE$2&lt;=$E29),1,"")))</f>
        <v/>
      </c>
      <c r="AF29" s="55" t="str">
        <f aca="false">IF(OR(AF$2="",$D29=""),"",IF(IF(ISNUMBER($F29),AND(AF$2&gt;=$F29,AF$2&lt;=IF(ISNUMBER($G29),$G29,$F29+$E29-$D29)),FALSE()),2,IF(AND(AF$2&gt;=$D29,AF$2&lt;=$E29),1,"")))</f>
        <v/>
      </c>
      <c r="AG29" s="55" t="str">
        <f aca="false">IF(OR(AG$2="",$D29=""),"",IF(IF(ISNUMBER($F29),AND(AG$2&gt;=$F29,AG$2&lt;=IF(ISNUMBER($G29),$G29,$F29+$E29-$D29)),FALSE()),2,IF(AND(AG$2&gt;=$D29,AG$2&lt;=$E29),1,"")))</f>
        <v/>
      </c>
      <c r="AH29" s="55" t="str">
        <f aca="false">IF(OR(AH$2="",$D29=""),"",IF(IF(ISNUMBER($F29),AND(AH$2&gt;=$F29,AH$2&lt;=IF(ISNUMBER($G29),$G29,$F29+$E29-$D29)),FALSE()),2,IF(AND(AH$2&gt;=$D29,AH$2&lt;=$E29),1,"")))</f>
        <v/>
      </c>
      <c r="AI29" s="55" t="str">
        <f aca="false">IF(OR(AI$2="",$D29=""),"",IF(IF(ISNUMBER($F29),AND(AI$2&gt;=$F29,AI$2&lt;=IF(ISNUMBER($G29),$G29,$F29+$E29-$D29)),FALSE()),2,IF(AND(AI$2&gt;=$D29,AI$2&lt;=$E29),1,"")))</f>
        <v/>
      </c>
      <c r="AJ29" s="55" t="str">
        <f aca="false">IF(OR(AJ$2="",$D29=""),"",IF(IF(ISNUMBER($F29),AND(AJ$2&gt;=$F29,AJ$2&lt;=IF(ISNUMBER($G29),$G29,$F29+$E29-$D29)),FALSE()),2,IF(AND(AJ$2&gt;=$D29,AJ$2&lt;=$E29),1,"")))</f>
        <v/>
      </c>
      <c r="AK29" s="55" t="str">
        <f aca="false">IF(OR(AK$2="",$D29=""),"",IF(IF(ISNUMBER($F29),AND(AK$2&gt;=$F29,AK$2&lt;=IF(ISNUMBER($G29),$G29,$F29+$E29-$D29)),FALSE()),2,IF(AND(AK$2&gt;=$D29,AK$2&lt;=$E29),1,"")))</f>
        <v/>
      </c>
      <c r="AL29" s="55" t="str">
        <f aca="false">IF(OR(AL$2="",$D29=""),"",IF(IF(ISNUMBER($F29),AND(AL$2&gt;=$F29,AL$2&lt;=IF(ISNUMBER($G29),$G29,$F29+$E29-$D29)),FALSE()),2,IF(AND(AL$2&gt;=$D29,AL$2&lt;=$E29),1,"")))</f>
        <v/>
      </c>
      <c r="AM29" s="55" t="str">
        <f aca="false">IF(OR(AM$2="",$D29=""),"",IF(IF(ISNUMBER($F29),AND(AM$2&gt;=$F29,AM$2&lt;=IF(ISNUMBER($G29),$G29,$F29+$E29-$D29)),FALSE()),2,IF(AND(AM$2&gt;=$D29,AM$2&lt;=$E29),1,"")))</f>
        <v/>
      </c>
      <c r="AN29" s="55" t="str">
        <f aca="false">IF(OR(AN$2="",$D29=""),"",IF(IF(ISNUMBER($F29),AND(AN$2&gt;=$F29,AN$2&lt;=IF(ISNUMBER($G29),$G29,$F29+$E29-$D29)),FALSE()),2,IF(AND(AN$2&gt;=$D29,AN$2&lt;=$E29),1,"")))</f>
        <v/>
      </c>
      <c r="AO29" s="55" t="str">
        <f aca="false">IF(OR(AO$2="",$D29=""),"",IF(IF(ISNUMBER($F29),AND(AO$2&gt;=$F29,AO$2&lt;=IF(ISNUMBER($G29),$G29,$F29+$E29-$D29)),FALSE()),2,IF(AND(AO$2&gt;=$D29,AO$2&lt;=$E29),1,"")))</f>
        <v/>
      </c>
      <c r="AP29" s="55" t="str">
        <f aca="false">IF(OR(AP$2="",$D29=""),"",IF(IF(ISNUMBER($F29),AND(AP$2&gt;=$F29,AP$2&lt;=IF(ISNUMBER($G29),$G29,$F29+$E29-$D29)),FALSE()),2,IF(AND(AP$2&gt;=$D29,AP$2&lt;=$E29),1,"")))</f>
        <v/>
      </c>
      <c r="AQ29" s="55" t="str">
        <f aca="false">IF(OR(AQ$2="",$D29=""),"",IF(IF(ISNUMBER($F29),AND(AQ$2&gt;=$F29,AQ$2&lt;=IF(ISNUMBER($G29),$G29,$F29+$E29-$D29)),FALSE()),2,IF(AND(AQ$2&gt;=$D29,AQ$2&lt;=$E29),1,"")))</f>
        <v/>
      </c>
      <c r="AR29" s="55" t="str">
        <f aca="false">IF(OR(AR$2="",$D29=""),"",IF(IF(ISNUMBER($F29),AND(AR$2&gt;=$F29,AR$2&lt;=IF(ISNUMBER($G29),$G29,$F29+$E29-$D29)),FALSE()),2,IF(AND(AR$2&gt;=$D29,AR$2&lt;=$E29),1,"")))</f>
        <v/>
      </c>
      <c r="AS29" s="55" t="str">
        <f aca="false">IF(OR(AS$2="",$D29=""),"",IF(IF(ISNUMBER($F29),AND(AS$2&gt;=$F29,AS$2&lt;=IF(ISNUMBER($G29),$G29,$F29+$E29-$D29)),FALSE()),2,IF(AND(AS$2&gt;=$D29,AS$2&lt;=$E29),1,"")))</f>
        <v/>
      </c>
      <c r="AT29" s="55" t="str">
        <f aca="false">IF(OR(AT$2="",$D29=""),"",IF(IF(ISNUMBER($F29),AND(AT$2&gt;=$F29,AT$2&lt;=IF(ISNUMBER($G29),$G29,$F29+$E29-$D29)),FALSE()),2,IF(AND(AT$2&gt;=$D29,AT$2&lt;=$E29),1,"")))</f>
        <v/>
      </c>
      <c r="AU29" s="55" t="str">
        <f aca="false">IF(OR(AU$2="",$D29=""),"",IF(IF(ISNUMBER($F29),AND(AU$2&gt;=$F29,AU$2&lt;=IF(ISNUMBER($G29),$G29,$F29+$E29-$D29)),FALSE()),2,IF(AND(AU$2&gt;=$D29,AU$2&lt;=$E29),1,"")))</f>
        <v/>
      </c>
      <c r="AV29" s="55" t="str">
        <f aca="false">IF(OR(AV$2="",$D29=""),"",IF(IF(ISNUMBER($F29),AND(AV$2&gt;=$F29,AV$2&lt;=IF(ISNUMBER($G29),$G29,$F29+$E29-$D29)),FALSE()),2,IF(AND(AV$2&gt;=$D29,AV$2&lt;=$E29),1,"")))</f>
        <v/>
      </c>
      <c r="AW29" s="55" t="str">
        <f aca="false">IF(OR(AW$2="",$D29=""),"",IF(IF(ISNUMBER($F29),AND(AW$2&gt;=$F29,AW$2&lt;=IF(ISNUMBER($G29),$G29,$F29+$E29-$D29)),FALSE()),2,IF(AND(AW$2&gt;=$D29,AW$2&lt;=$E29),1,"")))</f>
        <v/>
      </c>
      <c r="AX29" s="55" t="str">
        <f aca="false">IF(OR(AX$2="",$D29=""),"",IF(IF(ISNUMBER($F29),AND(AX$2&gt;=$F29,AX$2&lt;=IF(ISNUMBER($G29),$G29,$F29+$E29-$D29)),FALSE()),2,IF(AND(AX$2&gt;=$D29,AX$2&lt;=$E29),1,"")))</f>
        <v/>
      </c>
      <c r="AY29" s="55" t="str">
        <f aca="false">IF(OR(AY$2="",$D29=""),"",IF(IF(ISNUMBER($F29),AND(AY$2&gt;=$F29,AY$2&lt;=IF(ISNUMBER($G29),$G29,$F29+$E29-$D29)),FALSE()),2,IF(AND(AY$2&gt;=$D29,AY$2&lt;=$E29),1,"")))</f>
        <v/>
      </c>
      <c r="AZ29" s="55" t="str">
        <f aca="false">IF(OR(AZ$2="",$D29=""),"",IF(IF(ISNUMBER($F29),AND(AZ$2&gt;=$F29,AZ$2&lt;=IF(ISNUMBER($G29),$G29,$F29+$E29-$D29)),FALSE()),2,IF(AND(AZ$2&gt;=$D29,AZ$2&lt;=$E29),1,"")))</f>
        <v/>
      </c>
      <c r="BA29" s="55" t="str">
        <f aca="false">IF(OR(BA$2="",$D29=""),"",IF(IF(ISNUMBER($F29),AND(BA$2&gt;=$F29,BA$2&lt;=IF(ISNUMBER($G29),$G29,$F29+$E29-$D29)),FALSE()),2,IF(AND(BA$2&gt;=$D29,BA$2&lt;=$E29),1,"")))</f>
        <v/>
      </c>
      <c r="BB29" s="55" t="str">
        <f aca="false">IF(OR(BB$2="",$D29=""),"",IF(IF(ISNUMBER($F29),AND(BB$2&gt;=$F29,BB$2&lt;=IF(ISNUMBER($G29),$G29,$F29+$E29-$D29)),FALSE()),2,IF(AND(BB$2&gt;=$D29,BB$2&lt;=$E29),1,"")))</f>
        <v/>
      </c>
      <c r="BC29" s="55" t="str">
        <f aca="false">IF(OR(BC$2="",$D29=""),"",IF(IF(ISNUMBER($F29),AND(BC$2&gt;=$F29,BC$2&lt;=IF(ISNUMBER($G29),$G29,$F29+$E29-$D29)),FALSE()),2,IF(AND(BC$2&gt;=$D29,BC$2&lt;=$E29),1,"")))</f>
        <v/>
      </c>
      <c r="BD29" s="55" t="str">
        <f aca="false">IF(OR(BD$2="",$D29=""),"",IF(IF(ISNUMBER($F29),AND(BD$2&gt;=$F29,BD$2&lt;=IF(ISNUMBER($G29),$G29,$F29+$E29-$D29)),FALSE()),2,IF(AND(BD$2&gt;=$D29,BD$2&lt;=$E29),1,"")))</f>
        <v/>
      </c>
      <c r="BE29" s="55" t="str">
        <f aca="false">IF(OR(BE$2="",$D29=""),"",IF(IF(ISNUMBER($F29),AND(BE$2&gt;=$F29,BE$2&lt;=IF(ISNUMBER($G29),$G29,$F29+$E29-$D29)),FALSE()),2,IF(AND(BE$2&gt;=$D29,BE$2&lt;=$E29),1,"")))</f>
        <v/>
      </c>
      <c r="BF29" s="55" t="str">
        <f aca="false">IF(OR(BF$2="",$D29=""),"",IF(IF(ISNUMBER($F29),AND(BF$2&gt;=$F29,BF$2&lt;=IF(ISNUMBER($G29),$G29,$F29+$E29-$D29)),FALSE()),2,IF(AND(BF$2&gt;=$D29,BF$2&lt;=$E29),1,"")))</f>
        <v/>
      </c>
      <c r="BG29" s="55" t="str">
        <f aca="false">IF(OR(BG$2="",$D29=""),"",IF(IF(ISNUMBER($F29),AND(BG$2&gt;=$F29,BG$2&lt;=IF(ISNUMBER($G29),$G29,$F29+$E29-$D29)),FALSE()),2,IF(AND(BG$2&gt;=$D29,BG$2&lt;=$E29),1,"")))</f>
        <v/>
      </c>
      <c r="BH29" s="55" t="str">
        <f aca="false">IF(OR(BH$2="",$D29=""),"",IF(IF(ISNUMBER($F29),AND(BH$2&gt;=$F29,BH$2&lt;=IF(ISNUMBER($G29),$G29,$F29+$E29-$D29)),FALSE()),2,IF(AND(BH$2&gt;=$D29,BH$2&lt;=$E29),1,"")))</f>
        <v/>
      </c>
      <c r="BI29" s="55" t="str">
        <f aca="false">IF(OR(BI$2="",$D29=""),"",IF(IF(ISNUMBER($F29),AND(BI$2&gt;=$F29,BI$2&lt;=IF(ISNUMBER($G29),$G29,$F29+$E29-$D29)),FALSE()),2,IF(AND(BI$2&gt;=$D29,BI$2&lt;=$E29),1,"")))</f>
        <v/>
      </c>
      <c r="BJ29" s="55" t="str">
        <f aca="false">IF(OR(BJ$2="",$D29=""),"",IF(IF(ISNUMBER($F29),AND(BJ$2&gt;=$F29,BJ$2&lt;=IF(ISNUMBER($G29),$G29,$F29+$E29-$D29)),FALSE()),2,IF(AND(BJ$2&gt;=$D29,BJ$2&lt;=$E29),1,"")))</f>
        <v/>
      </c>
      <c r="BK29" s="55" t="str">
        <f aca="false">IF(OR(BK$2="",$D29=""),"",IF(IF(ISNUMBER($F29),AND(BK$2&gt;=$F29,BK$2&lt;=IF(ISNUMBER($G29),$G29,$F29+$E29-$D29)),FALSE()),2,IF(AND(BK$2&gt;=$D29,BK$2&lt;=$E29),1,"")))</f>
        <v/>
      </c>
      <c r="BL29" s="55" t="str">
        <f aca="false">IF(OR(BL$2="",$D29=""),"",IF(IF(ISNUMBER($F29),AND(BL$2&gt;=$F29,BL$2&lt;=IF(ISNUMBER($G29),$G29,$F29+$E29-$D29)),FALSE()),2,IF(AND(BL$2&gt;=$D29,BL$2&lt;=$E29),1,"")))</f>
        <v/>
      </c>
      <c r="BM29" s="55" t="str">
        <f aca="false">IF(OR(BM$2="",$D29=""),"",IF(IF(ISNUMBER($F29),AND(BM$2&gt;=$F29,BM$2&lt;=IF(ISNUMBER($G29),$G29,$F29+$E29-$D29)),FALSE()),2,IF(AND(BM$2&gt;=$D29,BM$2&lt;=$E29),1,"")))</f>
        <v/>
      </c>
      <c r="BN29" s="55" t="str">
        <f aca="false">IF(OR(BN$2="",$D29=""),"",IF(IF(ISNUMBER($F29),AND(BN$2&gt;=$F29,BN$2&lt;=IF(ISNUMBER($G29),$G29,$F29+$E29-$D29)),FALSE()),2,IF(AND(BN$2&gt;=$D29,BN$2&lt;=$E29),1,"")))</f>
        <v/>
      </c>
      <c r="BO29" s="55" t="str">
        <f aca="false">IF(OR(BO$2="",$D29=""),"",IF(IF(ISNUMBER($F29),AND(BO$2&gt;=$F29,BO$2&lt;=IF(ISNUMBER($G29),$G29,$F29+$E29-$D29)),FALSE()),2,IF(AND(BO$2&gt;=$D29,BO$2&lt;=$E29),1,"")))</f>
        <v/>
      </c>
      <c r="BP29" s="55" t="str">
        <f aca="false">IF(OR(BP$2="",$D29=""),"",IF(IF(ISNUMBER($F29),AND(BP$2&gt;=$F29,BP$2&lt;=IF(ISNUMBER($G29),$G29,$F29+$E29-$D29)),FALSE()),2,IF(AND(BP$2&gt;=$D29,BP$2&lt;=$E29),1,"")))</f>
        <v/>
      </c>
      <c r="BQ29" s="55" t="str">
        <f aca="false">IF(OR(BQ$2="",$D29=""),"",IF(IF(ISNUMBER($F29),AND(BQ$2&gt;=$F29,BQ$2&lt;=IF(ISNUMBER($G29),$G29,$F29+$E29-$D29)),FALSE()),2,IF(AND(BQ$2&gt;=$D29,BQ$2&lt;=$E29),1,"")))</f>
        <v/>
      </c>
      <c r="BR29" s="55" t="str">
        <f aca="false">IF(OR(BR$2="",$D29=""),"",IF(IF(ISNUMBER($F29),AND(BR$2&gt;=$F29,BR$2&lt;=IF(ISNUMBER($G29),$G29,$F29+$E29-$D29)),FALSE()),2,IF(AND(BR$2&gt;=$D29,BR$2&lt;=$E29),1,"")))</f>
        <v/>
      </c>
      <c r="BS29" s="55" t="str">
        <f aca="false">IF(OR(BS$2="",$D29=""),"",IF(IF(ISNUMBER($F29),AND(BS$2&gt;=$F29,BS$2&lt;=IF(ISNUMBER($G29),$G29,$F29+$E29-$D29)),FALSE()),2,IF(AND(BS$2&gt;=$D29,BS$2&lt;=$E29),1,"")))</f>
        <v/>
      </c>
      <c r="BT29" s="55" t="str">
        <f aca="false">IF(OR(BT$2="",$D29=""),"",IF(IF(ISNUMBER($F29),AND(BT$2&gt;=$F29,BT$2&lt;=IF(ISNUMBER($G29),$G29,$F29+$E29-$D29)),FALSE()),2,IF(AND(BT$2&gt;=$D29,BT$2&lt;=$E29),1,"")))</f>
        <v/>
      </c>
      <c r="BU29" s="55" t="str">
        <f aca="false">IF(OR(BU$2="",$D29=""),"",IF(IF(ISNUMBER($F29),AND(BU$2&gt;=$F29,BU$2&lt;=IF(ISNUMBER($G29),$G29,$F29+$E29-$D29)),FALSE()),2,IF(AND(BU$2&gt;=$D29,BU$2&lt;=$E29),1,"")))</f>
        <v/>
      </c>
      <c r="BV29" s="55" t="str">
        <f aca="false">IF(OR(BV$2="",$D29=""),"",IF(IF(ISNUMBER($F29),AND(BV$2&gt;=$F29,BV$2&lt;=IF(ISNUMBER($G29),$G29,$F29+$E29-$D29)),FALSE()),2,IF(AND(BV$2&gt;=$D29,BV$2&lt;=$E29),1,"")))</f>
        <v/>
      </c>
      <c r="BW29" s="55" t="str">
        <f aca="false">IF(OR(BW$2="",$D29=""),"",IF(IF(ISNUMBER($F29),AND(BW$2&gt;=$F29,BW$2&lt;=IF(ISNUMBER($G29),$G29,$F29+$E29-$D29)),FALSE()),2,IF(AND(BW$2&gt;=$D29,BW$2&lt;=$E29),1,"")))</f>
        <v/>
      </c>
      <c r="BX29" s="55" t="str">
        <f aca="false">IF(OR(BX$2="",$D29=""),"",IF(IF(ISNUMBER($F29),AND(BX$2&gt;=$F29,BX$2&lt;=IF(ISNUMBER($G29),$G29,$F29+$E29-$D29)),FALSE()),2,IF(AND(BX$2&gt;=$D29,BX$2&lt;=$E29),1,"")))</f>
        <v/>
      </c>
      <c r="BY29" s="55" t="str">
        <f aca="false">IF(OR(BY$2="",$D29=""),"",IF(IF(ISNUMBER($F29),AND(BY$2&gt;=$F29,BY$2&lt;=IF(ISNUMBER($G29),$G29,$F29+$E29-$D29)),FALSE()),2,IF(AND(BY$2&gt;=$D29,BY$2&lt;=$E29),1,"")))</f>
        <v/>
      </c>
      <c r="BZ29" s="55" t="str">
        <f aca="false">IF(OR(BZ$2="",$D29=""),"",IF(IF(ISNUMBER($F29),AND(BZ$2&gt;=$F29,BZ$2&lt;=IF(ISNUMBER($G29),$G29,$F29+$E29-$D29)),FALSE()),2,IF(AND(BZ$2&gt;=$D29,BZ$2&lt;=$E29),1,"")))</f>
        <v/>
      </c>
      <c r="CA29" s="55" t="str">
        <f aca="false">IF(OR(CA$2="",$D29=""),"",IF(IF(ISNUMBER($F29),AND(CA$2&gt;=$F29,CA$2&lt;=IF(ISNUMBER($G29),$G29,$F29+$E29-$D29)),FALSE()),2,IF(AND(CA$2&gt;=$D29,CA$2&lt;=$E29),1,"")))</f>
        <v/>
      </c>
      <c r="CB29" s="55" t="str">
        <f aca="false">IF(OR(CB$2="",$D29=""),"",IF(IF(ISNUMBER($F29),AND(CB$2&gt;=$F29,CB$2&lt;=IF(ISNUMBER($G29),$G29,$F29+$E29-$D29)),FALSE()),2,IF(AND(CB$2&gt;=$D29,CB$2&lt;=$E29),1,"")))</f>
        <v/>
      </c>
      <c r="CC29" s="55" t="str">
        <f aca="false">IF(OR(CC$2="",$D29=""),"",IF(IF(ISNUMBER($F29),AND(CC$2&gt;=$F29,CC$2&lt;=IF(ISNUMBER($G29),$G29,$F29+$E29-$D29)),FALSE()),2,IF(AND(CC$2&gt;=$D29,CC$2&lt;=$E29),1,"")))</f>
        <v/>
      </c>
      <c r="CD29" s="55" t="str">
        <f aca="false">IF(OR(CD$2="",$D29=""),"",IF(IF(ISNUMBER($F29),AND(CD$2&gt;=$F29,CD$2&lt;=IF(ISNUMBER($G29),$G29,$F29+$E29-$D29)),FALSE()),2,IF(AND(CD$2&gt;=$D29,CD$2&lt;=$E29),1,"")))</f>
        <v/>
      </c>
      <c r="CE29" s="55" t="str">
        <f aca="false">IF(OR(CE$2="",$D29=""),"",IF(IF(ISNUMBER($F29),AND(CE$2&gt;=$F29,CE$2&lt;=IF(ISNUMBER($G29),$G29,$F29+$E29-$D29)),FALSE()),2,IF(AND(CE$2&gt;=$D29,CE$2&lt;=$E29),1,"")))</f>
        <v/>
      </c>
      <c r="CF29" s="55" t="str">
        <f aca="false">IF(OR(CF$2="",$D29=""),"",IF(IF(ISNUMBER($F29),AND(CF$2&gt;=$F29,CF$2&lt;=IF(ISNUMBER($G29),$G29,$F29+$E29-$D29)),FALSE()),2,IF(AND(CF$2&gt;=$D29,CF$2&lt;=$E29),1,"")))</f>
        <v/>
      </c>
      <c r="CG29" s="55" t="str">
        <f aca="false">IF(OR(CG$2="",$D29=""),"",IF(IF(ISNUMBER($F29),AND(CG$2&gt;=$F29,CG$2&lt;=IF(ISNUMBER($G29),$G29,$F29+$E29-$D29)),FALSE()),2,IF(AND(CG$2&gt;=$D29,CG$2&lt;=$E29),1,"")))</f>
        <v/>
      </c>
      <c r="CH29" s="55" t="str">
        <f aca="false">IF(OR(CH$2="",$D29=""),"",IF(IF(ISNUMBER($F29),AND(CH$2&gt;=$F29,CH$2&lt;=IF(ISNUMBER($G29),$G29,$F29+$E29-$D29)),FALSE()),2,IF(AND(CH$2&gt;=$D29,CH$2&lt;=$E29),1,"")))</f>
        <v/>
      </c>
      <c r="CI29" s="55" t="str">
        <f aca="false">IF(OR(CI$2="",$D29=""),"",IF(IF(ISNUMBER($F29),AND(CI$2&gt;=$F29,CI$2&lt;=IF(ISNUMBER($G29),$G29,$F29+$E29-$D29)),FALSE()),2,IF(AND(CI$2&gt;=$D29,CI$2&lt;=$E29),1,"")))</f>
        <v/>
      </c>
      <c r="CJ29" s="55" t="str">
        <f aca="false">IF(OR(CJ$2="",$D29=""),"",IF(IF(ISNUMBER($F29),AND(CJ$2&gt;=$F29,CJ$2&lt;=IF(ISNUMBER($G29),$G29,$F29+$E29-$D29)),FALSE()),2,IF(AND(CJ$2&gt;=$D29,CJ$2&lt;=$E29),1,"")))</f>
        <v/>
      </c>
      <c r="CK29" s="55" t="str">
        <f aca="false">IF(OR(CK$2="",$D29=""),"",IF(IF(ISNUMBER($F29),AND(CK$2&gt;=$F29,CK$2&lt;=IF(ISNUMBER($G29),$G29,$F29+$E29-$D29)),FALSE()),2,IF(AND(CK$2&gt;=$D29,CK$2&lt;=$E29),1,"")))</f>
        <v/>
      </c>
      <c r="CL29" s="55" t="str">
        <f aca="false">IF(OR(CL$2="",$D29=""),"",IF(IF(ISNUMBER($F29),AND(CL$2&gt;=$F29,CL$2&lt;=IF(ISNUMBER($G29),$G29,$F29+$E29-$D29)),FALSE()),2,IF(AND(CL$2&gt;=$D29,CL$2&lt;=$E29),1,"")))</f>
        <v/>
      </c>
      <c r="CM29" s="55" t="str">
        <f aca="false">IF(OR(CM$2="",$D29=""),"",IF(IF(ISNUMBER($F29),AND(CM$2&gt;=$F29,CM$2&lt;=IF(ISNUMBER($G29),$G29,$F29+$E29-$D29)),FALSE()),2,IF(AND(CM$2&gt;=$D29,CM$2&lt;=$E29),1,"")))</f>
        <v/>
      </c>
      <c r="CN29" s="55" t="str">
        <f aca="false">IF(OR(CN$2="",$D29=""),"",IF(IF(ISNUMBER($F29),AND(CN$2&gt;=$F29,CN$2&lt;=IF(ISNUMBER($G29),$G29,$F29+$E29-$D29)),FALSE()),2,IF(AND(CN$2&gt;=$D29,CN$2&lt;=$E29),1,"")))</f>
        <v/>
      </c>
      <c r="CO29" s="55" t="str">
        <f aca="false">IF(OR(CO$2="",$D29=""),"",IF(IF(ISNUMBER($F29),AND(CO$2&gt;=$F29,CO$2&lt;=IF(ISNUMBER($G29),$G29,$F29+$E29-$D29)),FALSE()),2,IF(AND(CO$2&gt;=$D29,CO$2&lt;=$E29),1,"")))</f>
        <v/>
      </c>
      <c r="CP29" s="55" t="str">
        <f aca="false">IF(OR(CP$2="",$D29=""),"",IF(IF(ISNUMBER($F29),AND(CP$2&gt;=$F29,CP$2&lt;=IF(ISNUMBER($G29),$G29,$F29+$E29-$D29)),FALSE()),2,IF(AND(CP$2&gt;=$D29,CP$2&lt;=$E29),1,"")))</f>
        <v/>
      </c>
      <c r="CQ29" s="55" t="str">
        <f aca="false">IF(OR(CQ$2="",$D29=""),"",IF(IF(ISNUMBER($F29),AND(CQ$2&gt;=$F29,CQ$2&lt;=IF(ISNUMBER($G29),$G29,$F29+$E29-$D29)),FALSE()),2,IF(AND(CQ$2&gt;=$D29,CQ$2&lt;=$E29),1,"")))</f>
        <v/>
      </c>
      <c r="CR29" s="55" t="str">
        <f aca="false">IF(OR(CR$2="",$D29=""),"",IF(IF(ISNUMBER($F29),AND(CR$2&gt;=$F29,CR$2&lt;=IF(ISNUMBER($G29),$G29,$F29+$E29-$D29)),FALSE()),2,IF(AND(CR$2&gt;=$D29,CR$2&lt;=$E29),1,"")))</f>
        <v/>
      </c>
      <c r="CS29" s="55" t="str">
        <f aca="false">IF(OR(CS$2="",$D29=""),"",IF(IF(ISNUMBER($F29),AND(CS$2&gt;=$F29,CS$2&lt;=IF(ISNUMBER($G29),$G29,$F29+$E29-$D29)),FALSE()),2,IF(AND(CS$2&gt;=$D29,CS$2&lt;=$E29),1,"")))</f>
        <v/>
      </c>
      <c r="CT29" s="55" t="str">
        <f aca="false">IF(OR(CT$2="",$D29=""),"",IF(IF(ISNUMBER($F29),AND(CT$2&gt;=$F29,CT$2&lt;=IF(ISNUMBER($G29),$G29,$F29+$E29-$D29)),FALSE()),2,IF(AND(CT$2&gt;=$D29,CT$2&lt;=$E29),1,"")))</f>
        <v/>
      </c>
      <c r="CU29" s="55" t="str">
        <f aca="false">IF(OR(CU$2="",$D29=""),"",IF(IF(ISNUMBER($F29),AND(CU$2&gt;=$F29,CU$2&lt;=IF(ISNUMBER($G29),$G29,$F29+$E29-$D29)),FALSE()),2,IF(AND(CU$2&gt;=$D29,CU$2&lt;=$E29),1,"")))</f>
        <v/>
      </c>
      <c r="CV29" s="55" t="str">
        <f aca="false">IF(OR(CV$2="",$D29=""),"",IF(IF(ISNUMBER($F29),AND(CV$2&gt;=$F29,CV$2&lt;=IF(ISNUMBER($G29),$G29,$F29+$E29-$D29)),FALSE()),2,IF(AND(CV$2&gt;=$D29,CV$2&lt;=$E29),1,"")))</f>
        <v/>
      </c>
      <c r="CW29" s="55" t="str">
        <f aca="false">IF(OR(CW$2="",$D29=""),"",IF(IF(ISNUMBER($F29),AND(CW$2&gt;=$F29,CW$2&lt;=IF(ISNUMBER($G29),$G29,$F29+$E29-$D29)),FALSE()),2,IF(AND(CW$2&gt;=$D29,CW$2&lt;=$E29),1,"")))</f>
        <v/>
      </c>
      <c r="CX29" s="55" t="str">
        <f aca="false">IF(OR(CX$2="",$D29=""),"",IF(IF(ISNUMBER($F29),AND(CX$2&gt;=$F29,CX$2&lt;=IF(ISNUMBER($G29),$G29,$F29+$E29-$D29)),FALSE()),2,IF(AND(CX$2&gt;=$D29,CX$2&lt;=$E29),1,"")))</f>
        <v/>
      </c>
      <c r="CY29" s="55" t="str">
        <f aca="false">IF(OR(CY$2="",$D29=""),"",IF(IF(ISNUMBER($F29),AND(CY$2&gt;=$F29,CY$2&lt;=IF(ISNUMBER($G29),$G29,$F29+$E29-$D29)),FALSE()),2,IF(AND(CY$2&gt;=$D29,CY$2&lt;=$E29),1,"")))</f>
        <v/>
      </c>
      <c r="CZ29" s="55" t="str">
        <f aca="false">IF(OR(CZ$2="",$D29=""),"",IF(IF(ISNUMBER($F29),AND(CZ$2&gt;=$F29,CZ$2&lt;=IF(ISNUMBER($G29),$G29,$F29+$E29-$D29)),FALSE()),2,IF(AND(CZ$2&gt;=$D29,CZ$2&lt;=$E29),1,"")))</f>
        <v/>
      </c>
      <c r="DA29" s="55" t="str">
        <f aca="false">IF(OR(DA$2="",$D29=""),"",IF(IF(ISNUMBER($F29),AND(DA$2&gt;=$F29,DA$2&lt;=IF(ISNUMBER($G29),$G29,$F29+$E29-$D29)),FALSE()),2,IF(AND(DA$2&gt;=$D29,DA$2&lt;=$E29),1,"")))</f>
        <v/>
      </c>
      <c r="DB29" s="55" t="str">
        <f aca="false">IF(OR(DB$2="",$D29=""),"",IF(IF(ISNUMBER($F29),AND(DB$2&gt;=$F29,DB$2&lt;=IF(ISNUMBER($G29),$G29,$F29+$E29-$D29)),FALSE()),2,IF(AND(DB$2&gt;=$D29,DB$2&lt;=$E29),1,"")))</f>
        <v/>
      </c>
      <c r="DC29" s="55" t="str">
        <f aca="false">IF(OR(DC$2="",$D29=""),"",IF(IF(ISNUMBER($F29),AND(DC$2&gt;=$F29,DC$2&lt;=IF(ISNUMBER($G29),$G29,$F29+$E29-$D29)),FALSE()),2,IF(AND(DC$2&gt;=$D29,DC$2&lt;=$E29),1,"")))</f>
        <v/>
      </c>
      <c r="DD29" s="55" t="str">
        <f aca="false">IF(OR(DD$2="",$D29=""),"",IF(IF(ISNUMBER($F29),AND(DD$2&gt;=$F29,DD$2&lt;=IF(ISNUMBER($G29),$G29,$F29+$E29-$D29)),FALSE()),2,IF(AND(DD$2&gt;=$D29,DD$2&lt;=$E29),1,"")))</f>
        <v/>
      </c>
      <c r="DE29" s="55" t="str">
        <f aca="false">IF(OR(DE$2="",$D29=""),"",IF(IF(ISNUMBER($F29),AND(DE$2&gt;=$F29,DE$2&lt;=IF(ISNUMBER($G29),$G29,$F29+$E29-$D29)),FALSE()),2,IF(AND(DE$2&gt;=$D29,DE$2&lt;=$E29),1,"")))</f>
        <v/>
      </c>
      <c r="DF29" s="55" t="str">
        <f aca="false">IF(OR(DF$2="",$D29=""),"",IF(IF(ISNUMBER($F29),AND(DF$2&gt;=$F29,DF$2&lt;=IF(ISNUMBER($G29),$G29,$F29+$E29-$D29)),FALSE()),2,IF(AND(DF$2&gt;=$D29,DF$2&lt;=$E29),1,"")))</f>
        <v/>
      </c>
      <c r="DG29" s="55" t="str">
        <f aca="false">IF(OR(DG$2="",$D29=""),"",IF(IF(ISNUMBER($F29),AND(DG$2&gt;=$F29,DG$2&lt;=IF(ISNUMBER($G29),$G29,$F29+$E29-$D29)),FALSE()),2,IF(AND(DG$2&gt;=$D29,DG$2&lt;=$E29),1,"")))</f>
        <v/>
      </c>
      <c r="DH29" s="55" t="str">
        <f aca="false">IF(OR(DH$2="",$D29=""),"",IF(IF(ISNUMBER($F29),AND(DH$2&gt;=$F29,DH$2&lt;=IF(ISNUMBER($G29),$G29,$F29+$E29-$D29)),FALSE()),2,IF(AND(DH$2&gt;=$D29,DH$2&lt;=$E29),1,"")))</f>
        <v/>
      </c>
      <c r="DI29" s="55" t="str">
        <f aca="false">IF(OR(DI$2="",$D29=""),"",IF(IF(ISNUMBER($F29),AND(DI$2&gt;=$F29,DI$2&lt;=IF(ISNUMBER($G29),$G29,$F29+$E29-$D29)),FALSE()),2,IF(AND(DI$2&gt;=$D29,DI$2&lt;=$E29),1,"")))</f>
        <v/>
      </c>
      <c r="DJ29" s="55" t="str">
        <f aca="false">IF(OR(DJ$2="",$D29=""),"",IF(IF(ISNUMBER($F29),AND(DJ$2&gt;=$F29,DJ$2&lt;=IF(ISNUMBER($G29),$G29,$F29+$E29-$D29)),FALSE()),2,IF(AND(DJ$2&gt;=$D29,DJ$2&lt;=$E29),1,"")))</f>
        <v/>
      </c>
      <c r="DK29" s="55" t="str">
        <f aca="false">IF(OR(DK$2="",$D29=""),"",IF(IF(ISNUMBER($F29),AND(DK$2&gt;=$F29,DK$2&lt;=IF(ISNUMBER($G29),$G29,$F29+$E29-$D29)),FALSE()),2,IF(AND(DK$2&gt;=$D29,DK$2&lt;=$E29),1,"")))</f>
        <v/>
      </c>
      <c r="DL29" s="55" t="str">
        <f aca="false">IF(OR(DL$2="",$D29=""),"",IF(IF(ISNUMBER($F29),AND(DL$2&gt;=$F29,DL$2&lt;=IF(ISNUMBER($G29),$G29,$F29+$E29-$D29)),FALSE()),2,IF(AND(DL$2&gt;=$D29,DL$2&lt;=$E29),1,"")))</f>
        <v/>
      </c>
      <c r="DM29" s="55" t="str">
        <f aca="false">IF(OR(DM$2="",$D29=""),"",IF(IF(ISNUMBER($F29),AND(DM$2&gt;=$F29,DM$2&lt;=IF(ISNUMBER($G29),$G29,$F29+$E29-$D29)),FALSE()),2,IF(AND(DM$2&gt;=$D29,DM$2&lt;=$E29),1,"")))</f>
        <v/>
      </c>
      <c r="DN29" s="55" t="str">
        <f aca="false">IF(OR(DN$2="",$D29=""),"",IF(IF(ISNUMBER($F29),AND(DN$2&gt;=$F29,DN$2&lt;=IF(ISNUMBER($G29),$G29,$F29+$E29-$D29)),FALSE()),2,IF(AND(DN$2&gt;=$D29,DN$2&lt;=$E29),1,"")))</f>
        <v/>
      </c>
      <c r="DO29" s="55" t="str">
        <f aca="false">IF(OR(DO$2="",$D29=""),"",IF(IF(ISNUMBER($F29),AND(DO$2&gt;=$F29,DO$2&lt;=IF(ISNUMBER($G29),$G29,$F29+$E29-$D29)),FALSE()),2,IF(AND(DO$2&gt;=$D29,DO$2&lt;=$E29),1,"")))</f>
        <v/>
      </c>
      <c r="DP29" s="55" t="str">
        <f aca="false">IF(OR(DP$2="",$D29=""),"",IF(IF(ISNUMBER($F29),AND(DP$2&gt;=$F29,DP$2&lt;=IF(ISNUMBER($G29),$G29,$F29+$E29-$D29)),FALSE()),2,IF(AND(DP$2&gt;=$D29,DP$2&lt;=$E29),1,"")))</f>
        <v/>
      </c>
      <c r="DQ29" s="55" t="str">
        <f aca="false">IF(OR(DQ$2="",$D29=""),"",IF(IF(ISNUMBER($F29),AND(DQ$2&gt;=$F29,DQ$2&lt;=IF(ISNUMBER($G29),$G29,$F29+$E29-$D29)),FALSE()),2,IF(AND(DQ$2&gt;=$D29,DQ$2&lt;=$E29),1,"")))</f>
        <v/>
      </c>
      <c r="DR29" s="55" t="str">
        <f aca="false">IF(OR(DR$2="",$D29=""),"",IF(IF(ISNUMBER($F29),AND(DR$2&gt;=$F29,DR$2&lt;=IF(ISNUMBER($G29),$G29,$F29+$E29-$D29)),FALSE()),2,IF(AND(DR$2&gt;=$D29,DR$2&lt;=$E29),1,"")))</f>
        <v/>
      </c>
      <c r="DS29" s="55" t="str">
        <f aca="false">IF(OR(DS$2="",$D29=""),"",IF(IF(ISNUMBER($F29),AND(DS$2&gt;=$F29,DS$2&lt;=IF(ISNUMBER($G29),$G29,$F29+$E29-$D29)),FALSE()),2,IF(AND(DS$2&gt;=$D29,DS$2&lt;=$E29),1,"")))</f>
        <v/>
      </c>
      <c r="DT29" s="55" t="str">
        <f aca="false">IF(OR(DT$2="",$D29=""),"",IF(IF(ISNUMBER($F29),AND(DT$2&gt;=$F29,DT$2&lt;=IF(ISNUMBER($G29),$G29,$F29+$E29-$D29)),FALSE()),2,IF(AND(DT$2&gt;=$D29,DT$2&lt;=$E29),1,"")))</f>
        <v/>
      </c>
      <c r="DU29" s="55" t="str">
        <f aca="false">IF(OR(DU$2="",$D29=""),"",IF(IF(ISNUMBER($F29),AND(DU$2&gt;=$F29,DU$2&lt;=IF(ISNUMBER($G29),$G29,$F29+$E29-$D29)),FALSE()),2,IF(AND(DU$2&gt;=$D29,DU$2&lt;=$E29),1,"")))</f>
        <v/>
      </c>
      <c r="DV29" s="55" t="str">
        <f aca="false">IF(OR(DV$2="",$D29=""),"",IF(IF(ISNUMBER($F29),AND(DV$2&gt;=$F29,DV$2&lt;=IF(ISNUMBER($G29),$G29,$F29+$E29-$D29)),FALSE()),2,IF(AND(DV$2&gt;=$D29,DV$2&lt;=$E29),1,"")))</f>
        <v/>
      </c>
      <c r="DW29" s="55" t="str">
        <f aca="false">IF(OR(DW$2="",$D29=""),"",IF(IF(ISNUMBER($F29),AND(DW$2&gt;=$F29,DW$2&lt;=IF(ISNUMBER($G29),$G29,$F29+$E29-$D29)),FALSE()),2,IF(AND(DW$2&gt;=$D29,DW$2&lt;=$E29),1,"")))</f>
        <v/>
      </c>
      <c r="DX29" s="55" t="str">
        <f aca="false">IF(OR(DX$2="",$D29=""),"",IF(IF(ISNUMBER($F29),AND(DX$2&gt;=$F29,DX$2&lt;=IF(ISNUMBER($G29),$G29,$F29+$E29-$D29)),FALSE()),2,IF(AND(DX$2&gt;=$D29,DX$2&lt;=$E29),1,"")))</f>
        <v/>
      </c>
      <c r="DY29" s="55" t="str">
        <f aca="false">IF(OR(DY$2="",$D29=""),"",IF(IF(ISNUMBER($F29),AND(DY$2&gt;=$F29,DY$2&lt;=IF(ISNUMBER($G29),$G29,$F29+$E29-$D29)),FALSE()),2,IF(AND(DY$2&gt;=$D29,DY$2&lt;=$E29),1,"")))</f>
        <v/>
      </c>
      <c r="DZ29" s="55" t="str">
        <f aca="false">IF(OR(DZ$2="",$D29=""),"",IF(IF(ISNUMBER($F29),AND(DZ$2&gt;=$F29,DZ$2&lt;=IF(ISNUMBER($G29),$G29,$F29+$E29-$D29)),FALSE()),2,IF(AND(DZ$2&gt;=$D29,DZ$2&lt;=$E29),1,"")))</f>
        <v/>
      </c>
      <c r="EA29" s="55" t="str">
        <f aca="false">IF(OR(EA$2="",$D29=""),"",IF(IF(ISNUMBER($F29),AND(EA$2&gt;=$F29,EA$2&lt;=IF(ISNUMBER($G29),$G29,$F29+$E29-$D29)),FALSE()),2,IF(AND(EA$2&gt;=$D29,EA$2&lt;=$E29),1,"")))</f>
        <v/>
      </c>
      <c r="EB29" s="55" t="str">
        <f aca="false">IF(OR(EB$2="",$D29=""),"",IF(IF(ISNUMBER($F29),AND(EB$2&gt;=$F29,EB$2&lt;=IF(ISNUMBER($G29),$G29,$F29+$E29-$D29)),FALSE()),2,IF(AND(EB$2&gt;=$D29,EB$2&lt;=$E29),1,"")))</f>
        <v/>
      </c>
      <c r="EC29" s="55" t="str">
        <f aca="false">IF(OR(EC$2="",$D29=""),"",IF(IF(ISNUMBER($F29),AND(EC$2&gt;=$F29,EC$2&lt;=IF(ISNUMBER($G29),$G29,$F29+$E29-$D29)),FALSE()),2,IF(AND(EC$2&gt;=$D29,EC$2&lt;=$E29),1,"")))</f>
        <v/>
      </c>
      <c r="ED29" s="55" t="str">
        <f aca="false">IF(OR(ED$2="",$D29=""),"",IF(IF(ISNUMBER($F29),AND(ED$2&gt;=$F29,ED$2&lt;=IF(ISNUMBER($G29),$G29,$F29+$E29-$D29)),FALSE()),2,IF(AND(ED$2&gt;=$D29,ED$2&lt;=$E29),1,"")))</f>
        <v/>
      </c>
      <c r="EE29" s="55" t="str">
        <f aca="false">IF(OR(EE$2="",$D29=""),"",IF(IF(ISNUMBER($F29),AND(EE$2&gt;=$F29,EE$2&lt;=IF(ISNUMBER($G29),$G29,$F29+$E29-$D29)),FALSE()),2,IF(AND(EE$2&gt;=$D29,EE$2&lt;=$E29),1,"")))</f>
        <v/>
      </c>
      <c r="EF29" s="55" t="str">
        <f aca="false">IF(OR(EF$2="",$D29=""),"",IF(IF(ISNUMBER($F29),AND(EF$2&gt;=$F29,EF$2&lt;=IF(ISNUMBER($G29),$G29,$F29+$E29-$D29)),FALSE()),2,IF(AND(EF$2&gt;=$D29,EF$2&lt;=$E29),1,"")))</f>
        <v/>
      </c>
      <c r="EG29" s="55" t="str">
        <f aca="false">IF(OR(EG$2="",$D29=""),"",IF(IF(ISNUMBER($F29),AND(EG$2&gt;=$F29,EG$2&lt;=IF(ISNUMBER($G29),$G29,$F29+$E29-$D29)),FALSE()),2,IF(AND(EG$2&gt;=$D29,EG$2&lt;=$E29),1,"")))</f>
        <v/>
      </c>
      <c r="EH29" s="55" t="str">
        <f aca="false">IF(OR(EH$2="",$D29=""),"",IF(IF(ISNUMBER($F29),AND(EH$2&gt;=$F29,EH$2&lt;=IF(ISNUMBER($G29),$G29,$F29+$E29-$D29)),FALSE()),2,IF(AND(EH$2&gt;=$D29,EH$2&lt;=$E29),1,"")))</f>
        <v/>
      </c>
      <c r="EI29" s="55" t="str">
        <f aca="false">IF(OR(EI$2="",$D29=""),"",IF(IF(ISNUMBER($F29),AND(EI$2&gt;=$F29,EI$2&lt;=IF(ISNUMBER($G29),$G29,$F29+$E29-$D29)),FALSE()),2,IF(AND(EI$2&gt;=$D29,EI$2&lt;=$E29),1,"")))</f>
        <v/>
      </c>
      <c r="EJ29" s="55" t="str">
        <f aca="false">IF(OR(EJ$2="",$D29=""),"",IF(IF(ISNUMBER($F29),AND(EJ$2&gt;=$F29,EJ$2&lt;=IF(ISNUMBER($G29),$G29,$F29+$E29-$D29)),FALSE()),2,IF(AND(EJ$2&gt;=$D29,EJ$2&lt;=$E29),1,"")))</f>
        <v/>
      </c>
      <c r="EK29" s="55" t="str">
        <f aca="false">IF(OR(EK$2="",$D29=""),"",IF(IF(ISNUMBER($F29),AND(EK$2&gt;=$F29,EK$2&lt;=IF(ISNUMBER($G29),$G29,$F29+$E29-$D29)),FALSE()),2,IF(AND(EK$2&gt;=$D29,EK$2&lt;=$E29),1,"")))</f>
        <v/>
      </c>
      <c r="EL29" s="55" t="str">
        <f aca="false">IF(OR(EL$2="",$D29=""),"",IF(IF(ISNUMBER($F29),AND(EL$2&gt;=$F29,EL$2&lt;=IF(ISNUMBER($G29),$G29,$F29+$E29-$D29)),FALSE()),2,IF(AND(EL$2&gt;=$D29,EL$2&lt;=$E29),1,"")))</f>
        <v/>
      </c>
      <c r="EM29" s="55" t="str">
        <f aca="false">IF(OR(EM$2="",$D29=""),"",IF(IF(ISNUMBER($F29),AND(EM$2&gt;=$F29,EM$2&lt;=IF(ISNUMBER($G29),$G29,$F29+$E29-$D29)),FALSE()),2,IF(AND(EM$2&gt;=$D29,EM$2&lt;=$E29),1,"")))</f>
        <v/>
      </c>
      <c r="EN29" s="55" t="str">
        <f aca="false">IF(OR(EN$2="",$D29=""),"",IF(IF(ISNUMBER($F29),AND(EN$2&gt;=$F29,EN$2&lt;=IF(ISNUMBER($G29),$G29,$F29+$E29-$D29)),FALSE()),2,IF(AND(EN$2&gt;=$D29,EN$2&lt;=$E29),1,"")))</f>
        <v/>
      </c>
      <c r="EO29" s="55" t="str">
        <f aca="false">IF(OR(EO$2="",$D29=""),"",IF(IF(ISNUMBER($F29),AND(EO$2&gt;=$F29,EO$2&lt;=IF(ISNUMBER($G29),$G29,$F29+$E29-$D29)),FALSE()),2,IF(AND(EO$2&gt;=$D29,EO$2&lt;=$E29),1,"")))</f>
        <v/>
      </c>
      <c r="EP29" s="55" t="str">
        <f aca="false">IF(OR(EP$2="",$D29=""),"",IF(IF(ISNUMBER($F29),AND(EP$2&gt;=$F29,EP$2&lt;=IF(ISNUMBER($G29),$G29,$F29+$E29-$D29)),FALSE()),2,IF(AND(EP$2&gt;=$D29,EP$2&lt;=$E29),1,"")))</f>
        <v/>
      </c>
      <c r="EQ29" s="55" t="str">
        <f aca="false">IF(OR(EQ$2="",$D29=""),"",IF(IF(ISNUMBER($F29),AND(EQ$2&gt;=$F29,EQ$2&lt;=IF(ISNUMBER($G29),$G29,$F29+$E29-$D29)),FALSE()),2,IF(AND(EQ$2&gt;=$D29,EQ$2&lt;=$E29),1,"")))</f>
        <v/>
      </c>
      <c r="ER29" s="55" t="str">
        <f aca="false">IF(OR(ER$2="",$D29=""),"",IF(IF(ISNUMBER($F29),AND(ER$2&gt;=$F29,ER$2&lt;=IF(ISNUMBER($G29),$G29,$F29+$E29-$D29)),FALSE()),2,IF(AND(ER$2&gt;=$D29,ER$2&lt;=$E29),1,"")))</f>
        <v/>
      </c>
      <c r="ES29" s="55" t="str">
        <f aca="false">IF(OR(ES$2="",$D29=""),"",IF(IF(ISNUMBER($F29),AND(ES$2&gt;=$F29,ES$2&lt;=IF(ISNUMBER($G29),$G29,$F29+$E29-$D29)),FALSE()),2,IF(AND(ES$2&gt;=$D29,ES$2&lt;=$E29),1,"")))</f>
        <v/>
      </c>
      <c r="ET29" s="55" t="str">
        <f aca="false">IF(OR(ET$2="",$D29=""),"",IF(IF(ISNUMBER($F29),AND(ET$2&gt;=$F29,ET$2&lt;=IF(ISNUMBER($G29),$G29,$F29+$E29-$D29)),FALSE()),2,IF(AND(ET$2&gt;=$D29,ET$2&lt;=$E29),1,"")))</f>
        <v/>
      </c>
      <c r="EU29" s="55" t="str">
        <f aca="false">IF(OR(EU$2="",$D29=""),"",IF(IF(ISNUMBER($F29),AND(EU$2&gt;=$F29,EU$2&lt;=IF(ISNUMBER($G29),$G29,$F29+$E29-$D29)),FALSE()),2,IF(AND(EU$2&gt;=$D29,EU$2&lt;=$E29),1,"")))</f>
        <v/>
      </c>
      <c r="EV29" s="55" t="str">
        <f aca="false">IF(OR(EV$2="",$D29=""),"",IF(IF(ISNUMBER($F29),AND(EV$2&gt;=$F29,EV$2&lt;=IF(ISNUMBER($G29),$G29,$F29+$E29-$D29)),FALSE()),2,IF(AND(EV$2&gt;=$D29,EV$2&lt;=$E29),1,"")))</f>
        <v/>
      </c>
      <c r="EW29" s="55" t="str">
        <f aca="false">IF(OR(EW$2="",$D29=""),"",IF(IF(ISNUMBER($F29),AND(EW$2&gt;=$F29,EW$2&lt;=IF(ISNUMBER($G29),$G29,$F29+$E29-$D29)),FALSE()),2,IF(AND(EW$2&gt;=$D29,EW$2&lt;=$E29),1,"")))</f>
        <v/>
      </c>
      <c r="EX29" s="55" t="str">
        <f aca="false">IF(OR(EX$2="",$D29=""),"",IF(IF(ISNUMBER($F29),AND(EX$2&gt;=$F29,EX$2&lt;=IF(ISNUMBER($G29),$G29,$F29+$E29-$D29)),FALSE()),2,IF(AND(EX$2&gt;=$D29,EX$2&lt;=$E29),1,"")))</f>
        <v/>
      </c>
      <c r="EY29" s="55" t="str">
        <f aca="false">IF(OR(EY$2="",$D29=""),"",IF(IF(ISNUMBER($F29),AND(EY$2&gt;=$F29,EY$2&lt;=IF(ISNUMBER($G29),$G29,$F29+$E29-$D29)),FALSE()),2,IF(AND(EY$2&gt;=$D29,EY$2&lt;=$E29),1,"")))</f>
        <v/>
      </c>
      <c r="EZ29" s="55" t="str">
        <f aca="false">IF(OR(EZ$2="",$D29=""),"",IF(IF(ISNUMBER($F29),AND(EZ$2&gt;=$F29,EZ$2&lt;=IF(ISNUMBER($G29),$G29,$F29+$E29-$D29)),FALSE()),2,IF(AND(EZ$2&gt;=$D29,EZ$2&lt;=$E29),1,"")))</f>
        <v/>
      </c>
      <c r="FA29" s="55" t="str">
        <f aca="false">IF(OR(FA$2="",$D29=""),"",IF(IF(ISNUMBER($F29),AND(FA$2&gt;=$F29,FA$2&lt;=IF(ISNUMBER($G29),$G29,$F29+$E29-$D29)),FALSE()),2,IF(AND(FA$2&gt;=$D29,FA$2&lt;=$E29),1,"")))</f>
        <v/>
      </c>
      <c r="FB29" s="55" t="str">
        <f aca="false">IF(OR(FB$2="",$D29=""),"",IF(IF(ISNUMBER($F29),AND(FB$2&gt;=$F29,FB$2&lt;=IF(ISNUMBER($G29),$G29,$F29+$E29-$D29)),FALSE()),2,IF(AND(FB$2&gt;=$D29,FB$2&lt;=$E29),1,"")))</f>
        <v/>
      </c>
      <c r="FC29" s="55" t="str">
        <f aca="false">IF(OR(FC$2="",$D29=""),"",IF(IF(ISNUMBER($F29),AND(FC$2&gt;=$F29,FC$2&lt;=IF(ISNUMBER($G29),$G29,$F29+$E29-$D29)),FALSE()),2,IF(AND(FC$2&gt;=$D29,FC$2&lt;=$E29),1,"")))</f>
        <v/>
      </c>
      <c r="FD29" s="55" t="str">
        <f aca="false">IF(OR(FD$2="",$D29=""),"",IF(IF(ISNUMBER($F29),AND(FD$2&gt;=$F29,FD$2&lt;=IF(ISNUMBER($G29),$G29,$F29+$E29-$D29)),FALSE()),2,IF(AND(FD$2&gt;=$D29,FD$2&lt;=$E29),1,"")))</f>
        <v/>
      </c>
      <c r="FE29" s="55" t="str">
        <f aca="false">IF(OR(FE$2="",$D29=""),"",IF(IF(ISNUMBER($F29),AND(FE$2&gt;=$F29,FE$2&lt;=IF(ISNUMBER($G29),$G29,$F29+$E29-$D29)),FALSE()),2,IF(AND(FE$2&gt;=$D29,FE$2&lt;=$E29),1,"")))</f>
        <v/>
      </c>
      <c r="FF29" s="55" t="str">
        <f aca="false">IF(OR(FF$2="",$D29=""),"",IF(IF(ISNUMBER($F29),AND(FF$2&gt;=$F29,FF$2&lt;=IF(ISNUMBER($G29),$G29,$F29+$E29-$D29)),FALSE()),2,IF(AND(FF$2&gt;=$D29,FF$2&lt;=$E29),1,"")))</f>
        <v/>
      </c>
      <c r="FG29" s="55" t="str">
        <f aca="false">IF(OR(FG$2="",$D29=""),"",IF(IF(ISNUMBER($F29),AND(FG$2&gt;=$F29,FG$2&lt;=IF(ISNUMBER($G29),$G29,$F29+$E29-$D29)),FALSE()),2,IF(AND(FG$2&gt;=$D29,FG$2&lt;=$E29),1,"")))</f>
        <v/>
      </c>
      <c r="FH29" s="55" t="str">
        <f aca="false">IF(OR(FH$2="",$D29=""),"",IF(IF(ISNUMBER($F29),AND(FH$2&gt;=$F29,FH$2&lt;=IF(ISNUMBER($G29),$G29,$F29+$E29-$D29)),FALSE()),2,IF(AND(FH$2&gt;=$D29,FH$2&lt;=$E29),1,"")))</f>
        <v/>
      </c>
      <c r="FI29" s="55" t="str">
        <f aca="false">IF(OR(FI$2="",$D29=""),"",IF(IF(ISNUMBER($F29),AND(FI$2&gt;=$F29,FI$2&lt;=IF(ISNUMBER($G29),$G29,$F29+$E29-$D29)),FALSE()),2,IF(AND(FI$2&gt;=$D29,FI$2&lt;=$E29),1,"")))</f>
        <v/>
      </c>
      <c r="FJ29" s="55" t="str">
        <f aca="false">IF(OR(FJ$2="",$D29=""),"",IF(IF(ISNUMBER($F29),AND(FJ$2&gt;=$F29,FJ$2&lt;=IF(ISNUMBER($G29),$G29,$F29+$E29-$D29)),FALSE()),2,IF(AND(FJ$2&gt;=$D29,FJ$2&lt;=$E29),1,"")))</f>
        <v/>
      </c>
      <c r="FK29" s="55" t="str">
        <f aca="false">IF(OR(FK$2="",$D29=""),"",IF(IF(ISNUMBER($F29),AND(FK$2&gt;=$F29,FK$2&lt;=IF(ISNUMBER($G29),$G29,$F29+$E29-$D29)),FALSE()),2,IF(AND(FK$2&gt;=$D29,FK$2&lt;=$E29),1,"")))</f>
        <v/>
      </c>
      <c r="FL29" s="55" t="str">
        <f aca="false">IF(OR(FL$2="",$D29=""),"",IF(IF(ISNUMBER($F29),AND(FL$2&gt;=$F29,FL$2&lt;=IF(ISNUMBER($G29),$G29,$F29+$E29-$D29)),FALSE()),2,IF(AND(FL$2&gt;=$D29,FL$2&lt;=$E29),1,"")))</f>
        <v/>
      </c>
      <c r="FM29" s="55" t="str">
        <f aca="false">IF(OR(FM$2="",$D29=""),"",IF(IF(ISNUMBER($F29),AND(FM$2&gt;=$F29,FM$2&lt;=IF(ISNUMBER($G29),$G29,$F29+$E29-$D29)),FALSE()),2,IF(AND(FM$2&gt;=$D29,FM$2&lt;=$E29),1,"")))</f>
        <v/>
      </c>
      <c r="FN29" s="55" t="str">
        <f aca="false">IF(OR(FN$2="",$D29=""),"",IF(IF(ISNUMBER($F29),AND(FN$2&gt;=$F29,FN$2&lt;=IF(ISNUMBER($G29),$G29,$F29+$E29-$D29)),FALSE()),2,IF(AND(FN$2&gt;=$D29,FN$2&lt;=$E29),1,"")))</f>
        <v/>
      </c>
      <c r="FO29" s="55" t="str">
        <f aca="false">IF(OR(FO$2="",$D29=""),"",IF(IF(ISNUMBER($F29),AND(FO$2&gt;=$F29,FO$2&lt;=IF(ISNUMBER($G29),$G29,$F29+$E29-$D29)),FALSE()),2,IF(AND(FO$2&gt;=$D29,FO$2&lt;=$E29),1,"")))</f>
        <v/>
      </c>
      <c r="FP29" s="55" t="str">
        <f aca="false">IF(OR(FP$2="",$D29=""),"",IF(IF(ISNUMBER($F29),AND(FP$2&gt;=$F29,FP$2&lt;=IF(ISNUMBER($G29),$G29,$F29+$E29-$D29)),FALSE()),2,IF(AND(FP$2&gt;=$D29,FP$2&lt;=$E29),1,"")))</f>
        <v/>
      </c>
      <c r="FQ29" s="55" t="str">
        <f aca="false">IF(OR(FQ$2="",$D29=""),"",IF(IF(ISNUMBER($F29),AND(FQ$2&gt;=$F29,FQ$2&lt;=IF(ISNUMBER($G29),$G29,$F29+$E29-$D29)),FALSE()),2,IF(AND(FQ$2&gt;=$D29,FQ$2&lt;=$E29),1,"")))</f>
        <v/>
      </c>
      <c r="FR29" s="55" t="str">
        <f aca="false">IF(OR(FR$2="",$D29=""),"",IF(IF(ISNUMBER($F29),AND(FR$2&gt;=$F29,FR$2&lt;=IF(ISNUMBER($G29),$G29,$F29+$E29-$D29)),FALSE()),2,IF(AND(FR$2&gt;=$D29,FR$2&lt;=$E29),1,"")))</f>
        <v/>
      </c>
      <c r="FS29" s="55" t="str">
        <f aca="false">IF(OR(FS$2="",$D29=""),"",IF(IF(ISNUMBER($F29),AND(FS$2&gt;=$F29,FS$2&lt;=IF(ISNUMBER($G29),$G29,$F29+$E29-$D29)),FALSE()),2,IF(AND(FS$2&gt;=$D29,FS$2&lt;=$E29),1,"")))</f>
        <v/>
      </c>
      <c r="FT29" s="55" t="str">
        <f aca="false">IF(OR(FT$2="",$D29=""),"",IF(IF(ISNUMBER($F29),AND(FT$2&gt;=$F29,FT$2&lt;=IF(ISNUMBER($G29),$G29,$F29+$E29-$D29)),FALSE()),2,IF(AND(FT$2&gt;=$D29,FT$2&lt;=$E29),1,"")))</f>
        <v/>
      </c>
      <c r="FU29" s="55" t="str">
        <f aca="false">IF(OR(FU$2="",$D29=""),"",IF(IF(ISNUMBER($F29),AND(FU$2&gt;=$F29,FU$2&lt;=IF(ISNUMBER($G29),$G29,$F29+$E29-$D29)),FALSE()),2,IF(AND(FU$2&gt;=$D29,FU$2&lt;=$E29),1,"")))</f>
        <v/>
      </c>
      <c r="FV29" s="55" t="str">
        <f aca="false">IF(OR(FV$2="",$D29=""),"",IF(IF(ISNUMBER($F29),AND(FV$2&gt;=$F29,FV$2&lt;=IF(ISNUMBER($G29),$G29,$F29+$E29-$D29)),FALSE()),2,IF(AND(FV$2&gt;=$D29,FV$2&lt;=$E29),1,"")))</f>
        <v/>
      </c>
      <c r="FW29" s="55" t="str">
        <f aca="false">IF(OR(FW$2="",$D29=""),"",IF(IF(ISNUMBER($F29),AND(FW$2&gt;=$F29,FW$2&lt;=IF(ISNUMBER($G29),$G29,$F29+$E29-$D29)),FALSE()),2,IF(AND(FW$2&gt;=$D29,FW$2&lt;=$E29),1,"")))</f>
        <v/>
      </c>
      <c r="FX29" s="55" t="str">
        <f aca="false">IF(OR(FX$2="",$D29=""),"",IF(IF(ISNUMBER($F29),AND(FX$2&gt;=$F29,FX$2&lt;=IF(ISNUMBER($G29),$G29,$F29+$E29-$D29)),FALSE()),2,IF(AND(FX$2&gt;=$D29,FX$2&lt;=$E29),1,"")))</f>
        <v/>
      </c>
      <c r="FY29" s="55" t="str">
        <f aca="false">IF(OR(FY$2="",$D29=""),"",IF(IF(ISNUMBER($F29),AND(FY$2&gt;=$F29,FY$2&lt;=IF(ISNUMBER($G29),$G29,$F29+$E29-$D29)),FALSE()),2,IF(AND(FY$2&gt;=$D29,FY$2&lt;=$E29),1,"")))</f>
        <v/>
      </c>
      <c r="FZ29" s="55" t="str">
        <f aca="false">IF(OR(FZ$2="",$D29=""),"",IF(IF(ISNUMBER($F29),AND(FZ$2&gt;=$F29,FZ$2&lt;=IF(ISNUMBER($G29),$G29,$F29+$E29-$D29)),FALSE()),2,IF(AND(FZ$2&gt;=$D29,FZ$2&lt;=$E29),1,"")))</f>
        <v/>
      </c>
      <c r="GA29" s="55" t="str">
        <f aca="false">IF(OR(GA$2="",$D29=""),"",IF(IF(ISNUMBER($F29),AND(GA$2&gt;=$F29,GA$2&lt;=IF(ISNUMBER($G29),$G29,$F29+$E29-$D29)),FALSE()),2,IF(AND(GA$2&gt;=$D29,GA$2&lt;=$E29),1,"")))</f>
        <v/>
      </c>
      <c r="GB29" s="55" t="str">
        <f aca="false">IF(OR(GB$2="",$D29=""),"",IF(IF(ISNUMBER($F29),AND(GB$2&gt;=$F29,GB$2&lt;=IF(ISNUMBER($G29),$G29,$F29+$E29-$D29)),FALSE()),2,IF(AND(GB$2&gt;=$D29,GB$2&lt;=$E29),1,"")))</f>
        <v/>
      </c>
      <c r="GC29" s="55" t="str">
        <f aca="false">IF(OR(GC$2="",$D29=""),"",IF(IF(ISNUMBER($F29),AND(GC$2&gt;=$F29,GC$2&lt;=IF(ISNUMBER($G29),$G29,$F29+$E29-$D29)),FALSE()),2,IF(AND(GC$2&gt;=$D29,GC$2&lt;=$E29),1,"")))</f>
        <v/>
      </c>
      <c r="GD29" s="55" t="str">
        <f aca="false">IF(OR(GD$2="",$D29=""),"",IF(IF(ISNUMBER($F29),AND(GD$2&gt;=$F29,GD$2&lt;=IF(ISNUMBER($G29),$G29,$F29+$E29-$D29)),FALSE()),2,IF(AND(GD$2&gt;=$D29,GD$2&lt;=$E29),1,"")))</f>
        <v/>
      </c>
      <c r="GE29" s="55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false" outlineLevel="0" collapsed="false">
      <c r="A30" s="54" t="s">
        <v>362</v>
      </c>
      <c r="B30" s="21" t="s">
        <v>363</v>
      </c>
      <c r="C30" s="21" t="s">
        <v>328</v>
      </c>
      <c r="D30" s="51" t="n">
        <f aca="false">IF(D7="","",D7)</f>
        <v>45995</v>
      </c>
      <c r="E30" s="51" t="n">
        <f aca="false">IF(D30="","",D30)</f>
        <v>45995</v>
      </c>
      <c r="F30" s="51" t="str">
        <f aca="false">IF(_xlfn.MINIFS(2_Daily_input!$D$1:$FQ$1,2_Daily_input!$D$73:$FQ$73,"Plowing")+_xlfn.MINIFS(2_Daily_input!$D$1:$FQ$1,2_Daily_input!$D$74:$FQ$74,"Plowing")=0,"",IF(_xlfn.MINIFS(2_Daily_input!$D$1:$FQ$1,2_Daily_input!$D$73:$FQ$73,"Plowing")=0,_xlfn.MINIFS(2_Daily_input!$D$1:$FQ$1,2_Daily_input!$D$74:$FQ$74,"Plowing"),IF(_xlfn.MINIFS(2_Daily_input!$D$1:$FQ$1,2_Daily_input!$D$74:$FQ$74,"Plowing")=0,_xlfn.MINIFS(2_Daily_input!$D$1:$FQ$1,2_Daily_input!$D$73:$FQ$73,"Plowing"),MIN(_xlfn.MINIFS(2_Daily_input!$D$1:$FQ$1,2_Daily_input!$D$73:$FQ$73,"Plowing"),_xlfn.MINIFS(2_Daily_input!$D$1:$FQ$1,2_Daily_input!$D$74:$FQ$74,"Plowing")))))</f>
        <v/>
      </c>
      <c r="G30" s="51" t="str">
        <f aca="false">""</f>
        <v/>
      </c>
      <c r="H30" s="50" t="str">
        <f aca="true">IF(D30="","no plan",IF(F30&lt;&gt;"",IF(F30-D30&gt;=2,"LATE","OK"),IF(TODAY()&gt;D30+2,"OVERDUE","upcoming")))</f>
        <v>OVERDUE</v>
      </c>
      <c r="I30" s="50" t="str">
        <f aca="false">IF(AND(D30&lt;&gt;"",F30&lt;&gt;""),F30-D30,"")</f>
        <v/>
      </c>
      <c r="J30" s="51" t="n">
        <f aca="false">IF(F30&lt;&gt;"",F30,D30)</f>
        <v>45995</v>
      </c>
      <c r="K30" s="51" t="n">
        <f aca="false">IF(G30&lt;&gt;"",G30,IF(AND(F30&lt;&gt;"",E30=D30),F30,E30))</f>
        <v>45995</v>
      </c>
      <c r="L30" s="50" t="str">
        <f aca="true">IF(AND(D30&lt;&gt;"",F30="",D30&gt;=TODAY()),D30+ROW()/1000,"")</f>
        <v/>
      </c>
      <c r="M30" s="55" t="str">
        <f aca="false">IF(OR(M$2="",$D30=""),"",IF(IF(ISNUMBER($F30),AND(M$2&gt;=$F30,M$2&lt;=IF(ISNUMBER($G30),$G30,$F30+$E30-$D30)),FALSE()),2,IF(AND(M$2&gt;=$D30,M$2&lt;=$E30),1,"")))</f>
        <v/>
      </c>
      <c r="N30" s="55" t="str">
        <f aca="false">IF(OR(N$2="",$D30=""),"",IF(IF(ISNUMBER($F30),AND(N$2&gt;=$F30,N$2&lt;=IF(ISNUMBER($G30),$G30,$F30+$E30-$D30)),FALSE()),2,IF(AND(N$2&gt;=$D30,N$2&lt;=$E30),1,"")))</f>
        <v/>
      </c>
      <c r="O30" s="55" t="str">
        <f aca="false">IF(OR(O$2="",$D30=""),"",IF(IF(ISNUMBER($F30),AND(O$2&gt;=$F30,O$2&lt;=IF(ISNUMBER($G30),$G30,$F30+$E30-$D30)),FALSE()),2,IF(AND(O$2&gt;=$D30,O$2&lt;=$E30),1,"")))</f>
        <v/>
      </c>
      <c r="P30" s="55" t="str">
        <f aca="false">IF(OR(P$2="",$D30=""),"",IF(IF(ISNUMBER($F30),AND(P$2&gt;=$F30,P$2&lt;=IF(ISNUMBER($G30),$G30,$F30+$E30-$D30)),FALSE()),2,IF(AND(P$2&gt;=$D30,P$2&lt;=$E30),1,"")))</f>
        <v/>
      </c>
      <c r="Q30" s="55" t="str">
        <f aca="false">IF(OR(Q$2="",$D30=""),"",IF(IF(ISNUMBER($F30),AND(Q$2&gt;=$F30,Q$2&lt;=IF(ISNUMBER($G30),$G30,$F30+$E30-$D30)),FALSE()),2,IF(AND(Q$2&gt;=$D30,Q$2&lt;=$E30),1,"")))</f>
        <v/>
      </c>
      <c r="R30" s="55" t="str">
        <f aca="false">IF(OR(R$2="",$D30=""),"",IF(IF(ISNUMBER($F30),AND(R$2&gt;=$F30,R$2&lt;=IF(ISNUMBER($G30),$G30,$F30+$E30-$D30)),FALSE()),2,IF(AND(R$2&gt;=$D30,R$2&lt;=$E30),1,"")))</f>
        <v/>
      </c>
      <c r="S30" s="55" t="str">
        <f aca="false">IF(OR(S$2="",$D30=""),"",IF(IF(ISNUMBER($F30),AND(S$2&gt;=$F30,S$2&lt;=IF(ISNUMBER($G30),$G30,$F30+$E30-$D30)),FALSE()),2,IF(AND(S$2&gt;=$D30,S$2&lt;=$E30),1,"")))</f>
        <v/>
      </c>
      <c r="T30" s="55" t="str">
        <f aca="false">IF(OR(T$2="",$D30=""),"",IF(IF(ISNUMBER($F30),AND(T$2&gt;=$F30,T$2&lt;=IF(ISNUMBER($G30),$G30,$F30+$E30-$D30)),FALSE()),2,IF(AND(T$2&gt;=$D30,T$2&lt;=$E30),1,"")))</f>
        <v/>
      </c>
      <c r="U30" s="55" t="str">
        <f aca="false">IF(OR(U$2="",$D30=""),"",IF(IF(ISNUMBER($F30),AND(U$2&gt;=$F30,U$2&lt;=IF(ISNUMBER($G30),$G30,$F30+$E30-$D30)),FALSE()),2,IF(AND(U$2&gt;=$D30,U$2&lt;=$E30),1,"")))</f>
        <v/>
      </c>
      <c r="V30" s="55" t="n">
        <f aca="false">IF(OR(V$2="",$D30=""),"",IF(IF(ISNUMBER($F30),AND(V$2&gt;=$F30,V$2&lt;=IF(ISNUMBER($G30),$G30,$F30+$E30-$D30)),FALSE()),2,IF(AND(V$2&gt;=$D30,V$2&lt;=$E30),1,"")))</f>
        <v>1</v>
      </c>
      <c r="W30" s="55" t="str">
        <f aca="false">IF(OR(W$2="",$D30=""),"",IF(IF(ISNUMBER($F30),AND(W$2&gt;=$F30,W$2&lt;=IF(ISNUMBER($G30),$G30,$F30+$E30-$D30)),FALSE()),2,IF(AND(W$2&gt;=$D30,W$2&lt;=$E30),1,"")))</f>
        <v/>
      </c>
      <c r="X30" s="55" t="str">
        <f aca="false">IF(OR(X$2="",$D30=""),"",IF(IF(ISNUMBER($F30),AND(X$2&gt;=$F30,X$2&lt;=IF(ISNUMBER($G30),$G30,$F30+$E30-$D30)),FALSE()),2,IF(AND(X$2&gt;=$D30,X$2&lt;=$E30),1,"")))</f>
        <v/>
      </c>
      <c r="Y30" s="55" t="str">
        <f aca="false">IF(OR(Y$2="",$D30=""),"",IF(IF(ISNUMBER($F30),AND(Y$2&gt;=$F30,Y$2&lt;=IF(ISNUMBER($G30),$G30,$F30+$E30-$D30)),FALSE()),2,IF(AND(Y$2&gt;=$D30,Y$2&lt;=$E30),1,"")))</f>
        <v/>
      </c>
      <c r="Z30" s="55" t="str">
        <f aca="false">IF(OR(Z$2="",$D30=""),"",IF(IF(ISNUMBER($F30),AND(Z$2&gt;=$F30,Z$2&lt;=IF(ISNUMBER($G30),$G30,$F30+$E30-$D30)),FALSE()),2,IF(AND(Z$2&gt;=$D30,Z$2&lt;=$E30),1,"")))</f>
        <v/>
      </c>
      <c r="AA30" s="55" t="str">
        <f aca="false">IF(OR(AA$2="",$D30=""),"",IF(IF(ISNUMBER($F30),AND(AA$2&gt;=$F30,AA$2&lt;=IF(ISNUMBER($G30),$G30,$F30+$E30-$D30)),FALSE()),2,IF(AND(AA$2&gt;=$D30,AA$2&lt;=$E30),1,"")))</f>
        <v/>
      </c>
      <c r="AB30" s="55" t="str">
        <f aca="false">IF(OR(AB$2="",$D30=""),"",IF(IF(ISNUMBER($F30),AND(AB$2&gt;=$F30,AB$2&lt;=IF(ISNUMBER($G30),$G30,$F30+$E30-$D30)),FALSE()),2,IF(AND(AB$2&gt;=$D30,AB$2&lt;=$E30),1,"")))</f>
        <v/>
      </c>
      <c r="AC30" s="55" t="str">
        <f aca="false">IF(OR(AC$2="",$D30=""),"",IF(IF(ISNUMBER($F30),AND(AC$2&gt;=$F30,AC$2&lt;=IF(ISNUMBER($G30),$G30,$F30+$E30-$D30)),FALSE()),2,IF(AND(AC$2&gt;=$D30,AC$2&lt;=$E30),1,"")))</f>
        <v/>
      </c>
      <c r="AD30" s="55" t="str">
        <f aca="false">IF(OR(AD$2="",$D30=""),"",IF(IF(ISNUMBER($F30),AND(AD$2&gt;=$F30,AD$2&lt;=IF(ISNUMBER($G30),$G30,$F30+$E30-$D30)),FALSE()),2,IF(AND(AD$2&gt;=$D30,AD$2&lt;=$E30),1,"")))</f>
        <v/>
      </c>
      <c r="AE30" s="55" t="str">
        <f aca="false">IF(OR(AE$2="",$D30=""),"",IF(IF(ISNUMBER($F30),AND(AE$2&gt;=$F30,AE$2&lt;=IF(ISNUMBER($G30),$G30,$F30+$E30-$D30)),FALSE()),2,IF(AND(AE$2&gt;=$D30,AE$2&lt;=$E30),1,"")))</f>
        <v/>
      </c>
      <c r="AF30" s="55" t="str">
        <f aca="false">IF(OR(AF$2="",$D30=""),"",IF(IF(ISNUMBER($F30),AND(AF$2&gt;=$F30,AF$2&lt;=IF(ISNUMBER($G30),$G30,$F30+$E30-$D30)),FALSE()),2,IF(AND(AF$2&gt;=$D30,AF$2&lt;=$E30),1,"")))</f>
        <v/>
      </c>
      <c r="AG30" s="55" t="str">
        <f aca="false">IF(OR(AG$2="",$D30=""),"",IF(IF(ISNUMBER($F30),AND(AG$2&gt;=$F30,AG$2&lt;=IF(ISNUMBER($G30),$G30,$F30+$E30-$D30)),FALSE()),2,IF(AND(AG$2&gt;=$D30,AG$2&lt;=$E30),1,"")))</f>
        <v/>
      </c>
      <c r="AH30" s="55" t="str">
        <f aca="false">IF(OR(AH$2="",$D30=""),"",IF(IF(ISNUMBER($F30),AND(AH$2&gt;=$F30,AH$2&lt;=IF(ISNUMBER($G30),$G30,$F30+$E30-$D30)),FALSE()),2,IF(AND(AH$2&gt;=$D30,AH$2&lt;=$E30),1,"")))</f>
        <v/>
      </c>
      <c r="AI30" s="55" t="str">
        <f aca="false">IF(OR(AI$2="",$D30=""),"",IF(IF(ISNUMBER($F30),AND(AI$2&gt;=$F30,AI$2&lt;=IF(ISNUMBER($G30),$G30,$F30+$E30-$D30)),FALSE()),2,IF(AND(AI$2&gt;=$D30,AI$2&lt;=$E30),1,"")))</f>
        <v/>
      </c>
      <c r="AJ30" s="55" t="str">
        <f aca="false">IF(OR(AJ$2="",$D30=""),"",IF(IF(ISNUMBER($F30),AND(AJ$2&gt;=$F30,AJ$2&lt;=IF(ISNUMBER($G30),$G30,$F30+$E30-$D30)),FALSE()),2,IF(AND(AJ$2&gt;=$D30,AJ$2&lt;=$E30),1,"")))</f>
        <v/>
      </c>
      <c r="AK30" s="55" t="str">
        <f aca="false">IF(OR(AK$2="",$D30=""),"",IF(IF(ISNUMBER($F30),AND(AK$2&gt;=$F30,AK$2&lt;=IF(ISNUMBER($G30),$G30,$F30+$E30-$D30)),FALSE()),2,IF(AND(AK$2&gt;=$D30,AK$2&lt;=$E30),1,"")))</f>
        <v/>
      </c>
      <c r="AL30" s="55" t="str">
        <f aca="false">IF(OR(AL$2="",$D30=""),"",IF(IF(ISNUMBER($F30),AND(AL$2&gt;=$F30,AL$2&lt;=IF(ISNUMBER($G30),$G30,$F30+$E30-$D30)),FALSE()),2,IF(AND(AL$2&gt;=$D30,AL$2&lt;=$E30),1,"")))</f>
        <v/>
      </c>
      <c r="AM30" s="55" t="str">
        <f aca="false">IF(OR(AM$2="",$D30=""),"",IF(IF(ISNUMBER($F30),AND(AM$2&gt;=$F30,AM$2&lt;=IF(ISNUMBER($G30),$G30,$F30+$E30-$D30)),FALSE()),2,IF(AND(AM$2&gt;=$D30,AM$2&lt;=$E30),1,"")))</f>
        <v/>
      </c>
      <c r="AN30" s="55" t="str">
        <f aca="false">IF(OR(AN$2="",$D30=""),"",IF(IF(ISNUMBER($F30),AND(AN$2&gt;=$F30,AN$2&lt;=IF(ISNUMBER($G30),$G30,$F30+$E30-$D30)),FALSE()),2,IF(AND(AN$2&gt;=$D30,AN$2&lt;=$E30),1,"")))</f>
        <v/>
      </c>
      <c r="AO30" s="55" t="str">
        <f aca="false">IF(OR(AO$2="",$D30=""),"",IF(IF(ISNUMBER($F30),AND(AO$2&gt;=$F30,AO$2&lt;=IF(ISNUMBER($G30),$G30,$F30+$E30-$D30)),FALSE()),2,IF(AND(AO$2&gt;=$D30,AO$2&lt;=$E30),1,"")))</f>
        <v/>
      </c>
      <c r="AP30" s="55" t="str">
        <f aca="false">IF(OR(AP$2="",$D30=""),"",IF(IF(ISNUMBER($F30),AND(AP$2&gt;=$F30,AP$2&lt;=IF(ISNUMBER($G30),$G30,$F30+$E30-$D30)),FALSE()),2,IF(AND(AP$2&gt;=$D30,AP$2&lt;=$E30),1,"")))</f>
        <v/>
      </c>
      <c r="AQ30" s="55" t="str">
        <f aca="false">IF(OR(AQ$2="",$D30=""),"",IF(IF(ISNUMBER($F30),AND(AQ$2&gt;=$F30,AQ$2&lt;=IF(ISNUMBER($G30),$G30,$F30+$E30-$D30)),FALSE()),2,IF(AND(AQ$2&gt;=$D30,AQ$2&lt;=$E30),1,"")))</f>
        <v/>
      </c>
      <c r="AR30" s="55" t="str">
        <f aca="false">IF(OR(AR$2="",$D30=""),"",IF(IF(ISNUMBER($F30),AND(AR$2&gt;=$F30,AR$2&lt;=IF(ISNUMBER($G30),$G30,$F30+$E30-$D30)),FALSE()),2,IF(AND(AR$2&gt;=$D30,AR$2&lt;=$E30),1,"")))</f>
        <v/>
      </c>
      <c r="AS30" s="55" t="str">
        <f aca="false">IF(OR(AS$2="",$D30=""),"",IF(IF(ISNUMBER($F30),AND(AS$2&gt;=$F30,AS$2&lt;=IF(ISNUMBER($G30),$G30,$F30+$E30-$D30)),FALSE()),2,IF(AND(AS$2&gt;=$D30,AS$2&lt;=$E30),1,"")))</f>
        <v/>
      </c>
      <c r="AT30" s="55" t="str">
        <f aca="false">IF(OR(AT$2="",$D30=""),"",IF(IF(ISNUMBER($F30),AND(AT$2&gt;=$F30,AT$2&lt;=IF(ISNUMBER($G30),$G30,$F30+$E30-$D30)),FALSE()),2,IF(AND(AT$2&gt;=$D30,AT$2&lt;=$E30),1,"")))</f>
        <v/>
      </c>
      <c r="AU30" s="55" t="str">
        <f aca="false">IF(OR(AU$2="",$D30=""),"",IF(IF(ISNUMBER($F30),AND(AU$2&gt;=$F30,AU$2&lt;=IF(ISNUMBER($G30),$G30,$F30+$E30-$D30)),FALSE()),2,IF(AND(AU$2&gt;=$D30,AU$2&lt;=$E30),1,"")))</f>
        <v/>
      </c>
      <c r="AV30" s="55" t="str">
        <f aca="false">IF(OR(AV$2="",$D30=""),"",IF(IF(ISNUMBER($F30),AND(AV$2&gt;=$F30,AV$2&lt;=IF(ISNUMBER($G30),$G30,$F30+$E30-$D30)),FALSE()),2,IF(AND(AV$2&gt;=$D30,AV$2&lt;=$E30),1,"")))</f>
        <v/>
      </c>
      <c r="AW30" s="55" t="str">
        <f aca="false">IF(OR(AW$2="",$D30=""),"",IF(IF(ISNUMBER($F30),AND(AW$2&gt;=$F30,AW$2&lt;=IF(ISNUMBER($G30),$G30,$F30+$E30-$D30)),FALSE()),2,IF(AND(AW$2&gt;=$D30,AW$2&lt;=$E30),1,"")))</f>
        <v/>
      </c>
      <c r="AX30" s="55" t="str">
        <f aca="false">IF(OR(AX$2="",$D30=""),"",IF(IF(ISNUMBER($F30),AND(AX$2&gt;=$F30,AX$2&lt;=IF(ISNUMBER($G30),$G30,$F30+$E30-$D30)),FALSE()),2,IF(AND(AX$2&gt;=$D30,AX$2&lt;=$E30),1,"")))</f>
        <v/>
      </c>
      <c r="AY30" s="55" t="str">
        <f aca="false">IF(OR(AY$2="",$D30=""),"",IF(IF(ISNUMBER($F30),AND(AY$2&gt;=$F30,AY$2&lt;=IF(ISNUMBER($G30),$G30,$F30+$E30-$D30)),FALSE()),2,IF(AND(AY$2&gt;=$D30,AY$2&lt;=$E30),1,"")))</f>
        <v/>
      </c>
      <c r="AZ30" s="55" t="str">
        <f aca="false">IF(OR(AZ$2="",$D30=""),"",IF(IF(ISNUMBER($F30),AND(AZ$2&gt;=$F30,AZ$2&lt;=IF(ISNUMBER($G30),$G30,$F30+$E30-$D30)),FALSE()),2,IF(AND(AZ$2&gt;=$D30,AZ$2&lt;=$E30),1,"")))</f>
        <v/>
      </c>
      <c r="BA30" s="55" t="str">
        <f aca="false">IF(OR(BA$2="",$D30=""),"",IF(IF(ISNUMBER($F30),AND(BA$2&gt;=$F30,BA$2&lt;=IF(ISNUMBER($G30),$G30,$F30+$E30-$D30)),FALSE()),2,IF(AND(BA$2&gt;=$D30,BA$2&lt;=$E30),1,"")))</f>
        <v/>
      </c>
      <c r="BB30" s="55" t="str">
        <f aca="false">IF(OR(BB$2="",$D30=""),"",IF(IF(ISNUMBER($F30),AND(BB$2&gt;=$F30,BB$2&lt;=IF(ISNUMBER($G30),$G30,$F30+$E30-$D30)),FALSE()),2,IF(AND(BB$2&gt;=$D30,BB$2&lt;=$E30),1,"")))</f>
        <v/>
      </c>
      <c r="BC30" s="55" t="str">
        <f aca="false">IF(OR(BC$2="",$D30=""),"",IF(IF(ISNUMBER($F30),AND(BC$2&gt;=$F30,BC$2&lt;=IF(ISNUMBER($G30),$G30,$F30+$E30-$D30)),FALSE()),2,IF(AND(BC$2&gt;=$D30,BC$2&lt;=$E30),1,"")))</f>
        <v/>
      </c>
      <c r="BD30" s="55" t="str">
        <f aca="false">IF(OR(BD$2="",$D30=""),"",IF(IF(ISNUMBER($F30),AND(BD$2&gt;=$F30,BD$2&lt;=IF(ISNUMBER($G30),$G30,$F30+$E30-$D30)),FALSE()),2,IF(AND(BD$2&gt;=$D30,BD$2&lt;=$E30),1,"")))</f>
        <v/>
      </c>
      <c r="BE30" s="55" t="str">
        <f aca="false">IF(OR(BE$2="",$D30=""),"",IF(IF(ISNUMBER($F30),AND(BE$2&gt;=$F30,BE$2&lt;=IF(ISNUMBER($G30),$G30,$F30+$E30-$D30)),FALSE()),2,IF(AND(BE$2&gt;=$D30,BE$2&lt;=$E30),1,"")))</f>
        <v/>
      </c>
      <c r="BF30" s="55" t="str">
        <f aca="false">IF(OR(BF$2="",$D30=""),"",IF(IF(ISNUMBER($F30),AND(BF$2&gt;=$F30,BF$2&lt;=IF(ISNUMBER($G30),$G30,$F30+$E30-$D30)),FALSE()),2,IF(AND(BF$2&gt;=$D30,BF$2&lt;=$E30),1,"")))</f>
        <v/>
      </c>
      <c r="BG30" s="55" t="str">
        <f aca="false">IF(OR(BG$2="",$D30=""),"",IF(IF(ISNUMBER($F30),AND(BG$2&gt;=$F30,BG$2&lt;=IF(ISNUMBER($G30),$G30,$F30+$E30-$D30)),FALSE()),2,IF(AND(BG$2&gt;=$D30,BG$2&lt;=$E30),1,"")))</f>
        <v/>
      </c>
      <c r="BH30" s="55" t="str">
        <f aca="false">IF(OR(BH$2="",$D30=""),"",IF(IF(ISNUMBER($F30),AND(BH$2&gt;=$F30,BH$2&lt;=IF(ISNUMBER($G30),$G30,$F30+$E30-$D30)),FALSE()),2,IF(AND(BH$2&gt;=$D30,BH$2&lt;=$E30),1,"")))</f>
        <v/>
      </c>
      <c r="BI30" s="55" t="str">
        <f aca="false">IF(OR(BI$2="",$D30=""),"",IF(IF(ISNUMBER($F30),AND(BI$2&gt;=$F30,BI$2&lt;=IF(ISNUMBER($G30),$G30,$F30+$E30-$D30)),FALSE()),2,IF(AND(BI$2&gt;=$D30,BI$2&lt;=$E30),1,"")))</f>
        <v/>
      </c>
      <c r="BJ30" s="55" t="str">
        <f aca="false">IF(OR(BJ$2="",$D30=""),"",IF(IF(ISNUMBER($F30),AND(BJ$2&gt;=$F30,BJ$2&lt;=IF(ISNUMBER($G30),$G30,$F30+$E30-$D30)),FALSE()),2,IF(AND(BJ$2&gt;=$D30,BJ$2&lt;=$E30),1,"")))</f>
        <v/>
      </c>
      <c r="BK30" s="55" t="str">
        <f aca="false">IF(OR(BK$2="",$D30=""),"",IF(IF(ISNUMBER($F30),AND(BK$2&gt;=$F30,BK$2&lt;=IF(ISNUMBER($G30),$G30,$F30+$E30-$D30)),FALSE()),2,IF(AND(BK$2&gt;=$D30,BK$2&lt;=$E30),1,"")))</f>
        <v/>
      </c>
      <c r="BL30" s="55" t="str">
        <f aca="false">IF(OR(BL$2="",$D30=""),"",IF(IF(ISNUMBER($F30),AND(BL$2&gt;=$F30,BL$2&lt;=IF(ISNUMBER($G30),$G30,$F30+$E30-$D30)),FALSE()),2,IF(AND(BL$2&gt;=$D30,BL$2&lt;=$E30),1,"")))</f>
        <v/>
      </c>
      <c r="BM30" s="55" t="str">
        <f aca="false">IF(OR(BM$2="",$D30=""),"",IF(IF(ISNUMBER($F30),AND(BM$2&gt;=$F30,BM$2&lt;=IF(ISNUMBER($G30),$G30,$F30+$E30-$D30)),FALSE()),2,IF(AND(BM$2&gt;=$D30,BM$2&lt;=$E30),1,"")))</f>
        <v/>
      </c>
      <c r="BN30" s="55" t="str">
        <f aca="false">IF(OR(BN$2="",$D30=""),"",IF(IF(ISNUMBER($F30),AND(BN$2&gt;=$F30,BN$2&lt;=IF(ISNUMBER($G30),$G30,$F30+$E30-$D30)),FALSE()),2,IF(AND(BN$2&gt;=$D30,BN$2&lt;=$E30),1,"")))</f>
        <v/>
      </c>
      <c r="BO30" s="55" t="str">
        <f aca="false">IF(OR(BO$2="",$D30=""),"",IF(IF(ISNUMBER($F30),AND(BO$2&gt;=$F30,BO$2&lt;=IF(ISNUMBER($G30),$G30,$F30+$E30-$D30)),FALSE()),2,IF(AND(BO$2&gt;=$D30,BO$2&lt;=$E30),1,"")))</f>
        <v/>
      </c>
      <c r="BP30" s="55" t="str">
        <f aca="false">IF(OR(BP$2="",$D30=""),"",IF(IF(ISNUMBER($F30),AND(BP$2&gt;=$F30,BP$2&lt;=IF(ISNUMBER($G30),$G30,$F30+$E30-$D30)),FALSE()),2,IF(AND(BP$2&gt;=$D30,BP$2&lt;=$E30),1,"")))</f>
        <v/>
      </c>
      <c r="BQ30" s="55" t="str">
        <f aca="false">IF(OR(BQ$2="",$D30=""),"",IF(IF(ISNUMBER($F30),AND(BQ$2&gt;=$F30,BQ$2&lt;=IF(ISNUMBER($G30),$G30,$F30+$E30-$D30)),FALSE()),2,IF(AND(BQ$2&gt;=$D30,BQ$2&lt;=$E30),1,"")))</f>
        <v/>
      </c>
      <c r="BR30" s="55" t="str">
        <f aca="false">IF(OR(BR$2="",$D30=""),"",IF(IF(ISNUMBER($F30),AND(BR$2&gt;=$F30,BR$2&lt;=IF(ISNUMBER($G30),$G30,$F30+$E30-$D30)),FALSE()),2,IF(AND(BR$2&gt;=$D30,BR$2&lt;=$E30),1,"")))</f>
        <v/>
      </c>
      <c r="BS30" s="55" t="str">
        <f aca="false">IF(OR(BS$2="",$D30=""),"",IF(IF(ISNUMBER($F30),AND(BS$2&gt;=$F30,BS$2&lt;=IF(ISNUMBER($G30),$G30,$F30+$E30-$D30)),FALSE()),2,IF(AND(BS$2&gt;=$D30,BS$2&lt;=$E30),1,"")))</f>
        <v/>
      </c>
      <c r="BT30" s="55" t="str">
        <f aca="false">IF(OR(BT$2="",$D30=""),"",IF(IF(ISNUMBER($F30),AND(BT$2&gt;=$F30,BT$2&lt;=IF(ISNUMBER($G30),$G30,$F30+$E30-$D30)),FALSE()),2,IF(AND(BT$2&gt;=$D30,BT$2&lt;=$E30),1,"")))</f>
        <v/>
      </c>
      <c r="BU30" s="55" t="str">
        <f aca="false">IF(OR(BU$2="",$D30=""),"",IF(IF(ISNUMBER($F30),AND(BU$2&gt;=$F30,BU$2&lt;=IF(ISNUMBER($G30),$G30,$F30+$E30-$D30)),FALSE()),2,IF(AND(BU$2&gt;=$D30,BU$2&lt;=$E30),1,"")))</f>
        <v/>
      </c>
      <c r="BV30" s="55" t="str">
        <f aca="false">IF(OR(BV$2="",$D30=""),"",IF(IF(ISNUMBER($F30),AND(BV$2&gt;=$F30,BV$2&lt;=IF(ISNUMBER($G30),$G30,$F30+$E30-$D30)),FALSE()),2,IF(AND(BV$2&gt;=$D30,BV$2&lt;=$E30),1,"")))</f>
        <v/>
      </c>
      <c r="BW30" s="55" t="str">
        <f aca="false">IF(OR(BW$2="",$D30=""),"",IF(IF(ISNUMBER($F30),AND(BW$2&gt;=$F30,BW$2&lt;=IF(ISNUMBER($G30),$G30,$F30+$E30-$D30)),FALSE()),2,IF(AND(BW$2&gt;=$D30,BW$2&lt;=$E30),1,"")))</f>
        <v/>
      </c>
      <c r="BX30" s="55" t="str">
        <f aca="false">IF(OR(BX$2="",$D30=""),"",IF(IF(ISNUMBER($F30),AND(BX$2&gt;=$F30,BX$2&lt;=IF(ISNUMBER($G30),$G30,$F30+$E30-$D30)),FALSE()),2,IF(AND(BX$2&gt;=$D30,BX$2&lt;=$E30),1,"")))</f>
        <v/>
      </c>
      <c r="BY30" s="55" t="str">
        <f aca="false">IF(OR(BY$2="",$D30=""),"",IF(IF(ISNUMBER($F30),AND(BY$2&gt;=$F30,BY$2&lt;=IF(ISNUMBER($G30),$G30,$F30+$E30-$D30)),FALSE()),2,IF(AND(BY$2&gt;=$D30,BY$2&lt;=$E30),1,"")))</f>
        <v/>
      </c>
      <c r="BZ30" s="55" t="str">
        <f aca="false">IF(OR(BZ$2="",$D30=""),"",IF(IF(ISNUMBER($F30),AND(BZ$2&gt;=$F30,BZ$2&lt;=IF(ISNUMBER($G30),$G30,$F30+$E30-$D30)),FALSE()),2,IF(AND(BZ$2&gt;=$D30,BZ$2&lt;=$E30),1,"")))</f>
        <v/>
      </c>
      <c r="CA30" s="55" t="str">
        <f aca="false">IF(OR(CA$2="",$D30=""),"",IF(IF(ISNUMBER($F30),AND(CA$2&gt;=$F30,CA$2&lt;=IF(ISNUMBER($G30),$G30,$F30+$E30-$D30)),FALSE()),2,IF(AND(CA$2&gt;=$D30,CA$2&lt;=$E30),1,"")))</f>
        <v/>
      </c>
      <c r="CB30" s="55" t="str">
        <f aca="false">IF(OR(CB$2="",$D30=""),"",IF(IF(ISNUMBER($F30),AND(CB$2&gt;=$F30,CB$2&lt;=IF(ISNUMBER($G30),$G30,$F30+$E30-$D30)),FALSE()),2,IF(AND(CB$2&gt;=$D30,CB$2&lt;=$E30),1,"")))</f>
        <v/>
      </c>
      <c r="CC30" s="55" t="str">
        <f aca="false">IF(OR(CC$2="",$D30=""),"",IF(IF(ISNUMBER($F30),AND(CC$2&gt;=$F30,CC$2&lt;=IF(ISNUMBER($G30),$G30,$F30+$E30-$D30)),FALSE()),2,IF(AND(CC$2&gt;=$D30,CC$2&lt;=$E30),1,"")))</f>
        <v/>
      </c>
      <c r="CD30" s="55" t="str">
        <f aca="false">IF(OR(CD$2="",$D30=""),"",IF(IF(ISNUMBER($F30),AND(CD$2&gt;=$F30,CD$2&lt;=IF(ISNUMBER($G30),$G30,$F30+$E30-$D30)),FALSE()),2,IF(AND(CD$2&gt;=$D30,CD$2&lt;=$E30),1,"")))</f>
        <v/>
      </c>
      <c r="CE30" s="55" t="str">
        <f aca="false">IF(OR(CE$2="",$D30=""),"",IF(IF(ISNUMBER($F30),AND(CE$2&gt;=$F30,CE$2&lt;=IF(ISNUMBER($G30),$G30,$F30+$E30-$D30)),FALSE()),2,IF(AND(CE$2&gt;=$D30,CE$2&lt;=$E30),1,"")))</f>
        <v/>
      </c>
      <c r="CF30" s="55" t="str">
        <f aca="false">IF(OR(CF$2="",$D30=""),"",IF(IF(ISNUMBER($F30),AND(CF$2&gt;=$F30,CF$2&lt;=IF(ISNUMBER($G30),$G30,$F30+$E30-$D30)),FALSE()),2,IF(AND(CF$2&gt;=$D30,CF$2&lt;=$E30),1,"")))</f>
        <v/>
      </c>
      <c r="CG30" s="55" t="str">
        <f aca="false">IF(OR(CG$2="",$D30=""),"",IF(IF(ISNUMBER($F30),AND(CG$2&gt;=$F30,CG$2&lt;=IF(ISNUMBER($G30),$G30,$F30+$E30-$D30)),FALSE()),2,IF(AND(CG$2&gt;=$D30,CG$2&lt;=$E30),1,"")))</f>
        <v/>
      </c>
      <c r="CH30" s="55" t="str">
        <f aca="false">IF(OR(CH$2="",$D30=""),"",IF(IF(ISNUMBER($F30),AND(CH$2&gt;=$F30,CH$2&lt;=IF(ISNUMBER($G30),$G30,$F30+$E30-$D30)),FALSE()),2,IF(AND(CH$2&gt;=$D30,CH$2&lt;=$E30),1,"")))</f>
        <v/>
      </c>
      <c r="CI30" s="55" t="str">
        <f aca="false">IF(OR(CI$2="",$D30=""),"",IF(IF(ISNUMBER($F30),AND(CI$2&gt;=$F30,CI$2&lt;=IF(ISNUMBER($G30),$G30,$F30+$E30-$D30)),FALSE()),2,IF(AND(CI$2&gt;=$D30,CI$2&lt;=$E30),1,"")))</f>
        <v/>
      </c>
      <c r="CJ30" s="55" t="str">
        <f aca="false">IF(OR(CJ$2="",$D30=""),"",IF(IF(ISNUMBER($F30),AND(CJ$2&gt;=$F30,CJ$2&lt;=IF(ISNUMBER($G30),$G30,$F30+$E30-$D30)),FALSE()),2,IF(AND(CJ$2&gt;=$D30,CJ$2&lt;=$E30),1,"")))</f>
        <v/>
      </c>
      <c r="CK30" s="55" t="str">
        <f aca="false">IF(OR(CK$2="",$D30=""),"",IF(IF(ISNUMBER($F30),AND(CK$2&gt;=$F30,CK$2&lt;=IF(ISNUMBER($G30),$G30,$F30+$E30-$D30)),FALSE()),2,IF(AND(CK$2&gt;=$D30,CK$2&lt;=$E30),1,"")))</f>
        <v/>
      </c>
      <c r="CL30" s="55" t="str">
        <f aca="false">IF(OR(CL$2="",$D30=""),"",IF(IF(ISNUMBER($F30),AND(CL$2&gt;=$F30,CL$2&lt;=IF(ISNUMBER($G30),$G30,$F30+$E30-$D30)),FALSE()),2,IF(AND(CL$2&gt;=$D30,CL$2&lt;=$E30),1,"")))</f>
        <v/>
      </c>
      <c r="CM30" s="55" t="str">
        <f aca="false">IF(OR(CM$2="",$D30=""),"",IF(IF(ISNUMBER($F30),AND(CM$2&gt;=$F30,CM$2&lt;=IF(ISNUMBER($G30),$G30,$F30+$E30-$D30)),FALSE()),2,IF(AND(CM$2&gt;=$D30,CM$2&lt;=$E30),1,"")))</f>
        <v/>
      </c>
      <c r="CN30" s="55" t="str">
        <f aca="false">IF(OR(CN$2="",$D30=""),"",IF(IF(ISNUMBER($F30),AND(CN$2&gt;=$F30,CN$2&lt;=IF(ISNUMBER($G30),$G30,$F30+$E30-$D30)),FALSE()),2,IF(AND(CN$2&gt;=$D30,CN$2&lt;=$E30),1,"")))</f>
        <v/>
      </c>
      <c r="CO30" s="55" t="str">
        <f aca="false">IF(OR(CO$2="",$D30=""),"",IF(IF(ISNUMBER($F30),AND(CO$2&gt;=$F30,CO$2&lt;=IF(ISNUMBER($G30),$G30,$F30+$E30-$D30)),FALSE()),2,IF(AND(CO$2&gt;=$D30,CO$2&lt;=$E30),1,"")))</f>
        <v/>
      </c>
      <c r="CP30" s="55" t="str">
        <f aca="false">IF(OR(CP$2="",$D30=""),"",IF(IF(ISNUMBER($F30),AND(CP$2&gt;=$F30,CP$2&lt;=IF(ISNUMBER($G30),$G30,$F30+$E30-$D30)),FALSE()),2,IF(AND(CP$2&gt;=$D30,CP$2&lt;=$E30),1,"")))</f>
        <v/>
      </c>
      <c r="CQ30" s="55" t="str">
        <f aca="false">IF(OR(CQ$2="",$D30=""),"",IF(IF(ISNUMBER($F30),AND(CQ$2&gt;=$F30,CQ$2&lt;=IF(ISNUMBER($G30),$G30,$F30+$E30-$D30)),FALSE()),2,IF(AND(CQ$2&gt;=$D30,CQ$2&lt;=$E30),1,"")))</f>
        <v/>
      </c>
      <c r="CR30" s="55" t="str">
        <f aca="false">IF(OR(CR$2="",$D30=""),"",IF(IF(ISNUMBER($F30),AND(CR$2&gt;=$F30,CR$2&lt;=IF(ISNUMBER($G30),$G30,$F30+$E30-$D30)),FALSE()),2,IF(AND(CR$2&gt;=$D30,CR$2&lt;=$E30),1,"")))</f>
        <v/>
      </c>
      <c r="CS30" s="55" t="str">
        <f aca="false">IF(OR(CS$2="",$D30=""),"",IF(IF(ISNUMBER($F30),AND(CS$2&gt;=$F30,CS$2&lt;=IF(ISNUMBER($G30),$G30,$F30+$E30-$D30)),FALSE()),2,IF(AND(CS$2&gt;=$D30,CS$2&lt;=$E30),1,"")))</f>
        <v/>
      </c>
      <c r="CT30" s="55" t="str">
        <f aca="false">IF(OR(CT$2="",$D30=""),"",IF(IF(ISNUMBER($F30),AND(CT$2&gt;=$F30,CT$2&lt;=IF(ISNUMBER($G30),$G30,$F30+$E30-$D30)),FALSE()),2,IF(AND(CT$2&gt;=$D30,CT$2&lt;=$E30),1,"")))</f>
        <v/>
      </c>
      <c r="CU30" s="55" t="str">
        <f aca="false">IF(OR(CU$2="",$D30=""),"",IF(IF(ISNUMBER($F30),AND(CU$2&gt;=$F30,CU$2&lt;=IF(ISNUMBER($G30),$G30,$F30+$E30-$D30)),FALSE()),2,IF(AND(CU$2&gt;=$D30,CU$2&lt;=$E30),1,"")))</f>
        <v/>
      </c>
      <c r="CV30" s="55" t="str">
        <f aca="false">IF(OR(CV$2="",$D30=""),"",IF(IF(ISNUMBER($F30),AND(CV$2&gt;=$F30,CV$2&lt;=IF(ISNUMBER($G30),$G30,$F30+$E30-$D30)),FALSE()),2,IF(AND(CV$2&gt;=$D30,CV$2&lt;=$E30),1,"")))</f>
        <v/>
      </c>
      <c r="CW30" s="55" t="str">
        <f aca="false">IF(OR(CW$2="",$D30=""),"",IF(IF(ISNUMBER($F30),AND(CW$2&gt;=$F30,CW$2&lt;=IF(ISNUMBER($G30),$G30,$F30+$E30-$D30)),FALSE()),2,IF(AND(CW$2&gt;=$D30,CW$2&lt;=$E30),1,"")))</f>
        <v/>
      </c>
      <c r="CX30" s="55" t="str">
        <f aca="false">IF(OR(CX$2="",$D30=""),"",IF(IF(ISNUMBER($F30),AND(CX$2&gt;=$F30,CX$2&lt;=IF(ISNUMBER($G30),$G30,$F30+$E30-$D30)),FALSE()),2,IF(AND(CX$2&gt;=$D30,CX$2&lt;=$E30),1,"")))</f>
        <v/>
      </c>
      <c r="CY30" s="55" t="str">
        <f aca="false">IF(OR(CY$2="",$D30=""),"",IF(IF(ISNUMBER($F30),AND(CY$2&gt;=$F30,CY$2&lt;=IF(ISNUMBER($G30),$G30,$F30+$E30-$D30)),FALSE()),2,IF(AND(CY$2&gt;=$D30,CY$2&lt;=$E30),1,"")))</f>
        <v/>
      </c>
      <c r="CZ30" s="55" t="str">
        <f aca="false">IF(OR(CZ$2="",$D30=""),"",IF(IF(ISNUMBER($F30),AND(CZ$2&gt;=$F30,CZ$2&lt;=IF(ISNUMBER($G30),$G30,$F30+$E30-$D30)),FALSE()),2,IF(AND(CZ$2&gt;=$D30,CZ$2&lt;=$E30),1,"")))</f>
        <v/>
      </c>
      <c r="DA30" s="55" t="str">
        <f aca="false">IF(OR(DA$2="",$D30=""),"",IF(IF(ISNUMBER($F30),AND(DA$2&gt;=$F30,DA$2&lt;=IF(ISNUMBER($G30),$G30,$F30+$E30-$D30)),FALSE()),2,IF(AND(DA$2&gt;=$D30,DA$2&lt;=$E30),1,"")))</f>
        <v/>
      </c>
      <c r="DB30" s="55" t="str">
        <f aca="false">IF(OR(DB$2="",$D30=""),"",IF(IF(ISNUMBER($F30),AND(DB$2&gt;=$F30,DB$2&lt;=IF(ISNUMBER($G30),$G30,$F30+$E30-$D30)),FALSE()),2,IF(AND(DB$2&gt;=$D30,DB$2&lt;=$E30),1,"")))</f>
        <v/>
      </c>
      <c r="DC30" s="55" t="str">
        <f aca="false">IF(OR(DC$2="",$D30=""),"",IF(IF(ISNUMBER($F30),AND(DC$2&gt;=$F30,DC$2&lt;=IF(ISNUMBER($G30),$G30,$F30+$E30-$D30)),FALSE()),2,IF(AND(DC$2&gt;=$D30,DC$2&lt;=$E30),1,"")))</f>
        <v/>
      </c>
      <c r="DD30" s="55" t="str">
        <f aca="false">IF(OR(DD$2="",$D30=""),"",IF(IF(ISNUMBER($F30),AND(DD$2&gt;=$F30,DD$2&lt;=IF(ISNUMBER($G30),$G30,$F30+$E30-$D30)),FALSE()),2,IF(AND(DD$2&gt;=$D30,DD$2&lt;=$E30),1,"")))</f>
        <v/>
      </c>
      <c r="DE30" s="55" t="str">
        <f aca="false">IF(OR(DE$2="",$D30=""),"",IF(IF(ISNUMBER($F30),AND(DE$2&gt;=$F30,DE$2&lt;=IF(ISNUMBER($G30),$G30,$F30+$E30-$D30)),FALSE()),2,IF(AND(DE$2&gt;=$D30,DE$2&lt;=$E30),1,"")))</f>
        <v/>
      </c>
      <c r="DF30" s="55" t="str">
        <f aca="false">IF(OR(DF$2="",$D30=""),"",IF(IF(ISNUMBER($F30),AND(DF$2&gt;=$F30,DF$2&lt;=IF(ISNUMBER($G30),$G30,$F30+$E30-$D30)),FALSE()),2,IF(AND(DF$2&gt;=$D30,DF$2&lt;=$E30),1,"")))</f>
        <v/>
      </c>
      <c r="DG30" s="55" t="str">
        <f aca="false">IF(OR(DG$2="",$D30=""),"",IF(IF(ISNUMBER($F30),AND(DG$2&gt;=$F30,DG$2&lt;=IF(ISNUMBER($G30),$G30,$F30+$E30-$D30)),FALSE()),2,IF(AND(DG$2&gt;=$D30,DG$2&lt;=$E30),1,"")))</f>
        <v/>
      </c>
      <c r="DH30" s="55" t="str">
        <f aca="false">IF(OR(DH$2="",$D30=""),"",IF(IF(ISNUMBER($F30),AND(DH$2&gt;=$F30,DH$2&lt;=IF(ISNUMBER($G30),$G30,$F30+$E30-$D30)),FALSE()),2,IF(AND(DH$2&gt;=$D30,DH$2&lt;=$E30),1,"")))</f>
        <v/>
      </c>
      <c r="DI30" s="55" t="str">
        <f aca="false">IF(OR(DI$2="",$D30=""),"",IF(IF(ISNUMBER($F30),AND(DI$2&gt;=$F30,DI$2&lt;=IF(ISNUMBER($G30),$G30,$F30+$E30-$D30)),FALSE()),2,IF(AND(DI$2&gt;=$D30,DI$2&lt;=$E30),1,"")))</f>
        <v/>
      </c>
      <c r="DJ30" s="55" t="str">
        <f aca="false">IF(OR(DJ$2="",$D30=""),"",IF(IF(ISNUMBER($F30),AND(DJ$2&gt;=$F30,DJ$2&lt;=IF(ISNUMBER($G30),$G30,$F30+$E30-$D30)),FALSE()),2,IF(AND(DJ$2&gt;=$D30,DJ$2&lt;=$E30),1,"")))</f>
        <v/>
      </c>
      <c r="DK30" s="55" t="str">
        <f aca="false">IF(OR(DK$2="",$D30=""),"",IF(IF(ISNUMBER($F30),AND(DK$2&gt;=$F30,DK$2&lt;=IF(ISNUMBER($G30),$G30,$F30+$E30-$D30)),FALSE()),2,IF(AND(DK$2&gt;=$D30,DK$2&lt;=$E30),1,"")))</f>
        <v/>
      </c>
      <c r="DL30" s="55" t="str">
        <f aca="false">IF(OR(DL$2="",$D30=""),"",IF(IF(ISNUMBER($F30),AND(DL$2&gt;=$F30,DL$2&lt;=IF(ISNUMBER($G30),$G30,$F30+$E30-$D30)),FALSE()),2,IF(AND(DL$2&gt;=$D30,DL$2&lt;=$E30),1,"")))</f>
        <v/>
      </c>
      <c r="DM30" s="55" t="str">
        <f aca="false">IF(OR(DM$2="",$D30=""),"",IF(IF(ISNUMBER($F30),AND(DM$2&gt;=$F30,DM$2&lt;=IF(ISNUMBER($G30),$G30,$F30+$E30-$D30)),FALSE()),2,IF(AND(DM$2&gt;=$D30,DM$2&lt;=$E30),1,"")))</f>
        <v/>
      </c>
      <c r="DN30" s="55" t="str">
        <f aca="false">IF(OR(DN$2="",$D30=""),"",IF(IF(ISNUMBER($F30),AND(DN$2&gt;=$F30,DN$2&lt;=IF(ISNUMBER($G30),$G30,$F30+$E30-$D30)),FALSE()),2,IF(AND(DN$2&gt;=$D30,DN$2&lt;=$E30),1,"")))</f>
        <v/>
      </c>
      <c r="DO30" s="55" t="str">
        <f aca="false">IF(OR(DO$2="",$D30=""),"",IF(IF(ISNUMBER($F30),AND(DO$2&gt;=$F30,DO$2&lt;=IF(ISNUMBER($G30),$G30,$F30+$E30-$D30)),FALSE()),2,IF(AND(DO$2&gt;=$D30,DO$2&lt;=$E30),1,"")))</f>
        <v/>
      </c>
      <c r="DP30" s="55" t="str">
        <f aca="false">IF(OR(DP$2="",$D30=""),"",IF(IF(ISNUMBER($F30),AND(DP$2&gt;=$F30,DP$2&lt;=IF(ISNUMBER($G30),$G30,$F30+$E30-$D30)),FALSE()),2,IF(AND(DP$2&gt;=$D30,DP$2&lt;=$E30),1,"")))</f>
        <v/>
      </c>
      <c r="DQ30" s="55" t="str">
        <f aca="false">IF(OR(DQ$2="",$D30=""),"",IF(IF(ISNUMBER($F30),AND(DQ$2&gt;=$F30,DQ$2&lt;=IF(ISNUMBER($G30),$G30,$F30+$E30-$D30)),FALSE()),2,IF(AND(DQ$2&gt;=$D30,DQ$2&lt;=$E30),1,"")))</f>
        <v/>
      </c>
      <c r="DR30" s="55" t="str">
        <f aca="false">IF(OR(DR$2="",$D30=""),"",IF(IF(ISNUMBER($F30),AND(DR$2&gt;=$F30,DR$2&lt;=IF(ISNUMBER($G30),$G30,$F30+$E30-$D30)),FALSE()),2,IF(AND(DR$2&gt;=$D30,DR$2&lt;=$E30),1,"")))</f>
        <v/>
      </c>
      <c r="DS30" s="55" t="str">
        <f aca="false">IF(OR(DS$2="",$D30=""),"",IF(IF(ISNUMBER($F30),AND(DS$2&gt;=$F30,DS$2&lt;=IF(ISNUMBER($G30),$G30,$F30+$E30-$D30)),FALSE()),2,IF(AND(DS$2&gt;=$D30,DS$2&lt;=$E30),1,"")))</f>
        <v/>
      </c>
      <c r="DT30" s="55" t="str">
        <f aca="false">IF(OR(DT$2="",$D30=""),"",IF(IF(ISNUMBER($F30),AND(DT$2&gt;=$F30,DT$2&lt;=IF(ISNUMBER($G30),$G30,$F30+$E30-$D30)),FALSE()),2,IF(AND(DT$2&gt;=$D30,DT$2&lt;=$E30),1,"")))</f>
        <v/>
      </c>
      <c r="DU30" s="55" t="str">
        <f aca="false">IF(OR(DU$2="",$D30=""),"",IF(IF(ISNUMBER($F30),AND(DU$2&gt;=$F30,DU$2&lt;=IF(ISNUMBER($G30),$G30,$F30+$E30-$D30)),FALSE()),2,IF(AND(DU$2&gt;=$D30,DU$2&lt;=$E30),1,"")))</f>
        <v/>
      </c>
      <c r="DV30" s="55" t="str">
        <f aca="false">IF(OR(DV$2="",$D30=""),"",IF(IF(ISNUMBER($F30),AND(DV$2&gt;=$F30,DV$2&lt;=IF(ISNUMBER($G30),$G30,$F30+$E30-$D30)),FALSE()),2,IF(AND(DV$2&gt;=$D30,DV$2&lt;=$E30),1,"")))</f>
        <v/>
      </c>
      <c r="DW30" s="55" t="str">
        <f aca="false">IF(OR(DW$2="",$D30=""),"",IF(IF(ISNUMBER($F30),AND(DW$2&gt;=$F30,DW$2&lt;=IF(ISNUMBER($G30),$G30,$F30+$E30-$D30)),FALSE()),2,IF(AND(DW$2&gt;=$D30,DW$2&lt;=$E30),1,"")))</f>
        <v/>
      </c>
      <c r="DX30" s="55" t="str">
        <f aca="false">IF(OR(DX$2="",$D30=""),"",IF(IF(ISNUMBER($F30),AND(DX$2&gt;=$F30,DX$2&lt;=IF(ISNUMBER($G30),$G30,$F30+$E30-$D30)),FALSE()),2,IF(AND(DX$2&gt;=$D30,DX$2&lt;=$E30),1,"")))</f>
        <v/>
      </c>
      <c r="DY30" s="55" t="str">
        <f aca="false">IF(OR(DY$2="",$D30=""),"",IF(IF(ISNUMBER($F30),AND(DY$2&gt;=$F30,DY$2&lt;=IF(ISNUMBER($G30),$G30,$F30+$E30-$D30)),FALSE()),2,IF(AND(DY$2&gt;=$D30,DY$2&lt;=$E30),1,"")))</f>
        <v/>
      </c>
      <c r="DZ30" s="55" t="str">
        <f aca="false">IF(OR(DZ$2="",$D30=""),"",IF(IF(ISNUMBER($F30),AND(DZ$2&gt;=$F30,DZ$2&lt;=IF(ISNUMBER($G30),$G30,$F30+$E30-$D30)),FALSE()),2,IF(AND(DZ$2&gt;=$D30,DZ$2&lt;=$E30),1,"")))</f>
        <v/>
      </c>
      <c r="EA30" s="55" t="str">
        <f aca="false">IF(OR(EA$2="",$D30=""),"",IF(IF(ISNUMBER($F30),AND(EA$2&gt;=$F30,EA$2&lt;=IF(ISNUMBER($G30),$G30,$F30+$E30-$D30)),FALSE()),2,IF(AND(EA$2&gt;=$D30,EA$2&lt;=$E30),1,"")))</f>
        <v/>
      </c>
      <c r="EB30" s="55" t="str">
        <f aca="false">IF(OR(EB$2="",$D30=""),"",IF(IF(ISNUMBER($F30),AND(EB$2&gt;=$F30,EB$2&lt;=IF(ISNUMBER($G30),$G30,$F30+$E30-$D30)),FALSE()),2,IF(AND(EB$2&gt;=$D30,EB$2&lt;=$E30),1,"")))</f>
        <v/>
      </c>
      <c r="EC30" s="55" t="str">
        <f aca="false">IF(OR(EC$2="",$D30=""),"",IF(IF(ISNUMBER($F30),AND(EC$2&gt;=$F30,EC$2&lt;=IF(ISNUMBER($G30),$G30,$F30+$E30-$D30)),FALSE()),2,IF(AND(EC$2&gt;=$D30,EC$2&lt;=$E30),1,"")))</f>
        <v/>
      </c>
      <c r="ED30" s="55" t="str">
        <f aca="false">IF(OR(ED$2="",$D30=""),"",IF(IF(ISNUMBER($F30),AND(ED$2&gt;=$F30,ED$2&lt;=IF(ISNUMBER($G30),$G30,$F30+$E30-$D30)),FALSE()),2,IF(AND(ED$2&gt;=$D30,ED$2&lt;=$E30),1,"")))</f>
        <v/>
      </c>
      <c r="EE30" s="55" t="str">
        <f aca="false">IF(OR(EE$2="",$D30=""),"",IF(IF(ISNUMBER($F30),AND(EE$2&gt;=$F30,EE$2&lt;=IF(ISNUMBER($G30),$G30,$F30+$E30-$D30)),FALSE()),2,IF(AND(EE$2&gt;=$D30,EE$2&lt;=$E30),1,"")))</f>
        <v/>
      </c>
      <c r="EF30" s="55" t="str">
        <f aca="false">IF(OR(EF$2="",$D30=""),"",IF(IF(ISNUMBER($F30),AND(EF$2&gt;=$F30,EF$2&lt;=IF(ISNUMBER($G30),$G30,$F30+$E30-$D30)),FALSE()),2,IF(AND(EF$2&gt;=$D30,EF$2&lt;=$E30),1,"")))</f>
        <v/>
      </c>
      <c r="EG30" s="55" t="str">
        <f aca="false">IF(OR(EG$2="",$D30=""),"",IF(IF(ISNUMBER($F30),AND(EG$2&gt;=$F30,EG$2&lt;=IF(ISNUMBER($G30),$G30,$F30+$E30-$D30)),FALSE()),2,IF(AND(EG$2&gt;=$D30,EG$2&lt;=$E30),1,"")))</f>
        <v/>
      </c>
      <c r="EH30" s="55" t="str">
        <f aca="false">IF(OR(EH$2="",$D30=""),"",IF(IF(ISNUMBER($F30),AND(EH$2&gt;=$F30,EH$2&lt;=IF(ISNUMBER($G30),$G30,$F30+$E30-$D30)),FALSE()),2,IF(AND(EH$2&gt;=$D30,EH$2&lt;=$E30),1,"")))</f>
        <v/>
      </c>
      <c r="EI30" s="55" t="str">
        <f aca="false">IF(OR(EI$2="",$D30=""),"",IF(IF(ISNUMBER($F30),AND(EI$2&gt;=$F30,EI$2&lt;=IF(ISNUMBER($G30),$G30,$F30+$E30-$D30)),FALSE()),2,IF(AND(EI$2&gt;=$D30,EI$2&lt;=$E30),1,"")))</f>
        <v/>
      </c>
      <c r="EJ30" s="55" t="str">
        <f aca="false">IF(OR(EJ$2="",$D30=""),"",IF(IF(ISNUMBER($F30),AND(EJ$2&gt;=$F30,EJ$2&lt;=IF(ISNUMBER($G30),$G30,$F30+$E30-$D30)),FALSE()),2,IF(AND(EJ$2&gt;=$D30,EJ$2&lt;=$E30),1,"")))</f>
        <v/>
      </c>
      <c r="EK30" s="55" t="str">
        <f aca="false">IF(OR(EK$2="",$D30=""),"",IF(IF(ISNUMBER($F30),AND(EK$2&gt;=$F30,EK$2&lt;=IF(ISNUMBER($G30),$G30,$F30+$E30-$D30)),FALSE()),2,IF(AND(EK$2&gt;=$D30,EK$2&lt;=$E30),1,"")))</f>
        <v/>
      </c>
      <c r="EL30" s="55" t="str">
        <f aca="false">IF(OR(EL$2="",$D30=""),"",IF(IF(ISNUMBER($F30),AND(EL$2&gt;=$F30,EL$2&lt;=IF(ISNUMBER($G30),$G30,$F30+$E30-$D30)),FALSE()),2,IF(AND(EL$2&gt;=$D30,EL$2&lt;=$E30),1,"")))</f>
        <v/>
      </c>
      <c r="EM30" s="55" t="str">
        <f aca="false">IF(OR(EM$2="",$D30=""),"",IF(IF(ISNUMBER($F30),AND(EM$2&gt;=$F30,EM$2&lt;=IF(ISNUMBER($G30),$G30,$F30+$E30-$D30)),FALSE()),2,IF(AND(EM$2&gt;=$D30,EM$2&lt;=$E30),1,"")))</f>
        <v/>
      </c>
      <c r="EN30" s="55" t="str">
        <f aca="false">IF(OR(EN$2="",$D30=""),"",IF(IF(ISNUMBER($F30),AND(EN$2&gt;=$F30,EN$2&lt;=IF(ISNUMBER($G30),$G30,$F30+$E30-$D30)),FALSE()),2,IF(AND(EN$2&gt;=$D30,EN$2&lt;=$E30),1,"")))</f>
        <v/>
      </c>
      <c r="EO30" s="55" t="str">
        <f aca="false">IF(OR(EO$2="",$D30=""),"",IF(IF(ISNUMBER($F30),AND(EO$2&gt;=$F30,EO$2&lt;=IF(ISNUMBER($G30),$G30,$F30+$E30-$D30)),FALSE()),2,IF(AND(EO$2&gt;=$D30,EO$2&lt;=$E30),1,"")))</f>
        <v/>
      </c>
      <c r="EP30" s="55" t="str">
        <f aca="false">IF(OR(EP$2="",$D30=""),"",IF(IF(ISNUMBER($F30),AND(EP$2&gt;=$F30,EP$2&lt;=IF(ISNUMBER($G30),$G30,$F30+$E30-$D30)),FALSE()),2,IF(AND(EP$2&gt;=$D30,EP$2&lt;=$E30),1,"")))</f>
        <v/>
      </c>
      <c r="EQ30" s="55" t="str">
        <f aca="false">IF(OR(EQ$2="",$D30=""),"",IF(IF(ISNUMBER($F30),AND(EQ$2&gt;=$F30,EQ$2&lt;=IF(ISNUMBER($G30),$G30,$F30+$E30-$D30)),FALSE()),2,IF(AND(EQ$2&gt;=$D30,EQ$2&lt;=$E30),1,"")))</f>
        <v/>
      </c>
      <c r="ER30" s="55" t="str">
        <f aca="false">IF(OR(ER$2="",$D30=""),"",IF(IF(ISNUMBER($F30),AND(ER$2&gt;=$F30,ER$2&lt;=IF(ISNUMBER($G30),$G30,$F30+$E30-$D30)),FALSE()),2,IF(AND(ER$2&gt;=$D30,ER$2&lt;=$E30),1,"")))</f>
        <v/>
      </c>
      <c r="ES30" s="55" t="str">
        <f aca="false">IF(OR(ES$2="",$D30=""),"",IF(IF(ISNUMBER($F30),AND(ES$2&gt;=$F30,ES$2&lt;=IF(ISNUMBER($G30),$G30,$F30+$E30-$D30)),FALSE()),2,IF(AND(ES$2&gt;=$D30,ES$2&lt;=$E30),1,"")))</f>
        <v/>
      </c>
      <c r="ET30" s="55" t="str">
        <f aca="false">IF(OR(ET$2="",$D30=""),"",IF(IF(ISNUMBER($F30),AND(ET$2&gt;=$F30,ET$2&lt;=IF(ISNUMBER($G30),$G30,$F30+$E30-$D30)),FALSE()),2,IF(AND(ET$2&gt;=$D30,ET$2&lt;=$E30),1,"")))</f>
        <v/>
      </c>
      <c r="EU30" s="55" t="str">
        <f aca="false">IF(OR(EU$2="",$D30=""),"",IF(IF(ISNUMBER($F30),AND(EU$2&gt;=$F30,EU$2&lt;=IF(ISNUMBER($G30),$G30,$F30+$E30-$D30)),FALSE()),2,IF(AND(EU$2&gt;=$D30,EU$2&lt;=$E30),1,"")))</f>
        <v/>
      </c>
      <c r="EV30" s="55" t="str">
        <f aca="false">IF(OR(EV$2="",$D30=""),"",IF(IF(ISNUMBER($F30),AND(EV$2&gt;=$F30,EV$2&lt;=IF(ISNUMBER($G30),$G30,$F30+$E30-$D30)),FALSE()),2,IF(AND(EV$2&gt;=$D30,EV$2&lt;=$E30),1,"")))</f>
        <v/>
      </c>
      <c r="EW30" s="55" t="str">
        <f aca="false">IF(OR(EW$2="",$D30=""),"",IF(IF(ISNUMBER($F30),AND(EW$2&gt;=$F30,EW$2&lt;=IF(ISNUMBER($G30),$G30,$F30+$E30-$D30)),FALSE()),2,IF(AND(EW$2&gt;=$D30,EW$2&lt;=$E30),1,"")))</f>
        <v/>
      </c>
      <c r="EX30" s="55" t="str">
        <f aca="false">IF(OR(EX$2="",$D30=""),"",IF(IF(ISNUMBER($F30),AND(EX$2&gt;=$F30,EX$2&lt;=IF(ISNUMBER($G30),$G30,$F30+$E30-$D30)),FALSE()),2,IF(AND(EX$2&gt;=$D30,EX$2&lt;=$E30),1,"")))</f>
        <v/>
      </c>
      <c r="EY30" s="55" t="str">
        <f aca="false">IF(OR(EY$2="",$D30=""),"",IF(IF(ISNUMBER($F30),AND(EY$2&gt;=$F30,EY$2&lt;=IF(ISNUMBER($G30),$G30,$F30+$E30-$D30)),FALSE()),2,IF(AND(EY$2&gt;=$D30,EY$2&lt;=$E30),1,"")))</f>
        <v/>
      </c>
      <c r="EZ30" s="55" t="str">
        <f aca="false">IF(OR(EZ$2="",$D30=""),"",IF(IF(ISNUMBER($F30),AND(EZ$2&gt;=$F30,EZ$2&lt;=IF(ISNUMBER($G30),$G30,$F30+$E30-$D30)),FALSE()),2,IF(AND(EZ$2&gt;=$D30,EZ$2&lt;=$E30),1,"")))</f>
        <v/>
      </c>
      <c r="FA30" s="55" t="str">
        <f aca="false">IF(OR(FA$2="",$D30=""),"",IF(IF(ISNUMBER($F30),AND(FA$2&gt;=$F30,FA$2&lt;=IF(ISNUMBER($G30),$G30,$F30+$E30-$D30)),FALSE()),2,IF(AND(FA$2&gt;=$D30,FA$2&lt;=$E30),1,"")))</f>
        <v/>
      </c>
      <c r="FB30" s="55" t="str">
        <f aca="false">IF(OR(FB$2="",$D30=""),"",IF(IF(ISNUMBER($F30),AND(FB$2&gt;=$F30,FB$2&lt;=IF(ISNUMBER($G30),$G30,$F30+$E30-$D30)),FALSE()),2,IF(AND(FB$2&gt;=$D30,FB$2&lt;=$E30),1,"")))</f>
        <v/>
      </c>
      <c r="FC30" s="55" t="str">
        <f aca="false">IF(OR(FC$2="",$D30=""),"",IF(IF(ISNUMBER($F30),AND(FC$2&gt;=$F30,FC$2&lt;=IF(ISNUMBER($G30),$G30,$F30+$E30-$D30)),FALSE()),2,IF(AND(FC$2&gt;=$D30,FC$2&lt;=$E30),1,"")))</f>
        <v/>
      </c>
      <c r="FD30" s="55" t="str">
        <f aca="false">IF(OR(FD$2="",$D30=""),"",IF(IF(ISNUMBER($F30),AND(FD$2&gt;=$F30,FD$2&lt;=IF(ISNUMBER($G30),$G30,$F30+$E30-$D30)),FALSE()),2,IF(AND(FD$2&gt;=$D30,FD$2&lt;=$E30),1,"")))</f>
        <v/>
      </c>
      <c r="FE30" s="55" t="str">
        <f aca="false">IF(OR(FE$2="",$D30=""),"",IF(IF(ISNUMBER($F30),AND(FE$2&gt;=$F30,FE$2&lt;=IF(ISNUMBER($G30),$G30,$F30+$E30-$D30)),FALSE()),2,IF(AND(FE$2&gt;=$D30,FE$2&lt;=$E30),1,"")))</f>
        <v/>
      </c>
      <c r="FF30" s="55" t="str">
        <f aca="false">IF(OR(FF$2="",$D30=""),"",IF(IF(ISNUMBER($F30),AND(FF$2&gt;=$F30,FF$2&lt;=IF(ISNUMBER($G30),$G30,$F30+$E30-$D30)),FALSE()),2,IF(AND(FF$2&gt;=$D30,FF$2&lt;=$E30),1,"")))</f>
        <v/>
      </c>
      <c r="FG30" s="55" t="str">
        <f aca="false">IF(OR(FG$2="",$D30=""),"",IF(IF(ISNUMBER($F30),AND(FG$2&gt;=$F30,FG$2&lt;=IF(ISNUMBER($G30),$G30,$F30+$E30-$D30)),FALSE()),2,IF(AND(FG$2&gt;=$D30,FG$2&lt;=$E30),1,"")))</f>
        <v/>
      </c>
      <c r="FH30" s="55" t="str">
        <f aca="false">IF(OR(FH$2="",$D30=""),"",IF(IF(ISNUMBER($F30),AND(FH$2&gt;=$F30,FH$2&lt;=IF(ISNUMBER($G30),$G30,$F30+$E30-$D30)),FALSE()),2,IF(AND(FH$2&gt;=$D30,FH$2&lt;=$E30),1,"")))</f>
        <v/>
      </c>
      <c r="FI30" s="55" t="str">
        <f aca="false">IF(OR(FI$2="",$D30=""),"",IF(IF(ISNUMBER($F30),AND(FI$2&gt;=$F30,FI$2&lt;=IF(ISNUMBER($G30),$G30,$F30+$E30-$D30)),FALSE()),2,IF(AND(FI$2&gt;=$D30,FI$2&lt;=$E30),1,"")))</f>
        <v/>
      </c>
      <c r="FJ30" s="55" t="str">
        <f aca="false">IF(OR(FJ$2="",$D30=""),"",IF(IF(ISNUMBER($F30),AND(FJ$2&gt;=$F30,FJ$2&lt;=IF(ISNUMBER($G30),$G30,$F30+$E30-$D30)),FALSE()),2,IF(AND(FJ$2&gt;=$D30,FJ$2&lt;=$E30),1,"")))</f>
        <v/>
      </c>
      <c r="FK30" s="55" t="str">
        <f aca="false">IF(OR(FK$2="",$D30=""),"",IF(IF(ISNUMBER($F30),AND(FK$2&gt;=$F30,FK$2&lt;=IF(ISNUMBER($G30),$G30,$F30+$E30-$D30)),FALSE()),2,IF(AND(FK$2&gt;=$D30,FK$2&lt;=$E30),1,"")))</f>
        <v/>
      </c>
      <c r="FL30" s="55" t="str">
        <f aca="false">IF(OR(FL$2="",$D30=""),"",IF(IF(ISNUMBER($F30),AND(FL$2&gt;=$F30,FL$2&lt;=IF(ISNUMBER($G30),$G30,$F30+$E30-$D30)),FALSE()),2,IF(AND(FL$2&gt;=$D30,FL$2&lt;=$E30),1,"")))</f>
        <v/>
      </c>
      <c r="FM30" s="55" t="str">
        <f aca="false">IF(OR(FM$2="",$D30=""),"",IF(IF(ISNUMBER($F30),AND(FM$2&gt;=$F30,FM$2&lt;=IF(ISNUMBER($G30),$G30,$F30+$E30-$D30)),FALSE()),2,IF(AND(FM$2&gt;=$D30,FM$2&lt;=$E30),1,"")))</f>
        <v/>
      </c>
      <c r="FN30" s="55" t="str">
        <f aca="false">IF(OR(FN$2="",$D30=""),"",IF(IF(ISNUMBER($F30),AND(FN$2&gt;=$F30,FN$2&lt;=IF(ISNUMBER($G30),$G30,$F30+$E30-$D30)),FALSE()),2,IF(AND(FN$2&gt;=$D30,FN$2&lt;=$E30),1,"")))</f>
        <v/>
      </c>
      <c r="FO30" s="55" t="str">
        <f aca="false">IF(OR(FO$2="",$D30=""),"",IF(IF(ISNUMBER($F30),AND(FO$2&gt;=$F30,FO$2&lt;=IF(ISNUMBER($G30),$G30,$F30+$E30-$D30)),FALSE()),2,IF(AND(FO$2&gt;=$D30,FO$2&lt;=$E30),1,"")))</f>
        <v/>
      </c>
      <c r="FP30" s="55" t="str">
        <f aca="false">IF(OR(FP$2="",$D30=""),"",IF(IF(ISNUMBER($F30),AND(FP$2&gt;=$F30,FP$2&lt;=IF(ISNUMBER($G30),$G30,$F30+$E30-$D30)),FALSE()),2,IF(AND(FP$2&gt;=$D30,FP$2&lt;=$E30),1,"")))</f>
        <v/>
      </c>
      <c r="FQ30" s="55" t="str">
        <f aca="false">IF(OR(FQ$2="",$D30=""),"",IF(IF(ISNUMBER($F30),AND(FQ$2&gt;=$F30,FQ$2&lt;=IF(ISNUMBER($G30),$G30,$F30+$E30-$D30)),FALSE()),2,IF(AND(FQ$2&gt;=$D30,FQ$2&lt;=$E30),1,"")))</f>
        <v/>
      </c>
      <c r="FR30" s="55" t="str">
        <f aca="false">IF(OR(FR$2="",$D30=""),"",IF(IF(ISNUMBER($F30),AND(FR$2&gt;=$F30,FR$2&lt;=IF(ISNUMBER($G30),$G30,$F30+$E30-$D30)),FALSE()),2,IF(AND(FR$2&gt;=$D30,FR$2&lt;=$E30),1,"")))</f>
        <v/>
      </c>
      <c r="FS30" s="55" t="str">
        <f aca="false">IF(OR(FS$2="",$D30=""),"",IF(IF(ISNUMBER($F30),AND(FS$2&gt;=$F30,FS$2&lt;=IF(ISNUMBER($G30),$G30,$F30+$E30-$D30)),FALSE()),2,IF(AND(FS$2&gt;=$D30,FS$2&lt;=$E30),1,"")))</f>
        <v/>
      </c>
      <c r="FT30" s="55" t="str">
        <f aca="false">IF(OR(FT$2="",$D30=""),"",IF(IF(ISNUMBER($F30),AND(FT$2&gt;=$F30,FT$2&lt;=IF(ISNUMBER($G30),$G30,$F30+$E30-$D30)),FALSE()),2,IF(AND(FT$2&gt;=$D30,FT$2&lt;=$E30),1,"")))</f>
        <v/>
      </c>
      <c r="FU30" s="55" t="str">
        <f aca="false">IF(OR(FU$2="",$D30=""),"",IF(IF(ISNUMBER($F30),AND(FU$2&gt;=$F30,FU$2&lt;=IF(ISNUMBER($G30),$G30,$F30+$E30-$D30)),FALSE()),2,IF(AND(FU$2&gt;=$D30,FU$2&lt;=$E30),1,"")))</f>
        <v/>
      </c>
      <c r="FV30" s="55" t="str">
        <f aca="false">IF(OR(FV$2="",$D30=""),"",IF(IF(ISNUMBER($F30),AND(FV$2&gt;=$F30,FV$2&lt;=IF(ISNUMBER($G30),$G30,$F30+$E30-$D30)),FALSE()),2,IF(AND(FV$2&gt;=$D30,FV$2&lt;=$E30),1,"")))</f>
        <v/>
      </c>
      <c r="FW30" s="55" t="str">
        <f aca="false">IF(OR(FW$2="",$D30=""),"",IF(IF(ISNUMBER($F30),AND(FW$2&gt;=$F30,FW$2&lt;=IF(ISNUMBER($G30),$G30,$F30+$E30-$D30)),FALSE()),2,IF(AND(FW$2&gt;=$D30,FW$2&lt;=$E30),1,"")))</f>
        <v/>
      </c>
      <c r="FX30" s="55" t="str">
        <f aca="false">IF(OR(FX$2="",$D30=""),"",IF(IF(ISNUMBER($F30),AND(FX$2&gt;=$F30,FX$2&lt;=IF(ISNUMBER($G30),$G30,$F30+$E30-$D30)),FALSE()),2,IF(AND(FX$2&gt;=$D30,FX$2&lt;=$E30),1,"")))</f>
        <v/>
      </c>
      <c r="FY30" s="55" t="str">
        <f aca="false">IF(OR(FY$2="",$D30=""),"",IF(IF(ISNUMBER($F30),AND(FY$2&gt;=$F30,FY$2&lt;=IF(ISNUMBER($G30),$G30,$F30+$E30-$D30)),FALSE()),2,IF(AND(FY$2&gt;=$D30,FY$2&lt;=$E30),1,"")))</f>
        <v/>
      </c>
      <c r="FZ30" s="55" t="str">
        <f aca="false">IF(OR(FZ$2="",$D30=""),"",IF(IF(ISNUMBER($F30),AND(FZ$2&gt;=$F30,FZ$2&lt;=IF(ISNUMBER($G30),$G30,$F30+$E30-$D30)),FALSE()),2,IF(AND(FZ$2&gt;=$D30,FZ$2&lt;=$E30),1,"")))</f>
        <v/>
      </c>
      <c r="GA30" s="55" t="str">
        <f aca="false">IF(OR(GA$2="",$D30=""),"",IF(IF(ISNUMBER($F30),AND(GA$2&gt;=$F30,GA$2&lt;=IF(ISNUMBER($G30),$G30,$F30+$E30-$D30)),FALSE()),2,IF(AND(GA$2&gt;=$D30,GA$2&lt;=$E30),1,"")))</f>
        <v/>
      </c>
      <c r="GB30" s="55" t="str">
        <f aca="false">IF(OR(GB$2="",$D30=""),"",IF(IF(ISNUMBER($F30),AND(GB$2&gt;=$F30,GB$2&lt;=IF(ISNUMBER($G30),$G30,$F30+$E30-$D30)),FALSE()),2,IF(AND(GB$2&gt;=$D30,GB$2&lt;=$E30),1,"")))</f>
        <v/>
      </c>
      <c r="GC30" s="55" t="str">
        <f aca="false">IF(OR(GC$2="",$D30=""),"",IF(IF(ISNUMBER($F30),AND(GC$2&gt;=$F30,GC$2&lt;=IF(ISNUMBER($G30),$G30,$F30+$E30-$D30)),FALSE()),2,IF(AND(GC$2&gt;=$D30,GC$2&lt;=$E30),1,"")))</f>
        <v/>
      </c>
      <c r="GD30" s="55" t="str">
        <f aca="false">IF(OR(GD$2="",$D30=""),"",IF(IF(ISNUMBER($F30),AND(GD$2&gt;=$F30,GD$2&lt;=IF(ISNUMBER($G30),$G30,$F30+$E30-$D30)),FALSE()),2,IF(AND(GD$2&gt;=$D30,GD$2&lt;=$E30),1,"")))</f>
        <v/>
      </c>
      <c r="GE30" s="55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false" outlineLevel="0" collapsed="false">
      <c r="A31" s="54" t="s">
        <v>364</v>
      </c>
      <c r="B31" s="21" t="s">
        <v>365</v>
      </c>
      <c r="C31" s="21" t="s">
        <v>328</v>
      </c>
      <c r="D31" s="51" t="n">
        <f aca="false">IF(D8="","",D8)</f>
        <v>46025</v>
      </c>
      <c r="E31" s="51" t="n">
        <f aca="false">IF(D31="","",D31)</f>
        <v>46025</v>
      </c>
      <c r="F31" s="51" t="str">
        <f aca="false">IF(_xlfn.MINIFS(2_Daily_input!$D$1:$FQ$1,2_Daily_input!$D$73:$FQ$73,"Puddling")+_xlfn.MINIFS(2_Daily_input!$D$1:$FQ$1,2_Daily_input!$D$74:$FQ$74,"Puddling")=0,"",IF(_xlfn.MINIFS(2_Daily_input!$D$1:$FQ$1,2_Daily_input!$D$73:$FQ$73,"Puddling")=0,_xlfn.MINIFS(2_Daily_input!$D$1:$FQ$1,2_Daily_input!$D$74:$FQ$74,"Puddling"),IF(_xlfn.MINIFS(2_Daily_input!$D$1:$FQ$1,2_Daily_input!$D$74:$FQ$74,"Puddling")=0,_xlfn.MINIFS(2_Daily_input!$D$1:$FQ$1,2_Daily_input!$D$73:$FQ$73,"Puddling"),MIN(_xlfn.MINIFS(2_Daily_input!$D$1:$FQ$1,2_Daily_input!$D$73:$FQ$73,"Puddling"),_xlfn.MINIFS(2_Daily_input!$D$1:$FQ$1,2_Daily_input!$D$74:$FQ$74,"Puddling")))))</f>
        <v/>
      </c>
      <c r="G31" s="51" t="str">
        <f aca="false">""</f>
        <v/>
      </c>
      <c r="H31" s="50" t="str">
        <f aca="true">IF(D31="","no plan",IF(F31&lt;&gt;"",IF(F31-D31&gt;=2,"LATE","OK"),IF(TODAY()&gt;D31+2,"OVERDUE","upcoming")))</f>
        <v>OVERDUE</v>
      </c>
      <c r="I31" s="50" t="str">
        <f aca="false">IF(AND(D31&lt;&gt;"",F31&lt;&gt;""),F31-D31,"")</f>
        <v/>
      </c>
      <c r="J31" s="51" t="n">
        <f aca="false">IF(F31&lt;&gt;"",F31,D31)</f>
        <v>46025</v>
      </c>
      <c r="K31" s="51" t="n">
        <f aca="false">IF(G31&lt;&gt;"",G31,IF(AND(F31&lt;&gt;"",E31=D31),F31,E31))</f>
        <v>46025</v>
      </c>
      <c r="L31" s="50" t="str">
        <f aca="true">IF(AND(D31&lt;&gt;"",F31="",D31&gt;=TODAY()),D31+ROW()/1000,"")</f>
        <v/>
      </c>
      <c r="M31" s="55" t="str">
        <f aca="false">IF(OR(M$2="",$D31=""),"",IF(IF(ISNUMBER($F31),AND(M$2&gt;=$F31,M$2&lt;=IF(ISNUMBER($G31),$G31,$F31+$E31-$D31)),FALSE()),2,IF(AND(M$2&gt;=$D31,M$2&lt;=$E31),1,"")))</f>
        <v/>
      </c>
      <c r="N31" s="55" t="str">
        <f aca="false">IF(OR(N$2="",$D31=""),"",IF(IF(ISNUMBER($F31),AND(N$2&gt;=$F31,N$2&lt;=IF(ISNUMBER($G31),$G31,$F31+$E31-$D31)),FALSE()),2,IF(AND(N$2&gt;=$D31,N$2&lt;=$E31),1,"")))</f>
        <v/>
      </c>
      <c r="O31" s="55" t="str">
        <f aca="false">IF(OR(O$2="",$D31=""),"",IF(IF(ISNUMBER($F31),AND(O$2&gt;=$F31,O$2&lt;=IF(ISNUMBER($G31),$G31,$F31+$E31-$D31)),FALSE()),2,IF(AND(O$2&gt;=$D31,O$2&lt;=$E31),1,"")))</f>
        <v/>
      </c>
      <c r="P31" s="55" t="str">
        <f aca="false">IF(OR(P$2="",$D31=""),"",IF(IF(ISNUMBER($F31),AND(P$2&gt;=$F31,P$2&lt;=IF(ISNUMBER($G31),$G31,$F31+$E31-$D31)),FALSE()),2,IF(AND(P$2&gt;=$D31,P$2&lt;=$E31),1,"")))</f>
        <v/>
      </c>
      <c r="Q31" s="55" t="str">
        <f aca="false">IF(OR(Q$2="",$D31=""),"",IF(IF(ISNUMBER($F31),AND(Q$2&gt;=$F31,Q$2&lt;=IF(ISNUMBER($G31),$G31,$F31+$E31-$D31)),FALSE()),2,IF(AND(Q$2&gt;=$D31,Q$2&lt;=$E31),1,"")))</f>
        <v/>
      </c>
      <c r="R31" s="55" t="str">
        <f aca="false">IF(OR(R$2="",$D31=""),"",IF(IF(ISNUMBER($F31),AND(R$2&gt;=$F31,R$2&lt;=IF(ISNUMBER($G31),$G31,$F31+$E31-$D31)),FALSE()),2,IF(AND(R$2&gt;=$D31,R$2&lt;=$E31),1,"")))</f>
        <v/>
      </c>
      <c r="S31" s="55" t="str">
        <f aca="false">IF(OR(S$2="",$D31=""),"",IF(IF(ISNUMBER($F31),AND(S$2&gt;=$F31,S$2&lt;=IF(ISNUMBER($G31),$G31,$F31+$E31-$D31)),FALSE()),2,IF(AND(S$2&gt;=$D31,S$2&lt;=$E31),1,"")))</f>
        <v/>
      </c>
      <c r="T31" s="55" t="str">
        <f aca="false">IF(OR(T$2="",$D31=""),"",IF(IF(ISNUMBER($F31),AND(T$2&gt;=$F31,T$2&lt;=IF(ISNUMBER($G31),$G31,$F31+$E31-$D31)),FALSE()),2,IF(AND(T$2&gt;=$D31,T$2&lt;=$E31),1,"")))</f>
        <v/>
      </c>
      <c r="U31" s="55" t="str">
        <f aca="false">IF(OR(U$2="",$D31=""),"",IF(IF(ISNUMBER($F31),AND(U$2&gt;=$F31,U$2&lt;=IF(ISNUMBER($G31),$G31,$F31+$E31-$D31)),FALSE()),2,IF(AND(U$2&gt;=$D31,U$2&lt;=$E31),1,"")))</f>
        <v/>
      </c>
      <c r="V31" s="55" t="str">
        <f aca="false">IF(OR(V$2="",$D31=""),"",IF(IF(ISNUMBER($F31),AND(V$2&gt;=$F31,V$2&lt;=IF(ISNUMBER($G31),$G31,$F31+$E31-$D31)),FALSE()),2,IF(AND(V$2&gt;=$D31,V$2&lt;=$E31),1,"")))</f>
        <v/>
      </c>
      <c r="W31" s="55" t="str">
        <f aca="false">IF(OR(W$2="",$D31=""),"",IF(IF(ISNUMBER($F31),AND(W$2&gt;=$F31,W$2&lt;=IF(ISNUMBER($G31),$G31,$F31+$E31-$D31)),FALSE()),2,IF(AND(W$2&gt;=$D31,W$2&lt;=$E31),1,"")))</f>
        <v/>
      </c>
      <c r="X31" s="55" t="str">
        <f aca="false">IF(OR(X$2="",$D31=""),"",IF(IF(ISNUMBER($F31),AND(X$2&gt;=$F31,X$2&lt;=IF(ISNUMBER($G31),$G31,$F31+$E31-$D31)),FALSE()),2,IF(AND(X$2&gt;=$D31,X$2&lt;=$E31),1,"")))</f>
        <v/>
      </c>
      <c r="Y31" s="55" t="str">
        <f aca="false">IF(OR(Y$2="",$D31=""),"",IF(IF(ISNUMBER($F31),AND(Y$2&gt;=$F31,Y$2&lt;=IF(ISNUMBER($G31),$G31,$F31+$E31-$D31)),FALSE()),2,IF(AND(Y$2&gt;=$D31,Y$2&lt;=$E31),1,"")))</f>
        <v/>
      </c>
      <c r="Z31" s="55" t="str">
        <f aca="false">IF(OR(Z$2="",$D31=""),"",IF(IF(ISNUMBER($F31),AND(Z$2&gt;=$F31,Z$2&lt;=IF(ISNUMBER($G31),$G31,$F31+$E31-$D31)),FALSE()),2,IF(AND(Z$2&gt;=$D31,Z$2&lt;=$E31),1,"")))</f>
        <v/>
      </c>
      <c r="AA31" s="55" t="str">
        <f aca="false">IF(OR(AA$2="",$D31=""),"",IF(IF(ISNUMBER($F31),AND(AA$2&gt;=$F31,AA$2&lt;=IF(ISNUMBER($G31),$G31,$F31+$E31-$D31)),FALSE()),2,IF(AND(AA$2&gt;=$D31,AA$2&lt;=$E31),1,"")))</f>
        <v/>
      </c>
      <c r="AB31" s="55" t="str">
        <f aca="false">IF(OR(AB$2="",$D31=""),"",IF(IF(ISNUMBER($F31),AND(AB$2&gt;=$F31,AB$2&lt;=IF(ISNUMBER($G31),$G31,$F31+$E31-$D31)),FALSE()),2,IF(AND(AB$2&gt;=$D31,AB$2&lt;=$E31),1,"")))</f>
        <v/>
      </c>
      <c r="AC31" s="55" t="str">
        <f aca="false">IF(OR(AC$2="",$D31=""),"",IF(IF(ISNUMBER($F31),AND(AC$2&gt;=$F31,AC$2&lt;=IF(ISNUMBER($G31),$G31,$F31+$E31-$D31)),FALSE()),2,IF(AND(AC$2&gt;=$D31,AC$2&lt;=$E31),1,"")))</f>
        <v/>
      </c>
      <c r="AD31" s="55" t="str">
        <f aca="false">IF(OR(AD$2="",$D31=""),"",IF(IF(ISNUMBER($F31),AND(AD$2&gt;=$F31,AD$2&lt;=IF(ISNUMBER($G31),$G31,$F31+$E31-$D31)),FALSE()),2,IF(AND(AD$2&gt;=$D31,AD$2&lt;=$E31),1,"")))</f>
        <v/>
      </c>
      <c r="AE31" s="55" t="str">
        <f aca="false">IF(OR(AE$2="",$D31=""),"",IF(IF(ISNUMBER($F31),AND(AE$2&gt;=$F31,AE$2&lt;=IF(ISNUMBER($G31),$G31,$F31+$E31-$D31)),FALSE()),2,IF(AND(AE$2&gt;=$D31,AE$2&lt;=$E31),1,"")))</f>
        <v/>
      </c>
      <c r="AF31" s="55" t="str">
        <f aca="false">IF(OR(AF$2="",$D31=""),"",IF(IF(ISNUMBER($F31),AND(AF$2&gt;=$F31,AF$2&lt;=IF(ISNUMBER($G31),$G31,$F31+$E31-$D31)),FALSE()),2,IF(AND(AF$2&gt;=$D31,AF$2&lt;=$E31),1,"")))</f>
        <v/>
      </c>
      <c r="AG31" s="55" t="str">
        <f aca="false">IF(OR(AG$2="",$D31=""),"",IF(IF(ISNUMBER($F31),AND(AG$2&gt;=$F31,AG$2&lt;=IF(ISNUMBER($G31),$G31,$F31+$E31-$D31)),FALSE()),2,IF(AND(AG$2&gt;=$D31,AG$2&lt;=$E31),1,"")))</f>
        <v/>
      </c>
      <c r="AH31" s="55" t="str">
        <f aca="false">IF(OR(AH$2="",$D31=""),"",IF(IF(ISNUMBER($F31),AND(AH$2&gt;=$F31,AH$2&lt;=IF(ISNUMBER($G31),$G31,$F31+$E31-$D31)),FALSE()),2,IF(AND(AH$2&gt;=$D31,AH$2&lt;=$E31),1,"")))</f>
        <v/>
      </c>
      <c r="AI31" s="55" t="str">
        <f aca="false">IF(OR(AI$2="",$D31=""),"",IF(IF(ISNUMBER($F31),AND(AI$2&gt;=$F31,AI$2&lt;=IF(ISNUMBER($G31),$G31,$F31+$E31-$D31)),FALSE()),2,IF(AND(AI$2&gt;=$D31,AI$2&lt;=$E31),1,"")))</f>
        <v/>
      </c>
      <c r="AJ31" s="55" t="str">
        <f aca="false">IF(OR(AJ$2="",$D31=""),"",IF(IF(ISNUMBER($F31),AND(AJ$2&gt;=$F31,AJ$2&lt;=IF(ISNUMBER($G31),$G31,$F31+$E31-$D31)),FALSE()),2,IF(AND(AJ$2&gt;=$D31,AJ$2&lt;=$E31),1,"")))</f>
        <v/>
      </c>
      <c r="AK31" s="55" t="str">
        <f aca="false">IF(OR(AK$2="",$D31=""),"",IF(IF(ISNUMBER($F31),AND(AK$2&gt;=$F31,AK$2&lt;=IF(ISNUMBER($G31),$G31,$F31+$E31-$D31)),FALSE()),2,IF(AND(AK$2&gt;=$D31,AK$2&lt;=$E31),1,"")))</f>
        <v/>
      </c>
      <c r="AL31" s="55" t="str">
        <f aca="false">IF(OR(AL$2="",$D31=""),"",IF(IF(ISNUMBER($F31),AND(AL$2&gt;=$F31,AL$2&lt;=IF(ISNUMBER($G31),$G31,$F31+$E31-$D31)),FALSE()),2,IF(AND(AL$2&gt;=$D31,AL$2&lt;=$E31),1,"")))</f>
        <v/>
      </c>
      <c r="AM31" s="55" t="str">
        <f aca="false">IF(OR(AM$2="",$D31=""),"",IF(IF(ISNUMBER($F31),AND(AM$2&gt;=$F31,AM$2&lt;=IF(ISNUMBER($G31),$G31,$F31+$E31-$D31)),FALSE()),2,IF(AND(AM$2&gt;=$D31,AM$2&lt;=$E31),1,"")))</f>
        <v/>
      </c>
      <c r="AN31" s="55" t="str">
        <f aca="false">IF(OR(AN$2="",$D31=""),"",IF(IF(ISNUMBER($F31),AND(AN$2&gt;=$F31,AN$2&lt;=IF(ISNUMBER($G31),$G31,$F31+$E31-$D31)),FALSE()),2,IF(AND(AN$2&gt;=$D31,AN$2&lt;=$E31),1,"")))</f>
        <v/>
      </c>
      <c r="AO31" s="55" t="str">
        <f aca="false">IF(OR(AO$2="",$D31=""),"",IF(IF(ISNUMBER($F31),AND(AO$2&gt;=$F31,AO$2&lt;=IF(ISNUMBER($G31),$G31,$F31+$E31-$D31)),FALSE()),2,IF(AND(AO$2&gt;=$D31,AO$2&lt;=$E31),1,"")))</f>
        <v/>
      </c>
      <c r="AP31" s="55" t="str">
        <f aca="false">IF(OR(AP$2="",$D31=""),"",IF(IF(ISNUMBER($F31),AND(AP$2&gt;=$F31,AP$2&lt;=IF(ISNUMBER($G31),$G31,$F31+$E31-$D31)),FALSE()),2,IF(AND(AP$2&gt;=$D31,AP$2&lt;=$E31),1,"")))</f>
        <v/>
      </c>
      <c r="AQ31" s="55" t="str">
        <f aca="false">IF(OR(AQ$2="",$D31=""),"",IF(IF(ISNUMBER($F31),AND(AQ$2&gt;=$F31,AQ$2&lt;=IF(ISNUMBER($G31),$G31,$F31+$E31-$D31)),FALSE()),2,IF(AND(AQ$2&gt;=$D31,AQ$2&lt;=$E31),1,"")))</f>
        <v/>
      </c>
      <c r="AR31" s="55" t="str">
        <f aca="false">IF(OR(AR$2="",$D31=""),"",IF(IF(ISNUMBER($F31),AND(AR$2&gt;=$F31,AR$2&lt;=IF(ISNUMBER($G31),$G31,$F31+$E31-$D31)),FALSE()),2,IF(AND(AR$2&gt;=$D31,AR$2&lt;=$E31),1,"")))</f>
        <v/>
      </c>
      <c r="AS31" s="55" t="str">
        <f aca="false">IF(OR(AS$2="",$D31=""),"",IF(IF(ISNUMBER($F31),AND(AS$2&gt;=$F31,AS$2&lt;=IF(ISNUMBER($G31),$G31,$F31+$E31-$D31)),FALSE()),2,IF(AND(AS$2&gt;=$D31,AS$2&lt;=$E31),1,"")))</f>
        <v/>
      </c>
      <c r="AT31" s="55" t="str">
        <f aca="false">IF(OR(AT$2="",$D31=""),"",IF(IF(ISNUMBER($F31),AND(AT$2&gt;=$F31,AT$2&lt;=IF(ISNUMBER($G31),$G31,$F31+$E31-$D31)),FALSE()),2,IF(AND(AT$2&gt;=$D31,AT$2&lt;=$E31),1,"")))</f>
        <v/>
      </c>
      <c r="AU31" s="55" t="str">
        <f aca="false">IF(OR(AU$2="",$D31=""),"",IF(IF(ISNUMBER($F31),AND(AU$2&gt;=$F31,AU$2&lt;=IF(ISNUMBER($G31),$G31,$F31+$E31-$D31)),FALSE()),2,IF(AND(AU$2&gt;=$D31,AU$2&lt;=$E31),1,"")))</f>
        <v/>
      </c>
      <c r="AV31" s="55" t="str">
        <f aca="false">IF(OR(AV$2="",$D31=""),"",IF(IF(ISNUMBER($F31),AND(AV$2&gt;=$F31,AV$2&lt;=IF(ISNUMBER($G31),$G31,$F31+$E31-$D31)),FALSE()),2,IF(AND(AV$2&gt;=$D31,AV$2&lt;=$E31),1,"")))</f>
        <v/>
      </c>
      <c r="AW31" s="55" t="str">
        <f aca="false">IF(OR(AW$2="",$D31=""),"",IF(IF(ISNUMBER($F31),AND(AW$2&gt;=$F31,AW$2&lt;=IF(ISNUMBER($G31),$G31,$F31+$E31-$D31)),FALSE()),2,IF(AND(AW$2&gt;=$D31,AW$2&lt;=$E31),1,"")))</f>
        <v/>
      </c>
      <c r="AX31" s="55" t="str">
        <f aca="false">IF(OR(AX$2="",$D31=""),"",IF(IF(ISNUMBER($F31),AND(AX$2&gt;=$F31,AX$2&lt;=IF(ISNUMBER($G31),$G31,$F31+$E31-$D31)),FALSE()),2,IF(AND(AX$2&gt;=$D31,AX$2&lt;=$E31),1,"")))</f>
        <v/>
      </c>
      <c r="AY31" s="55" t="str">
        <f aca="false">IF(OR(AY$2="",$D31=""),"",IF(IF(ISNUMBER($F31),AND(AY$2&gt;=$F31,AY$2&lt;=IF(ISNUMBER($G31),$G31,$F31+$E31-$D31)),FALSE()),2,IF(AND(AY$2&gt;=$D31,AY$2&lt;=$E31),1,"")))</f>
        <v/>
      </c>
      <c r="AZ31" s="55" t="n">
        <f aca="false">IF(OR(AZ$2="",$D31=""),"",IF(IF(ISNUMBER($F31),AND(AZ$2&gt;=$F31,AZ$2&lt;=IF(ISNUMBER($G31),$G31,$F31+$E31-$D31)),FALSE()),2,IF(AND(AZ$2&gt;=$D31,AZ$2&lt;=$E31),1,"")))</f>
        <v>1</v>
      </c>
      <c r="BA31" s="55" t="str">
        <f aca="false">IF(OR(BA$2="",$D31=""),"",IF(IF(ISNUMBER($F31),AND(BA$2&gt;=$F31,BA$2&lt;=IF(ISNUMBER($G31),$G31,$F31+$E31-$D31)),FALSE()),2,IF(AND(BA$2&gt;=$D31,BA$2&lt;=$E31),1,"")))</f>
        <v/>
      </c>
      <c r="BB31" s="55" t="str">
        <f aca="false">IF(OR(BB$2="",$D31=""),"",IF(IF(ISNUMBER($F31),AND(BB$2&gt;=$F31,BB$2&lt;=IF(ISNUMBER($G31),$G31,$F31+$E31-$D31)),FALSE()),2,IF(AND(BB$2&gt;=$D31,BB$2&lt;=$E31),1,"")))</f>
        <v/>
      </c>
      <c r="BC31" s="55" t="str">
        <f aca="false">IF(OR(BC$2="",$D31=""),"",IF(IF(ISNUMBER($F31),AND(BC$2&gt;=$F31,BC$2&lt;=IF(ISNUMBER($G31),$G31,$F31+$E31-$D31)),FALSE()),2,IF(AND(BC$2&gt;=$D31,BC$2&lt;=$E31),1,"")))</f>
        <v/>
      </c>
      <c r="BD31" s="55" t="str">
        <f aca="false">IF(OR(BD$2="",$D31=""),"",IF(IF(ISNUMBER($F31),AND(BD$2&gt;=$F31,BD$2&lt;=IF(ISNUMBER($G31),$G31,$F31+$E31-$D31)),FALSE()),2,IF(AND(BD$2&gt;=$D31,BD$2&lt;=$E31),1,"")))</f>
        <v/>
      </c>
      <c r="BE31" s="55" t="str">
        <f aca="false">IF(OR(BE$2="",$D31=""),"",IF(IF(ISNUMBER($F31),AND(BE$2&gt;=$F31,BE$2&lt;=IF(ISNUMBER($G31),$G31,$F31+$E31-$D31)),FALSE()),2,IF(AND(BE$2&gt;=$D31,BE$2&lt;=$E31),1,"")))</f>
        <v/>
      </c>
      <c r="BF31" s="55" t="str">
        <f aca="false">IF(OR(BF$2="",$D31=""),"",IF(IF(ISNUMBER($F31),AND(BF$2&gt;=$F31,BF$2&lt;=IF(ISNUMBER($G31),$G31,$F31+$E31-$D31)),FALSE()),2,IF(AND(BF$2&gt;=$D31,BF$2&lt;=$E31),1,"")))</f>
        <v/>
      </c>
      <c r="BG31" s="55" t="str">
        <f aca="false">IF(OR(BG$2="",$D31=""),"",IF(IF(ISNUMBER($F31),AND(BG$2&gt;=$F31,BG$2&lt;=IF(ISNUMBER($G31),$G31,$F31+$E31-$D31)),FALSE()),2,IF(AND(BG$2&gt;=$D31,BG$2&lt;=$E31),1,"")))</f>
        <v/>
      </c>
      <c r="BH31" s="55" t="str">
        <f aca="false">IF(OR(BH$2="",$D31=""),"",IF(IF(ISNUMBER($F31),AND(BH$2&gt;=$F31,BH$2&lt;=IF(ISNUMBER($G31),$G31,$F31+$E31-$D31)),FALSE()),2,IF(AND(BH$2&gt;=$D31,BH$2&lt;=$E31),1,"")))</f>
        <v/>
      </c>
      <c r="BI31" s="55" t="str">
        <f aca="false">IF(OR(BI$2="",$D31=""),"",IF(IF(ISNUMBER($F31),AND(BI$2&gt;=$F31,BI$2&lt;=IF(ISNUMBER($G31),$G31,$F31+$E31-$D31)),FALSE()),2,IF(AND(BI$2&gt;=$D31,BI$2&lt;=$E31),1,"")))</f>
        <v/>
      </c>
      <c r="BJ31" s="55" t="str">
        <f aca="false">IF(OR(BJ$2="",$D31=""),"",IF(IF(ISNUMBER($F31),AND(BJ$2&gt;=$F31,BJ$2&lt;=IF(ISNUMBER($G31),$G31,$F31+$E31-$D31)),FALSE()),2,IF(AND(BJ$2&gt;=$D31,BJ$2&lt;=$E31),1,"")))</f>
        <v/>
      </c>
      <c r="BK31" s="55" t="str">
        <f aca="false">IF(OR(BK$2="",$D31=""),"",IF(IF(ISNUMBER($F31),AND(BK$2&gt;=$F31,BK$2&lt;=IF(ISNUMBER($G31),$G31,$F31+$E31-$D31)),FALSE()),2,IF(AND(BK$2&gt;=$D31,BK$2&lt;=$E31),1,"")))</f>
        <v/>
      </c>
      <c r="BL31" s="55" t="str">
        <f aca="false">IF(OR(BL$2="",$D31=""),"",IF(IF(ISNUMBER($F31),AND(BL$2&gt;=$F31,BL$2&lt;=IF(ISNUMBER($G31),$G31,$F31+$E31-$D31)),FALSE()),2,IF(AND(BL$2&gt;=$D31,BL$2&lt;=$E31),1,"")))</f>
        <v/>
      </c>
      <c r="BM31" s="55" t="str">
        <f aca="false">IF(OR(BM$2="",$D31=""),"",IF(IF(ISNUMBER($F31),AND(BM$2&gt;=$F31,BM$2&lt;=IF(ISNUMBER($G31),$G31,$F31+$E31-$D31)),FALSE()),2,IF(AND(BM$2&gt;=$D31,BM$2&lt;=$E31),1,"")))</f>
        <v/>
      </c>
      <c r="BN31" s="55" t="str">
        <f aca="false">IF(OR(BN$2="",$D31=""),"",IF(IF(ISNUMBER($F31),AND(BN$2&gt;=$F31,BN$2&lt;=IF(ISNUMBER($G31),$G31,$F31+$E31-$D31)),FALSE()),2,IF(AND(BN$2&gt;=$D31,BN$2&lt;=$E31),1,"")))</f>
        <v/>
      </c>
      <c r="BO31" s="55" t="str">
        <f aca="false">IF(OR(BO$2="",$D31=""),"",IF(IF(ISNUMBER($F31),AND(BO$2&gt;=$F31,BO$2&lt;=IF(ISNUMBER($G31),$G31,$F31+$E31-$D31)),FALSE()),2,IF(AND(BO$2&gt;=$D31,BO$2&lt;=$E31),1,"")))</f>
        <v/>
      </c>
      <c r="BP31" s="55" t="str">
        <f aca="false">IF(OR(BP$2="",$D31=""),"",IF(IF(ISNUMBER($F31),AND(BP$2&gt;=$F31,BP$2&lt;=IF(ISNUMBER($G31),$G31,$F31+$E31-$D31)),FALSE()),2,IF(AND(BP$2&gt;=$D31,BP$2&lt;=$E31),1,"")))</f>
        <v/>
      </c>
      <c r="BQ31" s="55" t="str">
        <f aca="false">IF(OR(BQ$2="",$D31=""),"",IF(IF(ISNUMBER($F31),AND(BQ$2&gt;=$F31,BQ$2&lt;=IF(ISNUMBER($G31),$G31,$F31+$E31-$D31)),FALSE()),2,IF(AND(BQ$2&gt;=$D31,BQ$2&lt;=$E31),1,"")))</f>
        <v/>
      </c>
      <c r="BR31" s="55" t="str">
        <f aca="false">IF(OR(BR$2="",$D31=""),"",IF(IF(ISNUMBER($F31),AND(BR$2&gt;=$F31,BR$2&lt;=IF(ISNUMBER($G31),$G31,$F31+$E31-$D31)),FALSE()),2,IF(AND(BR$2&gt;=$D31,BR$2&lt;=$E31),1,"")))</f>
        <v/>
      </c>
      <c r="BS31" s="55" t="str">
        <f aca="false">IF(OR(BS$2="",$D31=""),"",IF(IF(ISNUMBER($F31),AND(BS$2&gt;=$F31,BS$2&lt;=IF(ISNUMBER($G31),$G31,$F31+$E31-$D31)),FALSE()),2,IF(AND(BS$2&gt;=$D31,BS$2&lt;=$E31),1,"")))</f>
        <v/>
      </c>
      <c r="BT31" s="55" t="str">
        <f aca="false">IF(OR(BT$2="",$D31=""),"",IF(IF(ISNUMBER($F31),AND(BT$2&gt;=$F31,BT$2&lt;=IF(ISNUMBER($G31),$G31,$F31+$E31-$D31)),FALSE()),2,IF(AND(BT$2&gt;=$D31,BT$2&lt;=$E31),1,"")))</f>
        <v/>
      </c>
      <c r="BU31" s="55" t="str">
        <f aca="false">IF(OR(BU$2="",$D31=""),"",IF(IF(ISNUMBER($F31),AND(BU$2&gt;=$F31,BU$2&lt;=IF(ISNUMBER($G31),$G31,$F31+$E31-$D31)),FALSE()),2,IF(AND(BU$2&gt;=$D31,BU$2&lt;=$E31),1,"")))</f>
        <v/>
      </c>
      <c r="BV31" s="55" t="str">
        <f aca="false">IF(OR(BV$2="",$D31=""),"",IF(IF(ISNUMBER($F31),AND(BV$2&gt;=$F31,BV$2&lt;=IF(ISNUMBER($G31),$G31,$F31+$E31-$D31)),FALSE()),2,IF(AND(BV$2&gt;=$D31,BV$2&lt;=$E31),1,"")))</f>
        <v/>
      </c>
      <c r="BW31" s="55" t="str">
        <f aca="false">IF(OR(BW$2="",$D31=""),"",IF(IF(ISNUMBER($F31),AND(BW$2&gt;=$F31,BW$2&lt;=IF(ISNUMBER($G31),$G31,$F31+$E31-$D31)),FALSE()),2,IF(AND(BW$2&gt;=$D31,BW$2&lt;=$E31),1,"")))</f>
        <v/>
      </c>
      <c r="BX31" s="55" t="str">
        <f aca="false">IF(OR(BX$2="",$D31=""),"",IF(IF(ISNUMBER($F31),AND(BX$2&gt;=$F31,BX$2&lt;=IF(ISNUMBER($G31),$G31,$F31+$E31-$D31)),FALSE()),2,IF(AND(BX$2&gt;=$D31,BX$2&lt;=$E31),1,"")))</f>
        <v/>
      </c>
      <c r="BY31" s="55" t="str">
        <f aca="false">IF(OR(BY$2="",$D31=""),"",IF(IF(ISNUMBER($F31),AND(BY$2&gt;=$F31,BY$2&lt;=IF(ISNUMBER($G31),$G31,$F31+$E31-$D31)),FALSE()),2,IF(AND(BY$2&gt;=$D31,BY$2&lt;=$E31),1,"")))</f>
        <v/>
      </c>
      <c r="BZ31" s="55" t="str">
        <f aca="false">IF(OR(BZ$2="",$D31=""),"",IF(IF(ISNUMBER($F31),AND(BZ$2&gt;=$F31,BZ$2&lt;=IF(ISNUMBER($G31),$G31,$F31+$E31-$D31)),FALSE()),2,IF(AND(BZ$2&gt;=$D31,BZ$2&lt;=$E31),1,"")))</f>
        <v/>
      </c>
      <c r="CA31" s="55" t="str">
        <f aca="false">IF(OR(CA$2="",$D31=""),"",IF(IF(ISNUMBER($F31),AND(CA$2&gt;=$F31,CA$2&lt;=IF(ISNUMBER($G31),$G31,$F31+$E31-$D31)),FALSE()),2,IF(AND(CA$2&gt;=$D31,CA$2&lt;=$E31),1,"")))</f>
        <v/>
      </c>
      <c r="CB31" s="55" t="str">
        <f aca="false">IF(OR(CB$2="",$D31=""),"",IF(IF(ISNUMBER($F31),AND(CB$2&gt;=$F31,CB$2&lt;=IF(ISNUMBER($G31),$G31,$F31+$E31-$D31)),FALSE()),2,IF(AND(CB$2&gt;=$D31,CB$2&lt;=$E31),1,"")))</f>
        <v/>
      </c>
      <c r="CC31" s="55" t="str">
        <f aca="false">IF(OR(CC$2="",$D31=""),"",IF(IF(ISNUMBER($F31),AND(CC$2&gt;=$F31,CC$2&lt;=IF(ISNUMBER($G31),$G31,$F31+$E31-$D31)),FALSE()),2,IF(AND(CC$2&gt;=$D31,CC$2&lt;=$E31),1,"")))</f>
        <v/>
      </c>
      <c r="CD31" s="55" t="str">
        <f aca="false">IF(OR(CD$2="",$D31=""),"",IF(IF(ISNUMBER($F31),AND(CD$2&gt;=$F31,CD$2&lt;=IF(ISNUMBER($G31),$G31,$F31+$E31-$D31)),FALSE()),2,IF(AND(CD$2&gt;=$D31,CD$2&lt;=$E31),1,"")))</f>
        <v/>
      </c>
      <c r="CE31" s="55" t="str">
        <f aca="false">IF(OR(CE$2="",$D31=""),"",IF(IF(ISNUMBER($F31),AND(CE$2&gt;=$F31,CE$2&lt;=IF(ISNUMBER($G31),$G31,$F31+$E31-$D31)),FALSE()),2,IF(AND(CE$2&gt;=$D31,CE$2&lt;=$E31),1,"")))</f>
        <v/>
      </c>
      <c r="CF31" s="55" t="str">
        <f aca="false">IF(OR(CF$2="",$D31=""),"",IF(IF(ISNUMBER($F31),AND(CF$2&gt;=$F31,CF$2&lt;=IF(ISNUMBER($G31),$G31,$F31+$E31-$D31)),FALSE()),2,IF(AND(CF$2&gt;=$D31,CF$2&lt;=$E31),1,"")))</f>
        <v/>
      </c>
      <c r="CG31" s="55" t="str">
        <f aca="false">IF(OR(CG$2="",$D31=""),"",IF(IF(ISNUMBER($F31),AND(CG$2&gt;=$F31,CG$2&lt;=IF(ISNUMBER($G31),$G31,$F31+$E31-$D31)),FALSE()),2,IF(AND(CG$2&gt;=$D31,CG$2&lt;=$E31),1,"")))</f>
        <v/>
      </c>
      <c r="CH31" s="55" t="str">
        <f aca="false">IF(OR(CH$2="",$D31=""),"",IF(IF(ISNUMBER($F31),AND(CH$2&gt;=$F31,CH$2&lt;=IF(ISNUMBER($G31),$G31,$F31+$E31-$D31)),FALSE()),2,IF(AND(CH$2&gt;=$D31,CH$2&lt;=$E31),1,"")))</f>
        <v/>
      </c>
      <c r="CI31" s="55" t="str">
        <f aca="false">IF(OR(CI$2="",$D31=""),"",IF(IF(ISNUMBER($F31),AND(CI$2&gt;=$F31,CI$2&lt;=IF(ISNUMBER($G31),$G31,$F31+$E31-$D31)),FALSE()),2,IF(AND(CI$2&gt;=$D31,CI$2&lt;=$E31),1,"")))</f>
        <v/>
      </c>
      <c r="CJ31" s="55" t="str">
        <f aca="false">IF(OR(CJ$2="",$D31=""),"",IF(IF(ISNUMBER($F31),AND(CJ$2&gt;=$F31,CJ$2&lt;=IF(ISNUMBER($G31),$G31,$F31+$E31-$D31)),FALSE()),2,IF(AND(CJ$2&gt;=$D31,CJ$2&lt;=$E31),1,"")))</f>
        <v/>
      </c>
      <c r="CK31" s="55" t="str">
        <f aca="false">IF(OR(CK$2="",$D31=""),"",IF(IF(ISNUMBER($F31),AND(CK$2&gt;=$F31,CK$2&lt;=IF(ISNUMBER($G31),$G31,$F31+$E31-$D31)),FALSE()),2,IF(AND(CK$2&gt;=$D31,CK$2&lt;=$E31),1,"")))</f>
        <v/>
      </c>
      <c r="CL31" s="55" t="str">
        <f aca="false">IF(OR(CL$2="",$D31=""),"",IF(IF(ISNUMBER($F31),AND(CL$2&gt;=$F31,CL$2&lt;=IF(ISNUMBER($G31),$G31,$F31+$E31-$D31)),FALSE()),2,IF(AND(CL$2&gt;=$D31,CL$2&lt;=$E31),1,"")))</f>
        <v/>
      </c>
      <c r="CM31" s="55" t="str">
        <f aca="false">IF(OR(CM$2="",$D31=""),"",IF(IF(ISNUMBER($F31),AND(CM$2&gt;=$F31,CM$2&lt;=IF(ISNUMBER($G31),$G31,$F31+$E31-$D31)),FALSE()),2,IF(AND(CM$2&gt;=$D31,CM$2&lt;=$E31),1,"")))</f>
        <v/>
      </c>
      <c r="CN31" s="55" t="str">
        <f aca="false">IF(OR(CN$2="",$D31=""),"",IF(IF(ISNUMBER($F31),AND(CN$2&gt;=$F31,CN$2&lt;=IF(ISNUMBER($G31),$G31,$F31+$E31-$D31)),FALSE()),2,IF(AND(CN$2&gt;=$D31,CN$2&lt;=$E31),1,"")))</f>
        <v/>
      </c>
      <c r="CO31" s="55" t="str">
        <f aca="false">IF(OR(CO$2="",$D31=""),"",IF(IF(ISNUMBER($F31),AND(CO$2&gt;=$F31,CO$2&lt;=IF(ISNUMBER($G31),$G31,$F31+$E31-$D31)),FALSE()),2,IF(AND(CO$2&gt;=$D31,CO$2&lt;=$E31),1,"")))</f>
        <v/>
      </c>
      <c r="CP31" s="55" t="str">
        <f aca="false">IF(OR(CP$2="",$D31=""),"",IF(IF(ISNUMBER($F31),AND(CP$2&gt;=$F31,CP$2&lt;=IF(ISNUMBER($G31),$G31,$F31+$E31-$D31)),FALSE()),2,IF(AND(CP$2&gt;=$D31,CP$2&lt;=$E31),1,"")))</f>
        <v/>
      </c>
      <c r="CQ31" s="55" t="str">
        <f aca="false">IF(OR(CQ$2="",$D31=""),"",IF(IF(ISNUMBER($F31),AND(CQ$2&gt;=$F31,CQ$2&lt;=IF(ISNUMBER($G31),$G31,$F31+$E31-$D31)),FALSE()),2,IF(AND(CQ$2&gt;=$D31,CQ$2&lt;=$E31),1,"")))</f>
        <v/>
      </c>
      <c r="CR31" s="55" t="str">
        <f aca="false">IF(OR(CR$2="",$D31=""),"",IF(IF(ISNUMBER($F31),AND(CR$2&gt;=$F31,CR$2&lt;=IF(ISNUMBER($G31),$G31,$F31+$E31-$D31)),FALSE()),2,IF(AND(CR$2&gt;=$D31,CR$2&lt;=$E31),1,"")))</f>
        <v/>
      </c>
      <c r="CS31" s="55" t="str">
        <f aca="false">IF(OR(CS$2="",$D31=""),"",IF(IF(ISNUMBER($F31),AND(CS$2&gt;=$F31,CS$2&lt;=IF(ISNUMBER($G31),$G31,$F31+$E31-$D31)),FALSE()),2,IF(AND(CS$2&gt;=$D31,CS$2&lt;=$E31),1,"")))</f>
        <v/>
      </c>
      <c r="CT31" s="55" t="str">
        <f aca="false">IF(OR(CT$2="",$D31=""),"",IF(IF(ISNUMBER($F31),AND(CT$2&gt;=$F31,CT$2&lt;=IF(ISNUMBER($G31),$G31,$F31+$E31-$D31)),FALSE()),2,IF(AND(CT$2&gt;=$D31,CT$2&lt;=$E31),1,"")))</f>
        <v/>
      </c>
      <c r="CU31" s="55" t="str">
        <f aca="false">IF(OR(CU$2="",$D31=""),"",IF(IF(ISNUMBER($F31),AND(CU$2&gt;=$F31,CU$2&lt;=IF(ISNUMBER($G31),$G31,$F31+$E31-$D31)),FALSE()),2,IF(AND(CU$2&gt;=$D31,CU$2&lt;=$E31),1,"")))</f>
        <v/>
      </c>
      <c r="CV31" s="55" t="str">
        <f aca="false">IF(OR(CV$2="",$D31=""),"",IF(IF(ISNUMBER($F31),AND(CV$2&gt;=$F31,CV$2&lt;=IF(ISNUMBER($G31),$G31,$F31+$E31-$D31)),FALSE()),2,IF(AND(CV$2&gt;=$D31,CV$2&lt;=$E31),1,"")))</f>
        <v/>
      </c>
      <c r="CW31" s="55" t="str">
        <f aca="false">IF(OR(CW$2="",$D31=""),"",IF(IF(ISNUMBER($F31),AND(CW$2&gt;=$F31,CW$2&lt;=IF(ISNUMBER($G31),$G31,$F31+$E31-$D31)),FALSE()),2,IF(AND(CW$2&gt;=$D31,CW$2&lt;=$E31),1,"")))</f>
        <v/>
      </c>
      <c r="CX31" s="55" t="str">
        <f aca="false">IF(OR(CX$2="",$D31=""),"",IF(IF(ISNUMBER($F31),AND(CX$2&gt;=$F31,CX$2&lt;=IF(ISNUMBER($G31),$G31,$F31+$E31-$D31)),FALSE()),2,IF(AND(CX$2&gt;=$D31,CX$2&lt;=$E31),1,"")))</f>
        <v/>
      </c>
      <c r="CY31" s="55" t="str">
        <f aca="false">IF(OR(CY$2="",$D31=""),"",IF(IF(ISNUMBER($F31),AND(CY$2&gt;=$F31,CY$2&lt;=IF(ISNUMBER($G31),$G31,$F31+$E31-$D31)),FALSE()),2,IF(AND(CY$2&gt;=$D31,CY$2&lt;=$E31),1,"")))</f>
        <v/>
      </c>
      <c r="CZ31" s="55" t="str">
        <f aca="false">IF(OR(CZ$2="",$D31=""),"",IF(IF(ISNUMBER($F31),AND(CZ$2&gt;=$F31,CZ$2&lt;=IF(ISNUMBER($G31),$G31,$F31+$E31-$D31)),FALSE()),2,IF(AND(CZ$2&gt;=$D31,CZ$2&lt;=$E31),1,"")))</f>
        <v/>
      </c>
      <c r="DA31" s="55" t="str">
        <f aca="false">IF(OR(DA$2="",$D31=""),"",IF(IF(ISNUMBER($F31),AND(DA$2&gt;=$F31,DA$2&lt;=IF(ISNUMBER($G31),$G31,$F31+$E31-$D31)),FALSE()),2,IF(AND(DA$2&gt;=$D31,DA$2&lt;=$E31),1,"")))</f>
        <v/>
      </c>
      <c r="DB31" s="55" t="str">
        <f aca="false">IF(OR(DB$2="",$D31=""),"",IF(IF(ISNUMBER($F31),AND(DB$2&gt;=$F31,DB$2&lt;=IF(ISNUMBER($G31),$G31,$F31+$E31-$D31)),FALSE()),2,IF(AND(DB$2&gt;=$D31,DB$2&lt;=$E31),1,"")))</f>
        <v/>
      </c>
      <c r="DC31" s="55" t="str">
        <f aca="false">IF(OR(DC$2="",$D31=""),"",IF(IF(ISNUMBER($F31),AND(DC$2&gt;=$F31,DC$2&lt;=IF(ISNUMBER($G31),$G31,$F31+$E31-$D31)),FALSE()),2,IF(AND(DC$2&gt;=$D31,DC$2&lt;=$E31),1,"")))</f>
        <v/>
      </c>
      <c r="DD31" s="55" t="str">
        <f aca="false">IF(OR(DD$2="",$D31=""),"",IF(IF(ISNUMBER($F31),AND(DD$2&gt;=$F31,DD$2&lt;=IF(ISNUMBER($G31),$G31,$F31+$E31-$D31)),FALSE()),2,IF(AND(DD$2&gt;=$D31,DD$2&lt;=$E31),1,"")))</f>
        <v/>
      </c>
      <c r="DE31" s="55" t="str">
        <f aca="false">IF(OR(DE$2="",$D31=""),"",IF(IF(ISNUMBER($F31),AND(DE$2&gt;=$F31,DE$2&lt;=IF(ISNUMBER($G31),$G31,$F31+$E31-$D31)),FALSE()),2,IF(AND(DE$2&gt;=$D31,DE$2&lt;=$E31),1,"")))</f>
        <v/>
      </c>
      <c r="DF31" s="55" t="str">
        <f aca="false">IF(OR(DF$2="",$D31=""),"",IF(IF(ISNUMBER($F31),AND(DF$2&gt;=$F31,DF$2&lt;=IF(ISNUMBER($G31),$G31,$F31+$E31-$D31)),FALSE()),2,IF(AND(DF$2&gt;=$D31,DF$2&lt;=$E31),1,"")))</f>
        <v/>
      </c>
      <c r="DG31" s="55" t="str">
        <f aca="false">IF(OR(DG$2="",$D31=""),"",IF(IF(ISNUMBER($F31),AND(DG$2&gt;=$F31,DG$2&lt;=IF(ISNUMBER($G31),$G31,$F31+$E31-$D31)),FALSE()),2,IF(AND(DG$2&gt;=$D31,DG$2&lt;=$E31),1,"")))</f>
        <v/>
      </c>
      <c r="DH31" s="55" t="str">
        <f aca="false">IF(OR(DH$2="",$D31=""),"",IF(IF(ISNUMBER($F31),AND(DH$2&gt;=$F31,DH$2&lt;=IF(ISNUMBER($G31),$G31,$F31+$E31-$D31)),FALSE()),2,IF(AND(DH$2&gt;=$D31,DH$2&lt;=$E31),1,"")))</f>
        <v/>
      </c>
      <c r="DI31" s="55" t="str">
        <f aca="false">IF(OR(DI$2="",$D31=""),"",IF(IF(ISNUMBER($F31),AND(DI$2&gt;=$F31,DI$2&lt;=IF(ISNUMBER($G31),$G31,$F31+$E31-$D31)),FALSE()),2,IF(AND(DI$2&gt;=$D31,DI$2&lt;=$E31),1,"")))</f>
        <v/>
      </c>
      <c r="DJ31" s="55" t="str">
        <f aca="false">IF(OR(DJ$2="",$D31=""),"",IF(IF(ISNUMBER($F31),AND(DJ$2&gt;=$F31,DJ$2&lt;=IF(ISNUMBER($G31),$G31,$F31+$E31-$D31)),FALSE()),2,IF(AND(DJ$2&gt;=$D31,DJ$2&lt;=$E31),1,"")))</f>
        <v/>
      </c>
      <c r="DK31" s="55" t="str">
        <f aca="false">IF(OR(DK$2="",$D31=""),"",IF(IF(ISNUMBER($F31),AND(DK$2&gt;=$F31,DK$2&lt;=IF(ISNUMBER($G31),$G31,$F31+$E31-$D31)),FALSE()),2,IF(AND(DK$2&gt;=$D31,DK$2&lt;=$E31),1,"")))</f>
        <v/>
      </c>
      <c r="DL31" s="55" t="str">
        <f aca="false">IF(OR(DL$2="",$D31=""),"",IF(IF(ISNUMBER($F31),AND(DL$2&gt;=$F31,DL$2&lt;=IF(ISNUMBER($G31),$G31,$F31+$E31-$D31)),FALSE()),2,IF(AND(DL$2&gt;=$D31,DL$2&lt;=$E31),1,"")))</f>
        <v/>
      </c>
      <c r="DM31" s="55" t="str">
        <f aca="false">IF(OR(DM$2="",$D31=""),"",IF(IF(ISNUMBER($F31),AND(DM$2&gt;=$F31,DM$2&lt;=IF(ISNUMBER($G31),$G31,$F31+$E31-$D31)),FALSE()),2,IF(AND(DM$2&gt;=$D31,DM$2&lt;=$E31),1,"")))</f>
        <v/>
      </c>
      <c r="DN31" s="55" t="str">
        <f aca="false">IF(OR(DN$2="",$D31=""),"",IF(IF(ISNUMBER($F31),AND(DN$2&gt;=$F31,DN$2&lt;=IF(ISNUMBER($G31),$G31,$F31+$E31-$D31)),FALSE()),2,IF(AND(DN$2&gt;=$D31,DN$2&lt;=$E31),1,"")))</f>
        <v/>
      </c>
      <c r="DO31" s="55" t="str">
        <f aca="false">IF(OR(DO$2="",$D31=""),"",IF(IF(ISNUMBER($F31),AND(DO$2&gt;=$F31,DO$2&lt;=IF(ISNUMBER($G31),$G31,$F31+$E31-$D31)),FALSE()),2,IF(AND(DO$2&gt;=$D31,DO$2&lt;=$E31),1,"")))</f>
        <v/>
      </c>
      <c r="DP31" s="55" t="str">
        <f aca="false">IF(OR(DP$2="",$D31=""),"",IF(IF(ISNUMBER($F31),AND(DP$2&gt;=$F31,DP$2&lt;=IF(ISNUMBER($G31),$G31,$F31+$E31-$D31)),FALSE()),2,IF(AND(DP$2&gt;=$D31,DP$2&lt;=$E31),1,"")))</f>
        <v/>
      </c>
      <c r="DQ31" s="55" t="str">
        <f aca="false">IF(OR(DQ$2="",$D31=""),"",IF(IF(ISNUMBER($F31),AND(DQ$2&gt;=$F31,DQ$2&lt;=IF(ISNUMBER($G31),$G31,$F31+$E31-$D31)),FALSE()),2,IF(AND(DQ$2&gt;=$D31,DQ$2&lt;=$E31),1,"")))</f>
        <v/>
      </c>
      <c r="DR31" s="55" t="str">
        <f aca="false">IF(OR(DR$2="",$D31=""),"",IF(IF(ISNUMBER($F31),AND(DR$2&gt;=$F31,DR$2&lt;=IF(ISNUMBER($G31),$G31,$F31+$E31-$D31)),FALSE()),2,IF(AND(DR$2&gt;=$D31,DR$2&lt;=$E31),1,"")))</f>
        <v/>
      </c>
      <c r="DS31" s="55" t="str">
        <f aca="false">IF(OR(DS$2="",$D31=""),"",IF(IF(ISNUMBER($F31),AND(DS$2&gt;=$F31,DS$2&lt;=IF(ISNUMBER($G31),$G31,$F31+$E31-$D31)),FALSE()),2,IF(AND(DS$2&gt;=$D31,DS$2&lt;=$E31),1,"")))</f>
        <v/>
      </c>
      <c r="DT31" s="55" t="str">
        <f aca="false">IF(OR(DT$2="",$D31=""),"",IF(IF(ISNUMBER($F31),AND(DT$2&gt;=$F31,DT$2&lt;=IF(ISNUMBER($G31),$G31,$F31+$E31-$D31)),FALSE()),2,IF(AND(DT$2&gt;=$D31,DT$2&lt;=$E31),1,"")))</f>
        <v/>
      </c>
      <c r="DU31" s="55" t="str">
        <f aca="false">IF(OR(DU$2="",$D31=""),"",IF(IF(ISNUMBER($F31),AND(DU$2&gt;=$F31,DU$2&lt;=IF(ISNUMBER($G31),$G31,$F31+$E31-$D31)),FALSE()),2,IF(AND(DU$2&gt;=$D31,DU$2&lt;=$E31),1,"")))</f>
        <v/>
      </c>
      <c r="DV31" s="55" t="str">
        <f aca="false">IF(OR(DV$2="",$D31=""),"",IF(IF(ISNUMBER($F31),AND(DV$2&gt;=$F31,DV$2&lt;=IF(ISNUMBER($G31),$G31,$F31+$E31-$D31)),FALSE()),2,IF(AND(DV$2&gt;=$D31,DV$2&lt;=$E31),1,"")))</f>
        <v/>
      </c>
      <c r="DW31" s="55" t="str">
        <f aca="false">IF(OR(DW$2="",$D31=""),"",IF(IF(ISNUMBER($F31),AND(DW$2&gt;=$F31,DW$2&lt;=IF(ISNUMBER($G31),$G31,$F31+$E31-$D31)),FALSE()),2,IF(AND(DW$2&gt;=$D31,DW$2&lt;=$E31),1,"")))</f>
        <v/>
      </c>
      <c r="DX31" s="55" t="str">
        <f aca="false">IF(OR(DX$2="",$D31=""),"",IF(IF(ISNUMBER($F31),AND(DX$2&gt;=$F31,DX$2&lt;=IF(ISNUMBER($G31),$G31,$F31+$E31-$D31)),FALSE()),2,IF(AND(DX$2&gt;=$D31,DX$2&lt;=$E31),1,"")))</f>
        <v/>
      </c>
      <c r="DY31" s="55" t="str">
        <f aca="false">IF(OR(DY$2="",$D31=""),"",IF(IF(ISNUMBER($F31),AND(DY$2&gt;=$F31,DY$2&lt;=IF(ISNUMBER($G31),$G31,$F31+$E31-$D31)),FALSE()),2,IF(AND(DY$2&gt;=$D31,DY$2&lt;=$E31),1,"")))</f>
        <v/>
      </c>
      <c r="DZ31" s="55" t="str">
        <f aca="false">IF(OR(DZ$2="",$D31=""),"",IF(IF(ISNUMBER($F31),AND(DZ$2&gt;=$F31,DZ$2&lt;=IF(ISNUMBER($G31),$G31,$F31+$E31-$D31)),FALSE()),2,IF(AND(DZ$2&gt;=$D31,DZ$2&lt;=$E31),1,"")))</f>
        <v/>
      </c>
      <c r="EA31" s="55" t="str">
        <f aca="false">IF(OR(EA$2="",$D31=""),"",IF(IF(ISNUMBER($F31),AND(EA$2&gt;=$F31,EA$2&lt;=IF(ISNUMBER($G31),$G31,$F31+$E31-$D31)),FALSE()),2,IF(AND(EA$2&gt;=$D31,EA$2&lt;=$E31),1,"")))</f>
        <v/>
      </c>
      <c r="EB31" s="55" t="str">
        <f aca="false">IF(OR(EB$2="",$D31=""),"",IF(IF(ISNUMBER($F31),AND(EB$2&gt;=$F31,EB$2&lt;=IF(ISNUMBER($G31),$G31,$F31+$E31-$D31)),FALSE()),2,IF(AND(EB$2&gt;=$D31,EB$2&lt;=$E31),1,"")))</f>
        <v/>
      </c>
      <c r="EC31" s="55" t="str">
        <f aca="false">IF(OR(EC$2="",$D31=""),"",IF(IF(ISNUMBER($F31),AND(EC$2&gt;=$F31,EC$2&lt;=IF(ISNUMBER($G31),$G31,$F31+$E31-$D31)),FALSE()),2,IF(AND(EC$2&gt;=$D31,EC$2&lt;=$E31),1,"")))</f>
        <v/>
      </c>
      <c r="ED31" s="55" t="str">
        <f aca="false">IF(OR(ED$2="",$D31=""),"",IF(IF(ISNUMBER($F31),AND(ED$2&gt;=$F31,ED$2&lt;=IF(ISNUMBER($G31),$G31,$F31+$E31-$D31)),FALSE()),2,IF(AND(ED$2&gt;=$D31,ED$2&lt;=$E31),1,"")))</f>
        <v/>
      </c>
      <c r="EE31" s="55" t="str">
        <f aca="false">IF(OR(EE$2="",$D31=""),"",IF(IF(ISNUMBER($F31),AND(EE$2&gt;=$F31,EE$2&lt;=IF(ISNUMBER($G31),$G31,$F31+$E31-$D31)),FALSE()),2,IF(AND(EE$2&gt;=$D31,EE$2&lt;=$E31),1,"")))</f>
        <v/>
      </c>
      <c r="EF31" s="55" t="str">
        <f aca="false">IF(OR(EF$2="",$D31=""),"",IF(IF(ISNUMBER($F31),AND(EF$2&gt;=$F31,EF$2&lt;=IF(ISNUMBER($G31),$G31,$F31+$E31-$D31)),FALSE()),2,IF(AND(EF$2&gt;=$D31,EF$2&lt;=$E31),1,"")))</f>
        <v/>
      </c>
      <c r="EG31" s="55" t="str">
        <f aca="false">IF(OR(EG$2="",$D31=""),"",IF(IF(ISNUMBER($F31),AND(EG$2&gt;=$F31,EG$2&lt;=IF(ISNUMBER($G31),$G31,$F31+$E31-$D31)),FALSE()),2,IF(AND(EG$2&gt;=$D31,EG$2&lt;=$E31),1,"")))</f>
        <v/>
      </c>
      <c r="EH31" s="55" t="str">
        <f aca="false">IF(OR(EH$2="",$D31=""),"",IF(IF(ISNUMBER($F31),AND(EH$2&gt;=$F31,EH$2&lt;=IF(ISNUMBER($G31),$G31,$F31+$E31-$D31)),FALSE()),2,IF(AND(EH$2&gt;=$D31,EH$2&lt;=$E31),1,"")))</f>
        <v/>
      </c>
      <c r="EI31" s="55" t="str">
        <f aca="false">IF(OR(EI$2="",$D31=""),"",IF(IF(ISNUMBER($F31),AND(EI$2&gt;=$F31,EI$2&lt;=IF(ISNUMBER($G31),$G31,$F31+$E31-$D31)),FALSE()),2,IF(AND(EI$2&gt;=$D31,EI$2&lt;=$E31),1,"")))</f>
        <v/>
      </c>
      <c r="EJ31" s="55" t="str">
        <f aca="false">IF(OR(EJ$2="",$D31=""),"",IF(IF(ISNUMBER($F31),AND(EJ$2&gt;=$F31,EJ$2&lt;=IF(ISNUMBER($G31),$G31,$F31+$E31-$D31)),FALSE()),2,IF(AND(EJ$2&gt;=$D31,EJ$2&lt;=$E31),1,"")))</f>
        <v/>
      </c>
      <c r="EK31" s="55" t="str">
        <f aca="false">IF(OR(EK$2="",$D31=""),"",IF(IF(ISNUMBER($F31),AND(EK$2&gt;=$F31,EK$2&lt;=IF(ISNUMBER($G31),$G31,$F31+$E31-$D31)),FALSE()),2,IF(AND(EK$2&gt;=$D31,EK$2&lt;=$E31),1,"")))</f>
        <v/>
      </c>
      <c r="EL31" s="55" t="str">
        <f aca="false">IF(OR(EL$2="",$D31=""),"",IF(IF(ISNUMBER($F31),AND(EL$2&gt;=$F31,EL$2&lt;=IF(ISNUMBER($G31),$G31,$F31+$E31-$D31)),FALSE()),2,IF(AND(EL$2&gt;=$D31,EL$2&lt;=$E31),1,"")))</f>
        <v/>
      </c>
      <c r="EM31" s="55" t="str">
        <f aca="false">IF(OR(EM$2="",$D31=""),"",IF(IF(ISNUMBER($F31),AND(EM$2&gt;=$F31,EM$2&lt;=IF(ISNUMBER($G31),$G31,$F31+$E31-$D31)),FALSE()),2,IF(AND(EM$2&gt;=$D31,EM$2&lt;=$E31),1,"")))</f>
        <v/>
      </c>
      <c r="EN31" s="55" t="str">
        <f aca="false">IF(OR(EN$2="",$D31=""),"",IF(IF(ISNUMBER($F31),AND(EN$2&gt;=$F31,EN$2&lt;=IF(ISNUMBER($G31),$G31,$F31+$E31-$D31)),FALSE()),2,IF(AND(EN$2&gt;=$D31,EN$2&lt;=$E31),1,"")))</f>
        <v/>
      </c>
      <c r="EO31" s="55" t="str">
        <f aca="false">IF(OR(EO$2="",$D31=""),"",IF(IF(ISNUMBER($F31),AND(EO$2&gt;=$F31,EO$2&lt;=IF(ISNUMBER($G31),$G31,$F31+$E31-$D31)),FALSE()),2,IF(AND(EO$2&gt;=$D31,EO$2&lt;=$E31),1,"")))</f>
        <v/>
      </c>
      <c r="EP31" s="55" t="str">
        <f aca="false">IF(OR(EP$2="",$D31=""),"",IF(IF(ISNUMBER($F31),AND(EP$2&gt;=$F31,EP$2&lt;=IF(ISNUMBER($G31),$G31,$F31+$E31-$D31)),FALSE()),2,IF(AND(EP$2&gt;=$D31,EP$2&lt;=$E31),1,"")))</f>
        <v/>
      </c>
      <c r="EQ31" s="55" t="str">
        <f aca="false">IF(OR(EQ$2="",$D31=""),"",IF(IF(ISNUMBER($F31),AND(EQ$2&gt;=$F31,EQ$2&lt;=IF(ISNUMBER($G31),$G31,$F31+$E31-$D31)),FALSE()),2,IF(AND(EQ$2&gt;=$D31,EQ$2&lt;=$E31),1,"")))</f>
        <v/>
      </c>
      <c r="ER31" s="55" t="str">
        <f aca="false">IF(OR(ER$2="",$D31=""),"",IF(IF(ISNUMBER($F31),AND(ER$2&gt;=$F31,ER$2&lt;=IF(ISNUMBER($G31),$G31,$F31+$E31-$D31)),FALSE()),2,IF(AND(ER$2&gt;=$D31,ER$2&lt;=$E31),1,"")))</f>
        <v/>
      </c>
      <c r="ES31" s="55" t="str">
        <f aca="false">IF(OR(ES$2="",$D31=""),"",IF(IF(ISNUMBER($F31),AND(ES$2&gt;=$F31,ES$2&lt;=IF(ISNUMBER($G31),$G31,$F31+$E31-$D31)),FALSE()),2,IF(AND(ES$2&gt;=$D31,ES$2&lt;=$E31),1,"")))</f>
        <v/>
      </c>
      <c r="ET31" s="55" t="str">
        <f aca="false">IF(OR(ET$2="",$D31=""),"",IF(IF(ISNUMBER($F31),AND(ET$2&gt;=$F31,ET$2&lt;=IF(ISNUMBER($G31),$G31,$F31+$E31-$D31)),FALSE()),2,IF(AND(ET$2&gt;=$D31,ET$2&lt;=$E31),1,"")))</f>
        <v/>
      </c>
      <c r="EU31" s="55" t="str">
        <f aca="false">IF(OR(EU$2="",$D31=""),"",IF(IF(ISNUMBER($F31),AND(EU$2&gt;=$F31,EU$2&lt;=IF(ISNUMBER($G31),$G31,$F31+$E31-$D31)),FALSE()),2,IF(AND(EU$2&gt;=$D31,EU$2&lt;=$E31),1,"")))</f>
        <v/>
      </c>
      <c r="EV31" s="55" t="str">
        <f aca="false">IF(OR(EV$2="",$D31=""),"",IF(IF(ISNUMBER($F31),AND(EV$2&gt;=$F31,EV$2&lt;=IF(ISNUMBER($G31),$G31,$F31+$E31-$D31)),FALSE()),2,IF(AND(EV$2&gt;=$D31,EV$2&lt;=$E31),1,"")))</f>
        <v/>
      </c>
      <c r="EW31" s="55" t="str">
        <f aca="false">IF(OR(EW$2="",$D31=""),"",IF(IF(ISNUMBER($F31),AND(EW$2&gt;=$F31,EW$2&lt;=IF(ISNUMBER($G31),$G31,$F31+$E31-$D31)),FALSE()),2,IF(AND(EW$2&gt;=$D31,EW$2&lt;=$E31),1,"")))</f>
        <v/>
      </c>
      <c r="EX31" s="55" t="str">
        <f aca="false">IF(OR(EX$2="",$D31=""),"",IF(IF(ISNUMBER($F31),AND(EX$2&gt;=$F31,EX$2&lt;=IF(ISNUMBER($G31),$G31,$F31+$E31-$D31)),FALSE()),2,IF(AND(EX$2&gt;=$D31,EX$2&lt;=$E31),1,"")))</f>
        <v/>
      </c>
      <c r="EY31" s="55" t="str">
        <f aca="false">IF(OR(EY$2="",$D31=""),"",IF(IF(ISNUMBER($F31),AND(EY$2&gt;=$F31,EY$2&lt;=IF(ISNUMBER($G31),$G31,$F31+$E31-$D31)),FALSE()),2,IF(AND(EY$2&gt;=$D31,EY$2&lt;=$E31),1,"")))</f>
        <v/>
      </c>
      <c r="EZ31" s="55" t="str">
        <f aca="false">IF(OR(EZ$2="",$D31=""),"",IF(IF(ISNUMBER($F31),AND(EZ$2&gt;=$F31,EZ$2&lt;=IF(ISNUMBER($G31),$G31,$F31+$E31-$D31)),FALSE()),2,IF(AND(EZ$2&gt;=$D31,EZ$2&lt;=$E31),1,"")))</f>
        <v/>
      </c>
      <c r="FA31" s="55" t="str">
        <f aca="false">IF(OR(FA$2="",$D31=""),"",IF(IF(ISNUMBER($F31),AND(FA$2&gt;=$F31,FA$2&lt;=IF(ISNUMBER($G31),$G31,$F31+$E31-$D31)),FALSE()),2,IF(AND(FA$2&gt;=$D31,FA$2&lt;=$E31),1,"")))</f>
        <v/>
      </c>
      <c r="FB31" s="55" t="str">
        <f aca="false">IF(OR(FB$2="",$D31=""),"",IF(IF(ISNUMBER($F31),AND(FB$2&gt;=$F31,FB$2&lt;=IF(ISNUMBER($G31),$G31,$F31+$E31-$D31)),FALSE()),2,IF(AND(FB$2&gt;=$D31,FB$2&lt;=$E31),1,"")))</f>
        <v/>
      </c>
      <c r="FC31" s="55" t="str">
        <f aca="false">IF(OR(FC$2="",$D31=""),"",IF(IF(ISNUMBER($F31),AND(FC$2&gt;=$F31,FC$2&lt;=IF(ISNUMBER($G31),$G31,$F31+$E31-$D31)),FALSE()),2,IF(AND(FC$2&gt;=$D31,FC$2&lt;=$E31),1,"")))</f>
        <v/>
      </c>
      <c r="FD31" s="55" t="str">
        <f aca="false">IF(OR(FD$2="",$D31=""),"",IF(IF(ISNUMBER($F31),AND(FD$2&gt;=$F31,FD$2&lt;=IF(ISNUMBER($G31),$G31,$F31+$E31-$D31)),FALSE()),2,IF(AND(FD$2&gt;=$D31,FD$2&lt;=$E31),1,"")))</f>
        <v/>
      </c>
      <c r="FE31" s="55" t="str">
        <f aca="false">IF(OR(FE$2="",$D31=""),"",IF(IF(ISNUMBER($F31),AND(FE$2&gt;=$F31,FE$2&lt;=IF(ISNUMBER($G31),$G31,$F31+$E31-$D31)),FALSE()),2,IF(AND(FE$2&gt;=$D31,FE$2&lt;=$E31),1,"")))</f>
        <v/>
      </c>
      <c r="FF31" s="55" t="str">
        <f aca="false">IF(OR(FF$2="",$D31=""),"",IF(IF(ISNUMBER($F31),AND(FF$2&gt;=$F31,FF$2&lt;=IF(ISNUMBER($G31),$G31,$F31+$E31-$D31)),FALSE()),2,IF(AND(FF$2&gt;=$D31,FF$2&lt;=$E31),1,"")))</f>
        <v/>
      </c>
      <c r="FG31" s="55" t="str">
        <f aca="false">IF(OR(FG$2="",$D31=""),"",IF(IF(ISNUMBER($F31),AND(FG$2&gt;=$F31,FG$2&lt;=IF(ISNUMBER($G31),$G31,$F31+$E31-$D31)),FALSE()),2,IF(AND(FG$2&gt;=$D31,FG$2&lt;=$E31),1,"")))</f>
        <v/>
      </c>
      <c r="FH31" s="55" t="str">
        <f aca="false">IF(OR(FH$2="",$D31=""),"",IF(IF(ISNUMBER($F31),AND(FH$2&gt;=$F31,FH$2&lt;=IF(ISNUMBER($G31),$G31,$F31+$E31-$D31)),FALSE()),2,IF(AND(FH$2&gt;=$D31,FH$2&lt;=$E31),1,"")))</f>
        <v/>
      </c>
      <c r="FI31" s="55" t="str">
        <f aca="false">IF(OR(FI$2="",$D31=""),"",IF(IF(ISNUMBER($F31),AND(FI$2&gt;=$F31,FI$2&lt;=IF(ISNUMBER($G31),$G31,$F31+$E31-$D31)),FALSE()),2,IF(AND(FI$2&gt;=$D31,FI$2&lt;=$E31),1,"")))</f>
        <v/>
      </c>
      <c r="FJ31" s="55" t="str">
        <f aca="false">IF(OR(FJ$2="",$D31=""),"",IF(IF(ISNUMBER($F31),AND(FJ$2&gt;=$F31,FJ$2&lt;=IF(ISNUMBER($G31),$G31,$F31+$E31-$D31)),FALSE()),2,IF(AND(FJ$2&gt;=$D31,FJ$2&lt;=$E31),1,"")))</f>
        <v/>
      </c>
      <c r="FK31" s="55" t="str">
        <f aca="false">IF(OR(FK$2="",$D31=""),"",IF(IF(ISNUMBER($F31),AND(FK$2&gt;=$F31,FK$2&lt;=IF(ISNUMBER($G31),$G31,$F31+$E31-$D31)),FALSE()),2,IF(AND(FK$2&gt;=$D31,FK$2&lt;=$E31),1,"")))</f>
        <v/>
      </c>
      <c r="FL31" s="55" t="str">
        <f aca="false">IF(OR(FL$2="",$D31=""),"",IF(IF(ISNUMBER($F31),AND(FL$2&gt;=$F31,FL$2&lt;=IF(ISNUMBER($G31),$G31,$F31+$E31-$D31)),FALSE()),2,IF(AND(FL$2&gt;=$D31,FL$2&lt;=$E31),1,"")))</f>
        <v/>
      </c>
      <c r="FM31" s="55" t="str">
        <f aca="false">IF(OR(FM$2="",$D31=""),"",IF(IF(ISNUMBER($F31),AND(FM$2&gt;=$F31,FM$2&lt;=IF(ISNUMBER($G31),$G31,$F31+$E31-$D31)),FALSE()),2,IF(AND(FM$2&gt;=$D31,FM$2&lt;=$E31),1,"")))</f>
        <v/>
      </c>
      <c r="FN31" s="55" t="str">
        <f aca="false">IF(OR(FN$2="",$D31=""),"",IF(IF(ISNUMBER($F31),AND(FN$2&gt;=$F31,FN$2&lt;=IF(ISNUMBER($G31),$G31,$F31+$E31-$D31)),FALSE()),2,IF(AND(FN$2&gt;=$D31,FN$2&lt;=$E31),1,"")))</f>
        <v/>
      </c>
      <c r="FO31" s="55" t="str">
        <f aca="false">IF(OR(FO$2="",$D31=""),"",IF(IF(ISNUMBER($F31),AND(FO$2&gt;=$F31,FO$2&lt;=IF(ISNUMBER($G31),$G31,$F31+$E31-$D31)),FALSE()),2,IF(AND(FO$2&gt;=$D31,FO$2&lt;=$E31),1,"")))</f>
        <v/>
      </c>
      <c r="FP31" s="55" t="str">
        <f aca="false">IF(OR(FP$2="",$D31=""),"",IF(IF(ISNUMBER($F31),AND(FP$2&gt;=$F31,FP$2&lt;=IF(ISNUMBER($G31),$G31,$F31+$E31-$D31)),FALSE()),2,IF(AND(FP$2&gt;=$D31,FP$2&lt;=$E31),1,"")))</f>
        <v/>
      </c>
      <c r="FQ31" s="55" t="str">
        <f aca="false">IF(OR(FQ$2="",$D31=""),"",IF(IF(ISNUMBER($F31),AND(FQ$2&gt;=$F31,FQ$2&lt;=IF(ISNUMBER($G31),$G31,$F31+$E31-$D31)),FALSE()),2,IF(AND(FQ$2&gt;=$D31,FQ$2&lt;=$E31),1,"")))</f>
        <v/>
      </c>
      <c r="FR31" s="55" t="str">
        <f aca="false">IF(OR(FR$2="",$D31=""),"",IF(IF(ISNUMBER($F31),AND(FR$2&gt;=$F31,FR$2&lt;=IF(ISNUMBER($G31),$G31,$F31+$E31-$D31)),FALSE()),2,IF(AND(FR$2&gt;=$D31,FR$2&lt;=$E31),1,"")))</f>
        <v/>
      </c>
      <c r="FS31" s="55" t="str">
        <f aca="false">IF(OR(FS$2="",$D31=""),"",IF(IF(ISNUMBER($F31),AND(FS$2&gt;=$F31,FS$2&lt;=IF(ISNUMBER($G31),$G31,$F31+$E31-$D31)),FALSE()),2,IF(AND(FS$2&gt;=$D31,FS$2&lt;=$E31),1,"")))</f>
        <v/>
      </c>
      <c r="FT31" s="55" t="str">
        <f aca="false">IF(OR(FT$2="",$D31=""),"",IF(IF(ISNUMBER($F31),AND(FT$2&gt;=$F31,FT$2&lt;=IF(ISNUMBER($G31),$G31,$F31+$E31-$D31)),FALSE()),2,IF(AND(FT$2&gt;=$D31,FT$2&lt;=$E31),1,"")))</f>
        <v/>
      </c>
      <c r="FU31" s="55" t="str">
        <f aca="false">IF(OR(FU$2="",$D31=""),"",IF(IF(ISNUMBER($F31),AND(FU$2&gt;=$F31,FU$2&lt;=IF(ISNUMBER($G31),$G31,$F31+$E31-$D31)),FALSE()),2,IF(AND(FU$2&gt;=$D31,FU$2&lt;=$E31),1,"")))</f>
        <v/>
      </c>
      <c r="FV31" s="55" t="str">
        <f aca="false">IF(OR(FV$2="",$D31=""),"",IF(IF(ISNUMBER($F31),AND(FV$2&gt;=$F31,FV$2&lt;=IF(ISNUMBER($G31),$G31,$F31+$E31-$D31)),FALSE()),2,IF(AND(FV$2&gt;=$D31,FV$2&lt;=$E31),1,"")))</f>
        <v/>
      </c>
      <c r="FW31" s="55" t="str">
        <f aca="false">IF(OR(FW$2="",$D31=""),"",IF(IF(ISNUMBER($F31),AND(FW$2&gt;=$F31,FW$2&lt;=IF(ISNUMBER($G31),$G31,$F31+$E31-$D31)),FALSE()),2,IF(AND(FW$2&gt;=$D31,FW$2&lt;=$E31),1,"")))</f>
        <v/>
      </c>
      <c r="FX31" s="55" t="str">
        <f aca="false">IF(OR(FX$2="",$D31=""),"",IF(IF(ISNUMBER($F31),AND(FX$2&gt;=$F31,FX$2&lt;=IF(ISNUMBER($G31),$G31,$F31+$E31-$D31)),FALSE()),2,IF(AND(FX$2&gt;=$D31,FX$2&lt;=$E31),1,"")))</f>
        <v/>
      </c>
      <c r="FY31" s="55" t="str">
        <f aca="false">IF(OR(FY$2="",$D31=""),"",IF(IF(ISNUMBER($F31),AND(FY$2&gt;=$F31,FY$2&lt;=IF(ISNUMBER($G31),$G31,$F31+$E31-$D31)),FALSE()),2,IF(AND(FY$2&gt;=$D31,FY$2&lt;=$E31),1,"")))</f>
        <v/>
      </c>
      <c r="FZ31" s="55" t="str">
        <f aca="false">IF(OR(FZ$2="",$D31=""),"",IF(IF(ISNUMBER($F31),AND(FZ$2&gt;=$F31,FZ$2&lt;=IF(ISNUMBER($G31),$G31,$F31+$E31-$D31)),FALSE()),2,IF(AND(FZ$2&gt;=$D31,FZ$2&lt;=$E31),1,"")))</f>
        <v/>
      </c>
      <c r="GA31" s="55" t="str">
        <f aca="false">IF(OR(GA$2="",$D31=""),"",IF(IF(ISNUMBER($F31),AND(GA$2&gt;=$F31,GA$2&lt;=IF(ISNUMBER($G31),$G31,$F31+$E31-$D31)),FALSE()),2,IF(AND(GA$2&gt;=$D31,GA$2&lt;=$E31),1,"")))</f>
        <v/>
      </c>
      <c r="GB31" s="55" t="str">
        <f aca="false">IF(OR(GB$2="",$D31=""),"",IF(IF(ISNUMBER($F31),AND(GB$2&gt;=$F31,GB$2&lt;=IF(ISNUMBER($G31),$G31,$F31+$E31-$D31)),FALSE()),2,IF(AND(GB$2&gt;=$D31,GB$2&lt;=$E31),1,"")))</f>
        <v/>
      </c>
      <c r="GC31" s="55" t="str">
        <f aca="false">IF(OR(GC$2="",$D31=""),"",IF(IF(ISNUMBER($F31),AND(GC$2&gt;=$F31,GC$2&lt;=IF(ISNUMBER($G31),$G31,$F31+$E31-$D31)),FALSE()),2,IF(AND(GC$2&gt;=$D31,GC$2&lt;=$E31),1,"")))</f>
        <v/>
      </c>
      <c r="GD31" s="55" t="str">
        <f aca="false">IF(OR(GD$2="",$D31=""),"",IF(IF(ISNUMBER($F31),AND(GD$2&gt;=$F31,GD$2&lt;=IF(ISNUMBER($G31),$G31,$F31+$E31-$D31)),FALSE()),2,IF(AND(GD$2&gt;=$D31,GD$2&lt;=$E31),1,"")))</f>
        <v/>
      </c>
      <c r="GE31" s="55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false" outlineLevel="0" collapsed="false">
      <c r="A32" s="54" t="s">
        <v>214</v>
      </c>
      <c r="B32" s="21" t="s">
        <v>366</v>
      </c>
      <c r="C32" s="21" t="s">
        <v>328</v>
      </c>
      <c r="D32" s="51" t="n">
        <f aca="false">IF(D9="","",D9)</f>
        <v>46038</v>
      </c>
      <c r="E32" s="51" t="n">
        <f aca="false">IF(D32="","",D32)</f>
        <v>46038</v>
      </c>
      <c r="F32" s="51" t="n">
        <f aca="false">IF(_xlfn.MINIFS(2_Daily_input!$D$1:$FQ$1,2_Daily_input!$D$73:$FQ$73,"Transplanting")+_xlfn.MINIFS(2_Daily_input!$D$1:$FQ$1,2_Daily_input!$D$74:$FQ$74,"Transplanting")=0,"",IF(_xlfn.MINIFS(2_Daily_input!$D$1:$FQ$1,2_Daily_input!$D$73:$FQ$73,"Transplanting")=0,_xlfn.MINIFS(2_Daily_input!$D$1:$FQ$1,2_Daily_input!$D$74:$FQ$74,"Transplanting"),IF(_xlfn.MINIFS(2_Daily_input!$D$1:$FQ$1,2_Daily_input!$D$74:$FQ$74,"Transplanting")=0,_xlfn.MINIFS(2_Daily_input!$D$1:$FQ$1,2_Daily_input!$D$73:$FQ$73,"Transplanting"),MIN(_xlfn.MINIFS(2_Daily_input!$D$1:$FQ$1,2_Daily_input!$D$73:$FQ$73,"Transplanting"),_xlfn.MINIFS(2_Daily_input!$D$1:$FQ$1,2_Daily_input!$D$74:$FQ$74,"Transplanting")))))</f>
        <v>46038</v>
      </c>
      <c r="G32" s="51" t="str">
        <f aca="false">""</f>
        <v/>
      </c>
      <c r="H32" s="50" t="str">
        <f aca="true">IF(D32="","no plan",IF(F32&lt;&gt;"",IF(F32-D32&gt;=2,"LATE","OK"),IF(TODAY()&gt;D32+2,"OVERDUE","upcoming")))</f>
        <v>OK</v>
      </c>
      <c r="I32" s="50" t="n">
        <f aca="false">IF(AND(D32&lt;&gt;"",F32&lt;&gt;""),F32-D32,"")</f>
        <v>0</v>
      </c>
      <c r="J32" s="51" t="n">
        <f aca="false">IF(F32&lt;&gt;"",F32,D32)</f>
        <v>46038</v>
      </c>
      <c r="K32" s="51" t="n">
        <f aca="false">IF(G32&lt;&gt;"",G32,IF(AND(F32&lt;&gt;"",E32=D32),F32,E32))</f>
        <v>46038</v>
      </c>
      <c r="L32" s="50" t="str">
        <f aca="true">IF(AND(D32&lt;&gt;"",F32="",D32&gt;=TODAY()),D32+ROW()/1000,"")</f>
        <v/>
      </c>
      <c r="M32" s="55" t="str">
        <f aca="false">IF(OR(M$2="",$D32=""),"",IF(IF(ISNUMBER($F32),AND(M$2&gt;=$F32,M$2&lt;=IF(ISNUMBER($G32),$G32,$F32+$E32-$D32)),FALSE()),2,IF(AND(M$2&gt;=$D32,M$2&lt;=$E32),1,"")))</f>
        <v/>
      </c>
      <c r="N32" s="55" t="str">
        <f aca="false">IF(OR(N$2="",$D32=""),"",IF(IF(ISNUMBER($F32),AND(N$2&gt;=$F32,N$2&lt;=IF(ISNUMBER($G32),$G32,$F32+$E32-$D32)),FALSE()),2,IF(AND(N$2&gt;=$D32,N$2&lt;=$E32),1,"")))</f>
        <v/>
      </c>
      <c r="O32" s="55" t="str">
        <f aca="false">IF(OR(O$2="",$D32=""),"",IF(IF(ISNUMBER($F32),AND(O$2&gt;=$F32,O$2&lt;=IF(ISNUMBER($G32),$G32,$F32+$E32-$D32)),FALSE()),2,IF(AND(O$2&gt;=$D32,O$2&lt;=$E32),1,"")))</f>
        <v/>
      </c>
      <c r="P32" s="55" t="str">
        <f aca="false">IF(OR(P$2="",$D32=""),"",IF(IF(ISNUMBER($F32),AND(P$2&gt;=$F32,P$2&lt;=IF(ISNUMBER($G32),$G32,$F32+$E32-$D32)),FALSE()),2,IF(AND(P$2&gt;=$D32,P$2&lt;=$E32),1,"")))</f>
        <v/>
      </c>
      <c r="Q32" s="55" t="str">
        <f aca="false">IF(OR(Q$2="",$D32=""),"",IF(IF(ISNUMBER($F32),AND(Q$2&gt;=$F32,Q$2&lt;=IF(ISNUMBER($G32),$G32,$F32+$E32-$D32)),FALSE()),2,IF(AND(Q$2&gt;=$D32,Q$2&lt;=$E32),1,"")))</f>
        <v/>
      </c>
      <c r="R32" s="55" t="str">
        <f aca="false">IF(OR(R$2="",$D32=""),"",IF(IF(ISNUMBER($F32),AND(R$2&gt;=$F32,R$2&lt;=IF(ISNUMBER($G32),$G32,$F32+$E32-$D32)),FALSE()),2,IF(AND(R$2&gt;=$D32,R$2&lt;=$E32),1,"")))</f>
        <v/>
      </c>
      <c r="S32" s="55" t="str">
        <f aca="false">IF(OR(S$2="",$D32=""),"",IF(IF(ISNUMBER($F32),AND(S$2&gt;=$F32,S$2&lt;=IF(ISNUMBER($G32),$G32,$F32+$E32-$D32)),FALSE()),2,IF(AND(S$2&gt;=$D32,S$2&lt;=$E32),1,"")))</f>
        <v/>
      </c>
      <c r="T32" s="55" t="str">
        <f aca="false">IF(OR(T$2="",$D32=""),"",IF(IF(ISNUMBER($F32),AND(T$2&gt;=$F32,T$2&lt;=IF(ISNUMBER($G32),$G32,$F32+$E32-$D32)),FALSE()),2,IF(AND(T$2&gt;=$D32,T$2&lt;=$E32),1,"")))</f>
        <v/>
      </c>
      <c r="U32" s="55" t="str">
        <f aca="false">IF(OR(U$2="",$D32=""),"",IF(IF(ISNUMBER($F32),AND(U$2&gt;=$F32,U$2&lt;=IF(ISNUMBER($G32),$G32,$F32+$E32-$D32)),FALSE()),2,IF(AND(U$2&gt;=$D32,U$2&lt;=$E32),1,"")))</f>
        <v/>
      </c>
      <c r="V32" s="55" t="str">
        <f aca="false">IF(OR(V$2="",$D32=""),"",IF(IF(ISNUMBER($F32),AND(V$2&gt;=$F32,V$2&lt;=IF(ISNUMBER($G32),$G32,$F32+$E32-$D32)),FALSE()),2,IF(AND(V$2&gt;=$D32,V$2&lt;=$E32),1,"")))</f>
        <v/>
      </c>
      <c r="W32" s="55" t="str">
        <f aca="false">IF(OR(W$2="",$D32=""),"",IF(IF(ISNUMBER($F32),AND(W$2&gt;=$F32,W$2&lt;=IF(ISNUMBER($G32),$G32,$F32+$E32-$D32)),FALSE()),2,IF(AND(W$2&gt;=$D32,W$2&lt;=$E32),1,"")))</f>
        <v/>
      </c>
      <c r="X32" s="55" t="str">
        <f aca="false">IF(OR(X$2="",$D32=""),"",IF(IF(ISNUMBER($F32),AND(X$2&gt;=$F32,X$2&lt;=IF(ISNUMBER($G32),$G32,$F32+$E32-$D32)),FALSE()),2,IF(AND(X$2&gt;=$D32,X$2&lt;=$E32),1,"")))</f>
        <v/>
      </c>
      <c r="Y32" s="55" t="str">
        <f aca="false">IF(OR(Y$2="",$D32=""),"",IF(IF(ISNUMBER($F32),AND(Y$2&gt;=$F32,Y$2&lt;=IF(ISNUMBER($G32),$G32,$F32+$E32-$D32)),FALSE()),2,IF(AND(Y$2&gt;=$D32,Y$2&lt;=$E32),1,"")))</f>
        <v/>
      </c>
      <c r="Z32" s="55" t="str">
        <f aca="false">IF(OR(Z$2="",$D32=""),"",IF(IF(ISNUMBER($F32),AND(Z$2&gt;=$F32,Z$2&lt;=IF(ISNUMBER($G32),$G32,$F32+$E32-$D32)),FALSE()),2,IF(AND(Z$2&gt;=$D32,Z$2&lt;=$E32),1,"")))</f>
        <v/>
      </c>
      <c r="AA32" s="55" t="str">
        <f aca="false">IF(OR(AA$2="",$D32=""),"",IF(IF(ISNUMBER($F32),AND(AA$2&gt;=$F32,AA$2&lt;=IF(ISNUMBER($G32),$G32,$F32+$E32-$D32)),FALSE()),2,IF(AND(AA$2&gt;=$D32,AA$2&lt;=$E32),1,"")))</f>
        <v/>
      </c>
      <c r="AB32" s="55" t="str">
        <f aca="false">IF(OR(AB$2="",$D32=""),"",IF(IF(ISNUMBER($F32),AND(AB$2&gt;=$F32,AB$2&lt;=IF(ISNUMBER($G32),$G32,$F32+$E32-$D32)),FALSE()),2,IF(AND(AB$2&gt;=$D32,AB$2&lt;=$E32),1,"")))</f>
        <v/>
      </c>
      <c r="AC32" s="55" t="str">
        <f aca="false">IF(OR(AC$2="",$D32=""),"",IF(IF(ISNUMBER($F32),AND(AC$2&gt;=$F32,AC$2&lt;=IF(ISNUMBER($G32),$G32,$F32+$E32-$D32)),FALSE()),2,IF(AND(AC$2&gt;=$D32,AC$2&lt;=$E32),1,"")))</f>
        <v/>
      </c>
      <c r="AD32" s="55" t="str">
        <f aca="false">IF(OR(AD$2="",$D32=""),"",IF(IF(ISNUMBER($F32),AND(AD$2&gt;=$F32,AD$2&lt;=IF(ISNUMBER($G32),$G32,$F32+$E32-$D32)),FALSE()),2,IF(AND(AD$2&gt;=$D32,AD$2&lt;=$E32),1,"")))</f>
        <v/>
      </c>
      <c r="AE32" s="55" t="str">
        <f aca="false">IF(OR(AE$2="",$D32=""),"",IF(IF(ISNUMBER($F32),AND(AE$2&gt;=$F32,AE$2&lt;=IF(ISNUMBER($G32),$G32,$F32+$E32-$D32)),FALSE()),2,IF(AND(AE$2&gt;=$D32,AE$2&lt;=$E32),1,"")))</f>
        <v/>
      </c>
      <c r="AF32" s="55" t="str">
        <f aca="false">IF(OR(AF$2="",$D32=""),"",IF(IF(ISNUMBER($F32),AND(AF$2&gt;=$F32,AF$2&lt;=IF(ISNUMBER($G32),$G32,$F32+$E32-$D32)),FALSE()),2,IF(AND(AF$2&gt;=$D32,AF$2&lt;=$E32),1,"")))</f>
        <v/>
      </c>
      <c r="AG32" s="55" t="str">
        <f aca="false">IF(OR(AG$2="",$D32=""),"",IF(IF(ISNUMBER($F32),AND(AG$2&gt;=$F32,AG$2&lt;=IF(ISNUMBER($G32),$G32,$F32+$E32-$D32)),FALSE()),2,IF(AND(AG$2&gt;=$D32,AG$2&lt;=$E32),1,"")))</f>
        <v/>
      </c>
      <c r="AH32" s="55" t="str">
        <f aca="false">IF(OR(AH$2="",$D32=""),"",IF(IF(ISNUMBER($F32),AND(AH$2&gt;=$F32,AH$2&lt;=IF(ISNUMBER($G32),$G32,$F32+$E32-$D32)),FALSE()),2,IF(AND(AH$2&gt;=$D32,AH$2&lt;=$E32),1,"")))</f>
        <v/>
      </c>
      <c r="AI32" s="55" t="str">
        <f aca="false">IF(OR(AI$2="",$D32=""),"",IF(IF(ISNUMBER($F32),AND(AI$2&gt;=$F32,AI$2&lt;=IF(ISNUMBER($G32),$G32,$F32+$E32-$D32)),FALSE()),2,IF(AND(AI$2&gt;=$D32,AI$2&lt;=$E32),1,"")))</f>
        <v/>
      </c>
      <c r="AJ32" s="55" t="str">
        <f aca="false">IF(OR(AJ$2="",$D32=""),"",IF(IF(ISNUMBER($F32),AND(AJ$2&gt;=$F32,AJ$2&lt;=IF(ISNUMBER($G32),$G32,$F32+$E32-$D32)),FALSE()),2,IF(AND(AJ$2&gt;=$D32,AJ$2&lt;=$E32),1,"")))</f>
        <v/>
      </c>
      <c r="AK32" s="55" t="str">
        <f aca="false">IF(OR(AK$2="",$D32=""),"",IF(IF(ISNUMBER($F32),AND(AK$2&gt;=$F32,AK$2&lt;=IF(ISNUMBER($G32),$G32,$F32+$E32-$D32)),FALSE()),2,IF(AND(AK$2&gt;=$D32,AK$2&lt;=$E32),1,"")))</f>
        <v/>
      </c>
      <c r="AL32" s="55" t="str">
        <f aca="false">IF(OR(AL$2="",$D32=""),"",IF(IF(ISNUMBER($F32),AND(AL$2&gt;=$F32,AL$2&lt;=IF(ISNUMBER($G32),$G32,$F32+$E32-$D32)),FALSE()),2,IF(AND(AL$2&gt;=$D32,AL$2&lt;=$E32),1,"")))</f>
        <v/>
      </c>
      <c r="AM32" s="55" t="str">
        <f aca="false">IF(OR(AM$2="",$D32=""),"",IF(IF(ISNUMBER($F32),AND(AM$2&gt;=$F32,AM$2&lt;=IF(ISNUMBER($G32),$G32,$F32+$E32-$D32)),FALSE()),2,IF(AND(AM$2&gt;=$D32,AM$2&lt;=$E32),1,"")))</f>
        <v/>
      </c>
      <c r="AN32" s="55" t="str">
        <f aca="false">IF(OR(AN$2="",$D32=""),"",IF(IF(ISNUMBER($F32),AND(AN$2&gt;=$F32,AN$2&lt;=IF(ISNUMBER($G32),$G32,$F32+$E32-$D32)),FALSE()),2,IF(AND(AN$2&gt;=$D32,AN$2&lt;=$E32),1,"")))</f>
        <v/>
      </c>
      <c r="AO32" s="55" t="str">
        <f aca="false">IF(OR(AO$2="",$D32=""),"",IF(IF(ISNUMBER($F32),AND(AO$2&gt;=$F32,AO$2&lt;=IF(ISNUMBER($G32),$G32,$F32+$E32-$D32)),FALSE()),2,IF(AND(AO$2&gt;=$D32,AO$2&lt;=$E32),1,"")))</f>
        <v/>
      </c>
      <c r="AP32" s="55" t="str">
        <f aca="false">IF(OR(AP$2="",$D32=""),"",IF(IF(ISNUMBER($F32),AND(AP$2&gt;=$F32,AP$2&lt;=IF(ISNUMBER($G32),$G32,$F32+$E32-$D32)),FALSE()),2,IF(AND(AP$2&gt;=$D32,AP$2&lt;=$E32),1,"")))</f>
        <v/>
      </c>
      <c r="AQ32" s="55" t="str">
        <f aca="false">IF(OR(AQ$2="",$D32=""),"",IF(IF(ISNUMBER($F32),AND(AQ$2&gt;=$F32,AQ$2&lt;=IF(ISNUMBER($G32),$G32,$F32+$E32-$D32)),FALSE()),2,IF(AND(AQ$2&gt;=$D32,AQ$2&lt;=$E32),1,"")))</f>
        <v/>
      </c>
      <c r="AR32" s="55" t="str">
        <f aca="false">IF(OR(AR$2="",$D32=""),"",IF(IF(ISNUMBER($F32),AND(AR$2&gt;=$F32,AR$2&lt;=IF(ISNUMBER($G32),$G32,$F32+$E32-$D32)),FALSE()),2,IF(AND(AR$2&gt;=$D32,AR$2&lt;=$E32),1,"")))</f>
        <v/>
      </c>
      <c r="AS32" s="55" t="str">
        <f aca="false">IF(OR(AS$2="",$D32=""),"",IF(IF(ISNUMBER($F32),AND(AS$2&gt;=$F32,AS$2&lt;=IF(ISNUMBER($G32),$G32,$F32+$E32-$D32)),FALSE()),2,IF(AND(AS$2&gt;=$D32,AS$2&lt;=$E32),1,"")))</f>
        <v/>
      </c>
      <c r="AT32" s="55" t="str">
        <f aca="false">IF(OR(AT$2="",$D32=""),"",IF(IF(ISNUMBER($F32),AND(AT$2&gt;=$F32,AT$2&lt;=IF(ISNUMBER($G32),$G32,$F32+$E32-$D32)),FALSE()),2,IF(AND(AT$2&gt;=$D32,AT$2&lt;=$E32),1,"")))</f>
        <v/>
      </c>
      <c r="AU32" s="55" t="str">
        <f aca="false">IF(OR(AU$2="",$D32=""),"",IF(IF(ISNUMBER($F32),AND(AU$2&gt;=$F32,AU$2&lt;=IF(ISNUMBER($G32),$G32,$F32+$E32-$D32)),FALSE()),2,IF(AND(AU$2&gt;=$D32,AU$2&lt;=$E32),1,"")))</f>
        <v/>
      </c>
      <c r="AV32" s="55" t="str">
        <f aca="false">IF(OR(AV$2="",$D32=""),"",IF(IF(ISNUMBER($F32),AND(AV$2&gt;=$F32,AV$2&lt;=IF(ISNUMBER($G32),$G32,$F32+$E32-$D32)),FALSE()),2,IF(AND(AV$2&gt;=$D32,AV$2&lt;=$E32),1,"")))</f>
        <v/>
      </c>
      <c r="AW32" s="55" t="str">
        <f aca="false">IF(OR(AW$2="",$D32=""),"",IF(IF(ISNUMBER($F32),AND(AW$2&gt;=$F32,AW$2&lt;=IF(ISNUMBER($G32),$G32,$F32+$E32-$D32)),FALSE()),2,IF(AND(AW$2&gt;=$D32,AW$2&lt;=$E32),1,"")))</f>
        <v/>
      </c>
      <c r="AX32" s="55" t="str">
        <f aca="false">IF(OR(AX$2="",$D32=""),"",IF(IF(ISNUMBER($F32),AND(AX$2&gt;=$F32,AX$2&lt;=IF(ISNUMBER($G32),$G32,$F32+$E32-$D32)),FALSE()),2,IF(AND(AX$2&gt;=$D32,AX$2&lt;=$E32),1,"")))</f>
        <v/>
      </c>
      <c r="AY32" s="55" t="str">
        <f aca="false">IF(OR(AY$2="",$D32=""),"",IF(IF(ISNUMBER($F32),AND(AY$2&gt;=$F32,AY$2&lt;=IF(ISNUMBER($G32),$G32,$F32+$E32-$D32)),FALSE()),2,IF(AND(AY$2&gt;=$D32,AY$2&lt;=$E32),1,"")))</f>
        <v/>
      </c>
      <c r="AZ32" s="55" t="str">
        <f aca="false">IF(OR(AZ$2="",$D32=""),"",IF(IF(ISNUMBER($F32),AND(AZ$2&gt;=$F32,AZ$2&lt;=IF(ISNUMBER($G32),$G32,$F32+$E32-$D32)),FALSE()),2,IF(AND(AZ$2&gt;=$D32,AZ$2&lt;=$E32),1,"")))</f>
        <v/>
      </c>
      <c r="BA32" s="55" t="str">
        <f aca="false">IF(OR(BA$2="",$D32=""),"",IF(IF(ISNUMBER($F32),AND(BA$2&gt;=$F32,BA$2&lt;=IF(ISNUMBER($G32),$G32,$F32+$E32-$D32)),FALSE()),2,IF(AND(BA$2&gt;=$D32,BA$2&lt;=$E32),1,"")))</f>
        <v/>
      </c>
      <c r="BB32" s="55" t="str">
        <f aca="false">IF(OR(BB$2="",$D32=""),"",IF(IF(ISNUMBER($F32),AND(BB$2&gt;=$F32,BB$2&lt;=IF(ISNUMBER($G32),$G32,$F32+$E32-$D32)),FALSE()),2,IF(AND(BB$2&gt;=$D32,BB$2&lt;=$E32),1,"")))</f>
        <v/>
      </c>
      <c r="BC32" s="55" t="str">
        <f aca="false">IF(OR(BC$2="",$D32=""),"",IF(IF(ISNUMBER($F32),AND(BC$2&gt;=$F32,BC$2&lt;=IF(ISNUMBER($G32),$G32,$F32+$E32-$D32)),FALSE()),2,IF(AND(BC$2&gt;=$D32,BC$2&lt;=$E32),1,"")))</f>
        <v/>
      </c>
      <c r="BD32" s="55" t="str">
        <f aca="false">IF(OR(BD$2="",$D32=""),"",IF(IF(ISNUMBER($F32),AND(BD$2&gt;=$F32,BD$2&lt;=IF(ISNUMBER($G32),$G32,$F32+$E32-$D32)),FALSE()),2,IF(AND(BD$2&gt;=$D32,BD$2&lt;=$E32),1,"")))</f>
        <v/>
      </c>
      <c r="BE32" s="55" t="str">
        <f aca="false">IF(OR(BE$2="",$D32=""),"",IF(IF(ISNUMBER($F32),AND(BE$2&gt;=$F32,BE$2&lt;=IF(ISNUMBER($G32),$G32,$F32+$E32-$D32)),FALSE()),2,IF(AND(BE$2&gt;=$D32,BE$2&lt;=$E32),1,"")))</f>
        <v/>
      </c>
      <c r="BF32" s="55" t="str">
        <f aca="false">IF(OR(BF$2="",$D32=""),"",IF(IF(ISNUMBER($F32),AND(BF$2&gt;=$F32,BF$2&lt;=IF(ISNUMBER($G32),$G32,$F32+$E32-$D32)),FALSE()),2,IF(AND(BF$2&gt;=$D32,BF$2&lt;=$E32),1,"")))</f>
        <v/>
      </c>
      <c r="BG32" s="55" t="str">
        <f aca="false">IF(OR(BG$2="",$D32=""),"",IF(IF(ISNUMBER($F32),AND(BG$2&gt;=$F32,BG$2&lt;=IF(ISNUMBER($G32),$G32,$F32+$E32-$D32)),FALSE()),2,IF(AND(BG$2&gt;=$D32,BG$2&lt;=$E32),1,"")))</f>
        <v/>
      </c>
      <c r="BH32" s="55" t="str">
        <f aca="false">IF(OR(BH$2="",$D32=""),"",IF(IF(ISNUMBER($F32),AND(BH$2&gt;=$F32,BH$2&lt;=IF(ISNUMBER($G32),$G32,$F32+$E32-$D32)),FALSE()),2,IF(AND(BH$2&gt;=$D32,BH$2&lt;=$E32),1,"")))</f>
        <v/>
      </c>
      <c r="BI32" s="55" t="str">
        <f aca="false">IF(OR(BI$2="",$D32=""),"",IF(IF(ISNUMBER($F32),AND(BI$2&gt;=$F32,BI$2&lt;=IF(ISNUMBER($G32),$G32,$F32+$E32-$D32)),FALSE()),2,IF(AND(BI$2&gt;=$D32,BI$2&lt;=$E32),1,"")))</f>
        <v/>
      </c>
      <c r="BJ32" s="55" t="str">
        <f aca="false">IF(OR(BJ$2="",$D32=""),"",IF(IF(ISNUMBER($F32),AND(BJ$2&gt;=$F32,BJ$2&lt;=IF(ISNUMBER($G32),$G32,$F32+$E32-$D32)),FALSE()),2,IF(AND(BJ$2&gt;=$D32,BJ$2&lt;=$E32),1,"")))</f>
        <v/>
      </c>
      <c r="BK32" s="55" t="str">
        <f aca="false">IF(OR(BK$2="",$D32=""),"",IF(IF(ISNUMBER($F32),AND(BK$2&gt;=$F32,BK$2&lt;=IF(ISNUMBER($G32),$G32,$F32+$E32-$D32)),FALSE()),2,IF(AND(BK$2&gt;=$D32,BK$2&lt;=$E32),1,"")))</f>
        <v/>
      </c>
      <c r="BL32" s="55" t="str">
        <f aca="false">IF(OR(BL$2="",$D32=""),"",IF(IF(ISNUMBER($F32),AND(BL$2&gt;=$F32,BL$2&lt;=IF(ISNUMBER($G32),$G32,$F32+$E32-$D32)),FALSE()),2,IF(AND(BL$2&gt;=$D32,BL$2&lt;=$E32),1,"")))</f>
        <v/>
      </c>
      <c r="BM32" s="55" t="n">
        <f aca="false">IF(OR(BM$2="",$D32=""),"",IF(IF(ISNUMBER($F32),AND(BM$2&gt;=$F32,BM$2&lt;=IF(ISNUMBER($G32),$G32,$F32+$E32-$D32)),FALSE()),2,IF(AND(BM$2&gt;=$D32,BM$2&lt;=$E32),1,"")))</f>
        <v>2</v>
      </c>
      <c r="BN32" s="55" t="str">
        <f aca="false">IF(OR(BN$2="",$D32=""),"",IF(IF(ISNUMBER($F32),AND(BN$2&gt;=$F32,BN$2&lt;=IF(ISNUMBER($G32),$G32,$F32+$E32-$D32)),FALSE()),2,IF(AND(BN$2&gt;=$D32,BN$2&lt;=$E32),1,"")))</f>
        <v/>
      </c>
      <c r="BO32" s="55" t="str">
        <f aca="false">IF(OR(BO$2="",$D32=""),"",IF(IF(ISNUMBER($F32),AND(BO$2&gt;=$F32,BO$2&lt;=IF(ISNUMBER($G32),$G32,$F32+$E32-$D32)),FALSE()),2,IF(AND(BO$2&gt;=$D32,BO$2&lt;=$E32),1,"")))</f>
        <v/>
      </c>
      <c r="BP32" s="55" t="str">
        <f aca="false">IF(OR(BP$2="",$D32=""),"",IF(IF(ISNUMBER($F32),AND(BP$2&gt;=$F32,BP$2&lt;=IF(ISNUMBER($G32),$G32,$F32+$E32-$D32)),FALSE()),2,IF(AND(BP$2&gt;=$D32,BP$2&lt;=$E32),1,"")))</f>
        <v/>
      </c>
      <c r="BQ32" s="55" t="str">
        <f aca="false">IF(OR(BQ$2="",$D32=""),"",IF(IF(ISNUMBER($F32),AND(BQ$2&gt;=$F32,BQ$2&lt;=IF(ISNUMBER($G32),$G32,$F32+$E32-$D32)),FALSE()),2,IF(AND(BQ$2&gt;=$D32,BQ$2&lt;=$E32),1,"")))</f>
        <v/>
      </c>
      <c r="BR32" s="55" t="str">
        <f aca="false">IF(OR(BR$2="",$D32=""),"",IF(IF(ISNUMBER($F32),AND(BR$2&gt;=$F32,BR$2&lt;=IF(ISNUMBER($G32),$G32,$F32+$E32-$D32)),FALSE()),2,IF(AND(BR$2&gt;=$D32,BR$2&lt;=$E32),1,"")))</f>
        <v/>
      </c>
      <c r="BS32" s="55" t="str">
        <f aca="false">IF(OR(BS$2="",$D32=""),"",IF(IF(ISNUMBER($F32),AND(BS$2&gt;=$F32,BS$2&lt;=IF(ISNUMBER($G32),$G32,$F32+$E32-$D32)),FALSE()),2,IF(AND(BS$2&gt;=$D32,BS$2&lt;=$E32),1,"")))</f>
        <v/>
      </c>
      <c r="BT32" s="55" t="str">
        <f aca="false">IF(OR(BT$2="",$D32=""),"",IF(IF(ISNUMBER($F32),AND(BT$2&gt;=$F32,BT$2&lt;=IF(ISNUMBER($G32),$G32,$F32+$E32-$D32)),FALSE()),2,IF(AND(BT$2&gt;=$D32,BT$2&lt;=$E32),1,"")))</f>
        <v/>
      </c>
      <c r="BU32" s="55" t="str">
        <f aca="false">IF(OR(BU$2="",$D32=""),"",IF(IF(ISNUMBER($F32),AND(BU$2&gt;=$F32,BU$2&lt;=IF(ISNUMBER($G32),$G32,$F32+$E32-$D32)),FALSE()),2,IF(AND(BU$2&gt;=$D32,BU$2&lt;=$E32),1,"")))</f>
        <v/>
      </c>
      <c r="BV32" s="55" t="str">
        <f aca="false">IF(OR(BV$2="",$D32=""),"",IF(IF(ISNUMBER($F32),AND(BV$2&gt;=$F32,BV$2&lt;=IF(ISNUMBER($G32),$G32,$F32+$E32-$D32)),FALSE()),2,IF(AND(BV$2&gt;=$D32,BV$2&lt;=$E32),1,"")))</f>
        <v/>
      </c>
      <c r="BW32" s="55" t="str">
        <f aca="false">IF(OR(BW$2="",$D32=""),"",IF(IF(ISNUMBER($F32),AND(BW$2&gt;=$F32,BW$2&lt;=IF(ISNUMBER($G32),$G32,$F32+$E32-$D32)),FALSE()),2,IF(AND(BW$2&gt;=$D32,BW$2&lt;=$E32),1,"")))</f>
        <v/>
      </c>
      <c r="BX32" s="55" t="str">
        <f aca="false">IF(OR(BX$2="",$D32=""),"",IF(IF(ISNUMBER($F32),AND(BX$2&gt;=$F32,BX$2&lt;=IF(ISNUMBER($G32),$G32,$F32+$E32-$D32)),FALSE()),2,IF(AND(BX$2&gt;=$D32,BX$2&lt;=$E32),1,"")))</f>
        <v/>
      </c>
      <c r="BY32" s="55" t="str">
        <f aca="false">IF(OR(BY$2="",$D32=""),"",IF(IF(ISNUMBER($F32),AND(BY$2&gt;=$F32,BY$2&lt;=IF(ISNUMBER($G32),$G32,$F32+$E32-$D32)),FALSE()),2,IF(AND(BY$2&gt;=$D32,BY$2&lt;=$E32),1,"")))</f>
        <v/>
      </c>
      <c r="BZ32" s="55" t="str">
        <f aca="false">IF(OR(BZ$2="",$D32=""),"",IF(IF(ISNUMBER($F32),AND(BZ$2&gt;=$F32,BZ$2&lt;=IF(ISNUMBER($G32),$G32,$F32+$E32-$D32)),FALSE()),2,IF(AND(BZ$2&gt;=$D32,BZ$2&lt;=$E32),1,"")))</f>
        <v/>
      </c>
      <c r="CA32" s="55" t="str">
        <f aca="false">IF(OR(CA$2="",$D32=""),"",IF(IF(ISNUMBER($F32),AND(CA$2&gt;=$F32,CA$2&lt;=IF(ISNUMBER($G32),$G32,$F32+$E32-$D32)),FALSE()),2,IF(AND(CA$2&gt;=$D32,CA$2&lt;=$E32),1,"")))</f>
        <v/>
      </c>
      <c r="CB32" s="55" t="str">
        <f aca="false">IF(OR(CB$2="",$D32=""),"",IF(IF(ISNUMBER($F32),AND(CB$2&gt;=$F32,CB$2&lt;=IF(ISNUMBER($G32),$G32,$F32+$E32-$D32)),FALSE()),2,IF(AND(CB$2&gt;=$D32,CB$2&lt;=$E32),1,"")))</f>
        <v/>
      </c>
      <c r="CC32" s="55" t="str">
        <f aca="false">IF(OR(CC$2="",$D32=""),"",IF(IF(ISNUMBER($F32),AND(CC$2&gt;=$F32,CC$2&lt;=IF(ISNUMBER($G32),$G32,$F32+$E32-$D32)),FALSE()),2,IF(AND(CC$2&gt;=$D32,CC$2&lt;=$E32),1,"")))</f>
        <v/>
      </c>
      <c r="CD32" s="55" t="str">
        <f aca="false">IF(OR(CD$2="",$D32=""),"",IF(IF(ISNUMBER($F32),AND(CD$2&gt;=$F32,CD$2&lt;=IF(ISNUMBER($G32),$G32,$F32+$E32-$D32)),FALSE()),2,IF(AND(CD$2&gt;=$D32,CD$2&lt;=$E32),1,"")))</f>
        <v/>
      </c>
      <c r="CE32" s="55" t="str">
        <f aca="false">IF(OR(CE$2="",$D32=""),"",IF(IF(ISNUMBER($F32),AND(CE$2&gt;=$F32,CE$2&lt;=IF(ISNUMBER($G32),$G32,$F32+$E32-$D32)),FALSE()),2,IF(AND(CE$2&gt;=$D32,CE$2&lt;=$E32),1,"")))</f>
        <v/>
      </c>
      <c r="CF32" s="55" t="str">
        <f aca="false">IF(OR(CF$2="",$D32=""),"",IF(IF(ISNUMBER($F32),AND(CF$2&gt;=$F32,CF$2&lt;=IF(ISNUMBER($G32),$G32,$F32+$E32-$D32)),FALSE()),2,IF(AND(CF$2&gt;=$D32,CF$2&lt;=$E32),1,"")))</f>
        <v/>
      </c>
      <c r="CG32" s="55" t="str">
        <f aca="false">IF(OR(CG$2="",$D32=""),"",IF(IF(ISNUMBER($F32),AND(CG$2&gt;=$F32,CG$2&lt;=IF(ISNUMBER($G32),$G32,$F32+$E32-$D32)),FALSE()),2,IF(AND(CG$2&gt;=$D32,CG$2&lt;=$E32),1,"")))</f>
        <v/>
      </c>
      <c r="CH32" s="55" t="str">
        <f aca="false">IF(OR(CH$2="",$D32=""),"",IF(IF(ISNUMBER($F32),AND(CH$2&gt;=$F32,CH$2&lt;=IF(ISNUMBER($G32),$G32,$F32+$E32-$D32)),FALSE()),2,IF(AND(CH$2&gt;=$D32,CH$2&lt;=$E32),1,"")))</f>
        <v/>
      </c>
      <c r="CI32" s="55" t="str">
        <f aca="false">IF(OR(CI$2="",$D32=""),"",IF(IF(ISNUMBER($F32),AND(CI$2&gt;=$F32,CI$2&lt;=IF(ISNUMBER($G32),$G32,$F32+$E32-$D32)),FALSE()),2,IF(AND(CI$2&gt;=$D32,CI$2&lt;=$E32),1,"")))</f>
        <v/>
      </c>
      <c r="CJ32" s="55" t="str">
        <f aca="false">IF(OR(CJ$2="",$D32=""),"",IF(IF(ISNUMBER($F32),AND(CJ$2&gt;=$F32,CJ$2&lt;=IF(ISNUMBER($G32),$G32,$F32+$E32-$D32)),FALSE()),2,IF(AND(CJ$2&gt;=$D32,CJ$2&lt;=$E32),1,"")))</f>
        <v/>
      </c>
      <c r="CK32" s="55" t="str">
        <f aca="false">IF(OR(CK$2="",$D32=""),"",IF(IF(ISNUMBER($F32),AND(CK$2&gt;=$F32,CK$2&lt;=IF(ISNUMBER($G32),$G32,$F32+$E32-$D32)),FALSE()),2,IF(AND(CK$2&gt;=$D32,CK$2&lt;=$E32),1,"")))</f>
        <v/>
      </c>
      <c r="CL32" s="55" t="str">
        <f aca="false">IF(OR(CL$2="",$D32=""),"",IF(IF(ISNUMBER($F32),AND(CL$2&gt;=$F32,CL$2&lt;=IF(ISNUMBER($G32),$G32,$F32+$E32-$D32)),FALSE()),2,IF(AND(CL$2&gt;=$D32,CL$2&lt;=$E32),1,"")))</f>
        <v/>
      </c>
      <c r="CM32" s="55" t="str">
        <f aca="false">IF(OR(CM$2="",$D32=""),"",IF(IF(ISNUMBER($F32),AND(CM$2&gt;=$F32,CM$2&lt;=IF(ISNUMBER($G32),$G32,$F32+$E32-$D32)),FALSE()),2,IF(AND(CM$2&gt;=$D32,CM$2&lt;=$E32),1,"")))</f>
        <v/>
      </c>
      <c r="CN32" s="55" t="str">
        <f aca="false">IF(OR(CN$2="",$D32=""),"",IF(IF(ISNUMBER($F32),AND(CN$2&gt;=$F32,CN$2&lt;=IF(ISNUMBER($G32),$G32,$F32+$E32-$D32)),FALSE()),2,IF(AND(CN$2&gt;=$D32,CN$2&lt;=$E32),1,"")))</f>
        <v/>
      </c>
      <c r="CO32" s="55" t="str">
        <f aca="false">IF(OR(CO$2="",$D32=""),"",IF(IF(ISNUMBER($F32),AND(CO$2&gt;=$F32,CO$2&lt;=IF(ISNUMBER($G32),$G32,$F32+$E32-$D32)),FALSE()),2,IF(AND(CO$2&gt;=$D32,CO$2&lt;=$E32),1,"")))</f>
        <v/>
      </c>
      <c r="CP32" s="55" t="str">
        <f aca="false">IF(OR(CP$2="",$D32=""),"",IF(IF(ISNUMBER($F32),AND(CP$2&gt;=$F32,CP$2&lt;=IF(ISNUMBER($G32),$G32,$F32+$E32-$D32)),FALSE()),2,IF(AND(CP$2&gt;=$D32,CP$2&lt;=$E32),1,"")))</f>
        <v/>
      </c>
      <c r="CQ32" s="55" t="str">
        <f aca="false">IF(OR(CQ$2="",$D32=""),"",IF(IF(ISNUMBER($F32),AND(CQ$2&gt;=$F32,CQ$2&lt;=IF(ISNUMBER($G32),$G32,$F32+$E32-$D32)),FALSE()),2,IF(AND(CQ$2&gt;=$D32,CQ$2&lt;=$E32),1,"")))</f>
        <v/>
      </c>
      <c r="CR32" s="55" t="str">
        <f aca="false">IF(OR(CR$2="",$D32=""),"",IF(IF(ISNUMBER($F32),AND(CR$2&gt;=$F32,CR$2&lt;=IF(ISNUMBER($G32),$G32,$F32+$E32-$D32)),FALSE()),2,IF(AND(CR$2&gt;=$D32,CR$2&lt;=$E32),1,"")))</f>
        <v/>
      </c>
      <c r="CS32" s="55" t="str">
        <f aca="false">IF(OR(CS$2="",$D32=""),"",IF(IF(ISNUMBER($F32),AND(CS$2&gt;=$F32,CS$2&lt;=IF(ISNUMBER($G32),$G32,$F32+$E32-$D32)),FALSE()),2,IF(AND(CS$2&gt;=$D32,CS$2&lt;=$E32),1,"")))</f>
        <v/>
      </c>
      <c r="CT32" s="55" t="str">
        <f aca="false">IF(OR(CT$2="",$D32=""),"",IF(IF(ISNUMBER($F32),AND(CT$2&gt;=$F32,CT$2&lt;=IF(ISNUMBER($G32),$G32,$F32+$E32-$D32)),FALSE()),2,IF(AND(CT$2&gt;=$D32,CT$2&lt;=$E32),1,"")))</f>
        <v/>
      </c>
      <c r="CU32" s="55" t="str">
        <f aca="false">IF(OR(CU$2="",$D32=""),"",IF(IF(ISNUMBER($F32),AND(CU$2&gt;=$F32,CU$2&lt;=IF(ISNUMBER($G32),$G32,$F32+$E32-$D32)),FALSE()),2,IF(AND(CU$2&gt;=$D32,CU$2&lt;=$E32),1,"")))</f>
        <v/>
      </c>
      <c r="CV32" s="55" t="str">
        <f aca="false">IF(OR(CV$2="",$D32=""),"",IF(IF(ISNUMBER($F32),AND(CV$2&gt;=$F32,CV$2&lt;=IF(ISNUMBER($G32),$G32,$F32+$E32-$D32)),FALSE()),2,IF(AND(CV$2&gt;=$D32,CV$2&lt;=$E32),1,"")))</f>
        <v/>
      </c>
      <c r="CW32" s="55" t="str">
        <f aca="false">IF(OR(CW$2="",$D32=""),"",IF(IF(ISNUMBER($F32),AND(CW$2&gt;=$F32,CW$2&lt;=IF(ISNUMBER($G32),$G32,$F32+$E32-$D32)),FALSE()),2,IF(AND(CW$2&gt;=$D32,CW$2&lt;=$E32),1,"")))</f>
        <v/>
      </c>
      <c r="CX32" s="55" t="str">
        <f aca="false">IF(OR(CX$2="",$D32=""),"",IF(IF(ISNUMBER($F32),AND(CX$2&gt;=$F32,CX$2&lt;=IF(ISNUMBER($G32),$G32,$F32+$E32-$D32)),FALSE()),2,IF(AND(CX$2&gt;=$D32,CX$2&lt;=$E32),1,"")))</f>
        <v/>
      </c>
      <c r="CY32" s="55" t="str">
        <f aca="false">IF(OR(CY$2="",$D32=""),"",IF(IF(ISNUMBER($F32),AND(CY$2&gt;=$F32,CY$2&lt;=IF(ISNUMBER($G32),$G32,$F32+$E32-$D32)),FALSE()),2,IF(AND(CY$2&gt;=$D32,CY$2&lt;=$E32),1,"")))</f>
        <v/>
      </c>
      <c r="CZ32" s="55" t="str">
        <f aca="false">IF(OR(CZ$2="",$D32=""),"",IF(IF(ISNUMBER($F32),AND(CZ$2&gt;=$F32,CZ$2&lt;=IF(ISNUMBER($G32),$G32,$F32+$E32-$D32)),FALSE()),2,IF(AND(CZ$2&gt;=$D32,CZ$2&lt;=$E32),1,"")))</f>
        <v/>
      </c>
      <c r="DA32" s="55" t="str">
        <f aca="false">IF(OR(DA$2="",$D32=""),"",IF(IF(ISNUMBER($F32),AND(DA$2&gt;=$F32,DA$2&lt;=IF(ISNUMBER($G32),$G32,$F32+$E32-$D32)),FALSE()),2,IF(AND(DA$2&gt;=$D32,DA$2&lt;=$E32),1,"")))</f>
        <v/>
      </c>
      <c r="DB32" s="55" t="str">
        <f aca="false">IF(OR(DB$2="",$D32=""),"",IF(IF(ISNUMBER($F32),AND(DB$2&gt;=$F32,DB$2&lt;=IF(ISNUMBER($G32),$G32,$F32+$E32-$D32)),FALSE()),2,IF(AND(DB$2&gt;=$D32,DB$2&lt;=$E32),1,"")))</f>
        <v/>
      </c>
      <c r="DC32" s="55" t="str">
        <f aca="false">IF(OR(DC$2="",$D32=""),"",IF(IF(ISNUMBER($F32),AND(DC$2&gt;=$F32,DC$2&lt;=IF(ISNUMBER($G32),$G32,$F32+$E32-$D32)),FALSE()),2,IF(AND(DC$2&gt;=$D32,DC$2&lt;=$E32),1,"")))</f>
        <v/>
      </c>
      <c r="DD32" s="55" t="str">
        <f aca="false">IF(OR(DD$2="",$D32=""),"",IF(IF(ISNUMBER($F32),AND(DD$2&gt;=$F32,DD$2&lt;=IF(ISNUMBER($G32),$G32,$F32+$E32-$D32)),FALSE()),2,IF(AND(DD$2&gt;=$D32,DD$2&lt;=$E32),1,"")))</f>
        <v/>
      </c>
      <c r="DE32" s="55" t="str">
        <f aca="false">IF(OR(DE$2="",$D32=""),"",IF(IF(ISNUMBER($F32),AND(DE$2&gt;=$F32,DE$2&lt;=IF(ISNUMBER($G32),$G32,$F32+$E32-$D32)),FALSE()),2,IF(AND(DE$2&gt;=$D32,DE$2&lt;=$E32),1,"")))</f>
        <v/>
      </c>
      <c r="DF32" s="55" t="str">
        <f aca="false">IF(OR(DF$2="",$D32=""),"",IF(IF(ISNUMBER($F32),AND(DF$2&gt;=$F32,DF$2&lt;=IF(ISNUMBER($G32),$G32,$F32+$E32-$D32)),FALSE()),2,IF(AND(DF$2&gt;=$D32,DF$2&lt;=$E32),1,"")))</f>
        <v/>
      </c>
      <c r="DG32" s="55" t="str">
        <f aca="false">IF(OR(DG$2="",$D32=""),"",IF(IF(ISNUMBER($F32),AND(DG$2&gt;=$F32,DG$2&lt;=IF(ISNUMBER($G32),$G32,$F32+$E32-$D32)),FALSE()),2,IF(AND(DG$2&gt;=$D32,DG$2&lt;=$E32),1,"")))</f>
        <v/>
      </c>
      <c r="DH32" s="55" t="str">
        <f aca="false">IF(OR(DH$2="",$D32=""),"",IF(IF(ISNUMBER($F32),AND(DH$2&gt;=$F32,DH$2&lt;=IF(ISNUMBER($G32),$G32,$F32+$E32-$D32)),FALSE()),2,IF(AND(DH$2&gt;=$D32,DH$2&lt;=$E32),1,"")))</f>
        <v/>
      </c>
      <c r="DI32" s="55" t="str">
        <f aca="false">IF(OR(DI$2="",$D32=""),"",IF(IF(ISNUMBER($F32),AND(DI$2&gt;=$F32,DI$2&lt;=IF(ISNUMBER($G32),$G32,$F32+$E32-$D32)),FALSE()),2,IF(AND(DI$2&gt;=$D32,DI$2&lt;=$E32),1,"")))</f>
        <v/>
      </c>
      <c r="DJ32" s="55" t="str">
        <f aca="false">IF(OR(DJ$2="",$D32=""),"",IF(IF(ISNUMBER($F32),AND(DJ$2&gt;=$F32,DJ$2&lt;=IF(ISNUMBER($G32),$G32,$F32+$E32-$D32)),FALSE()),2,IF(AND(DJ$2&gt;=$D32,DJ$2&lt;=$E32),1,"")))</f>
        <v/>
      </c>
      <c r="DK32" s="55" t="str">
        <f aca="false">IF(OR(DK$2="",$D32=""),"",IF(IF(ISNUMBER($F32),AND(DK$2&gt;=$F32,DK$2&lt;=IF(ISNUMBER($G32),$G32,$F32+$E32-$D32)),FALSE()),2,IF(AND(DK$2&gt;=$D32,DK$2&lt;=$E32),1,"")))</f>
        <v/>
      </c>
      <c r="DL32" s="55" t="str">
        <f aca="false">IF(OR(DL$2="",$D32=""),"",IF(IF(ISNUMBER($F32),AND(DL$2&gt;=$F32,DL$2&lt;=IF(ISNUMBER($G32),$G32,$F32+$E32-$D32)),FALSE()),2,IF(AND(DL$2&gt;=$D32,DL$2&lt;=$E32),1,"")))</f>
        <v/>
      </c>
      <c r="DM32" s="55" t="str">
        <f aca="false">IF(OR(DM$2="",$D32=""),"",IF(IF(ISNUMBER($F32),AND(DM$2&gt;=$F32,DM$2&lt;=IF(ISNUMBER($G32),$G32,$F32+$E32-$D32)),FALSE()),2,IF(AND(DM$2&gt;=$D32,DM$2&lt;=$E32),1,"")))</f>
        <v/>
      </c>
      <c r="DN32" s="55" t="str">
        <f aca="false">IF(OR(DN$2="",$D32=""),"",IF(IF(ISNUMBER($F32),AND(DN$2&gt;=$F32,DN$2&lt;=IF(ISNUMBER($G32),$G32,$F32+$E32-$D32)),FALSE()),2,IF(AND(DN$2&gt;=$D32,DN$2&lt;=$E32),1,"")))</f>
        <v/>
      </c>
      <c r="DO32" s="55" t="str">
        <f aca="false">IF(OR(DO$2="",$D32=""),"",IF(IF(ISNUMBER($F32),AND(DO$2&gt;=$F32,DO$2&lt;=IF(ISNUMBER($G32),$G32,$F32+$E32-$D32)),FALSE()),2,IF(AND(DO$2&gt;=$D32,DO$2&lt;=$E32),1,"")))</f>
        <v/>
      </c>
      <c r="DP32" s="55" t="str">
        <f aca="false">IF(OR(DP$2="",$D32=""),"",IF(IF(ISNUMBER($F32),AND(DP$2&gt;=$F32,DP$2&lt;=IF(ISNUMBER($G32),$G32,$F32+$E32-$D32)),FALSE()),2,IF(AND(DP$2&gt;=$D32,DP$2&lt;=$E32),1,"")))</f>
        <v/>
      </c>
      <c r="DQ32" s="55" t="str">
        <f aca="false">IF(OR(DQ$2="",$D32=""),"",IF(IF(ISNUMBER($F32),AND(DQ$2&gt;=$F32,DQ$2&lt;=IF(ISNUMBER($G32),$G32,$F32+$E32-$D32)),FALSE()),2,IF(AND(DQ$2&gt;=$D32,DQ$2&lt;=$E32),1,"")))</f>
        <v/>
      </c>
      <c r="DR32" s="55" t="str">
        <f aca="false">IF(OR(DR$2="",$D32=""),"",IF(IF(ISNUMBER($F32),AND(DR$2&gt;=$F32,DR$2&lt;=IF(ISNUMBER($G32),$G32,$F32+$E32-$D32)),FALSE()),2,IF(AND(DR$2&gt;=$D32,DR$2&lt;=$E32),1,"")))</f>
        <v/>
      </c>
      <c r="DS32" s="55" t="str">
        <f aca="false">IF(OR(DS$2="",$D32=""),"",IF(IF(ISNUMBER($F32),AND(DS$2&gt;=$F32,DS$2&lt;=IF(ISNUMBER($G32),$G32,$F32+$E32-$D32)),FALSE()),2,IF(AND(DS$2&gt;=$D32,DS$2&lt;=$E32),1,"")))</f>
        <v/>
      </c>
      <c r="DT32" s="55" t="str">
        <f aca="false">IF(OR(DT$2="",$D32=""),"",IF(IF(ISNUMBER($F32),AND(DT$2&gt;=$F32,DT$2&lt;=IF(ISNUMBER($G32),$G32,$F32+$E32-$D32)),FALSE()),2,IF(AND(DT$2&gt;=$D32,DT$2&lt;=$E32),1,"")))</f>
        <v/>
      </c>
      <c r="DU32" s="55" t="str">
        <f aca="false">IF(OR(DU$2="",$D32=""),"",IF(IF(ISNUMBER($F32),AND(DU$2&gt;=$F32,DU$2&lt;=IF(ISNUMBER($G32),$G32,$F32+$E32-$D32)),FALSE()),2,IF(AND(DU$2&gt;=$D32,DU$2&lt;=$E32),1,"")))</f>
        <v/>
      </c>
      <c r="DV32" s="55" t="str">
        <f aca="false">IF(OR(DV$2="",$D32=""),"",IF(IF(ISNUMBER($F32),AND(DV$2&gt;=$F32,DV$2&lt;=IF(ISNUMBER($G32),$G32,$F32+$E32-$D32)),FALSE()),2,IF(AND(DV$2&gt;=$D32,DV$2&lt;=$E32),1,"")))</f>
        <v/>
      </c>
      <c r="DW32" s="55" t="str">
        <f aca="false">IF(OR(DW$2="",$D32=""),"",IF(IF(ISNUMBER($F32),AND(DW$2&gt;=$F32,DW$2&lt;=IF(ISNUMBER($G32),$G32,$F32+$E32-$D32)),FALSE()),2,IF(AND(DW$2&gt;=$D32,DW$2&lt;=$E32),1,"")))</f>
        <v/>
      </c>
      <c r="DX32" s="55" t="str">
        <f aca="false">IF(OR(DX$2="",$D32=""),"",IF(IF(ISNUMBER($F32),AND(DX$2&gt;=$F32,DX$2&lt;=IF(ISNUMBER($G32),$G32,$F32+$E32-$D32)),FALSE()),2,IF(AND(DX$2&gt;=$D32,DX$2&lt;=$E32),1,"")))</f>
        <v/>
      </c>
      <c r="DY32" s="55" t="str">
        <f aca="false">IF(OR(DY$2="",$D32=""),"",IF(IF(ISNUMBER($F32),AND(DY$2&gt;=$F32,DY$2&lt;=IF(ISNUMBER($G32),$G32,$F32+$E32-$D32)),FALSE()),2,IF(AND(DY$2&gt;=$D32,DY$2&lt;=$E32),1,"")))</f>
        <v/>
      </c>
      <c r="DZ32" s="55" t="str">
        <f aca="false">IF(OR(DZ$2="",$D32=""),"",IF(IF(ISNUMBER($F32),AND(DZ$2&gt;=$F32,DZ$2&lt;=IF(ISNUMBER($G32),$G32,$F32+$E32-$D32)),FALSE()),2,IF(AND(DZ$2&gt;=$D32,DZ$2&lt;=$E32),1,"")))</f>
        <v/>
      </c>
      <c r="EA32" s="55" t="str">
        <f aca="false">IF(OR(EA$2="",$D32=""),"",IF(IF(ISNUMBER($F32),AND(EA$2&gt;=$F32,EA$2&lt;=IF(ISNUMBER($G32),$G32,$F32+$E32-$D32)),FALSE()),2,IF(AND(EA$2&gt;=$D32,EA$2&lt;=$E32),1,"")))</f>
        <v/>
      </c>
      <c r="EB32" s="55" t="str">
        <f aca="false">IF(OR(EB$2="",$D32=""),"",IF(IF(ISNUMBER($F32),AND(EB$2&gt;=$F32,EB$2&lt;=IF(ISNUMBER($G32),$G32,$F32+$E32-$D32)),FALSE()),2,IF(AND(EB$2&gt;=$D32,EB$2&lt;=$E32),1,"")))</f>
        <v/>
      </c>
      <c r="EC32" s="55" t="str">
        <f aca="false">IF(OR(EC$2="",$D32=""),"",IF(IF(ISNUMBER($F32),AND(EC$2&gt;=$F32,EC$2&lt;=IF(ISNUMBER($G32),$G32,$F32+$E32-$D32)),FALSE()),2,IF(AND(EC$2&gt;=$D32,EC$2&lt;=$E32),1,"")))</f>
        <v/>
      </c>
      <c r="ED32" s="55" t="str">
        <f aca="false">IF(OR(ED$2="",$D32=""),"",IF(IF(ISNUMBER($F32),AND(ED$2&gt;=$F32,ED$2&lt;=IF(ISNUMBER($G32),$G32,$F32+$E32-$D32)),FALSE()),2,IF(AND(ED$2&gt;=$D32,ED$2&lt;=$E32),1,"")))</f>
        <v/>
      </c>
      <c r="EE32" s="55" t="str">
        <f aca="false">IF(OR(EE$2="",$D32=""),"",IF(IF(ISNUMBER($F32),AND(EE$2&gt;=$F32,EE$2&lt;=IF(ISNUMBER($G32),$G32,$F32+$E32-$D32)),FALSE()),2,IF(AND(EE$2&gt;=$D32,EE$2&lt;=$E32),1,"")))</f>
        <v/>
      </c>
      <c r="EF32" s="55" t="str">
        <f aca="false">IF(OR(EF$2="",$D32=""),"",IF(IF(ISNUMBER($F32),AND(EF$2&gt;=$F32,EF$2&lt;=IF(ISNUMBER($G32),$G32,$F32+$E32-$D32)),FALSE()),2,IF(AND(EF$2&gt;=$D32,EF$2&lt;=$E32),1,"")))</f>
        <v/>
      </c>
      <c r="EG32" s="55" t="str">
        <f aca="false">IF(OR(EG$2="",$D32=""),"",IF(IF(ISNUMBER($F32),AND(EG$2&gt;=$F32,EG$2&lt;=IF(ISNUMBER($G32),$G32,$F32+$E32-$D32)),FALSE()),2,IF(AND(EG$2&gt;=$D32,EG$2&lt;=$E32),1,"")))</f>
        <v/>
      </c>
      <c r="EH32" s="55" t="str">
        <f aca="false">IF(OR(EH$2="",$D32=""),"",IF(IF(ISNUMBER($F32),AND(EH$2&gt;=$F32,EH$2&lt;=IF(ISNUMBER($G32),$G32,$F32+$E32-$D32)),FALSE()),2,IF(AND(EH$2&gt;=$D32,EH$2&lt;=$E32),1,"")))</f>
        <v/>
      </c>
      <c r="EI32" s="55" t="str">
        <f aca="false">IF(OR(EI$2="",$D32=""),"",IF(IF(ISNUMBER($F32),AND(EI$2&gt;=$F32,EI$2&lt;=IF(ISNUMBER($G32),$G32,$F32+$E32-$D32)),FALSE()),2,IF(AND(EI$2&gt;=$D32,EI$2&lt;=$E32),1,"")))</f>
        <v/>
      </c>
      <c r="EJ32" s="55" t="str">
        <f aca="false">IF(OR(EJ$2="",$D32=""),"",IF(IF(ISNUMBER($F32),AND(EJ$2&gt;=$F32,EJ$2&lt;=IF(ISNUMBER($G32),$G32,$F32+$E32-$D32)),FALSE()),2,IF(AND(EJ$2&gt;=$D32,EJ$2&lt;=$E32),1,"")))</f>
        <v/>
      </c>
      <c r="EK32" s="55" t="str">
        <f aca="false">IF(OR(EK$2="",$D32=""),"",IF(IF(ISNUMBER($F32),AND(EK$2&gt;=$F32,EK$2&lt;=IF(ISNUMBER($G32),$G32,$F32+$E32-$D32)),FALSE()),2,IF(AND(EK$2&gt;=$D32,EK$2&lt;=$E32),1,"")))</f>
        <v/>
      </c>
      <c r="EL32" s="55" t="str">
        <f aca="false">IF(OR(EL$2="",$D32=""),"",IF(IF(ISNUMBER($F32),AND(EL$2&gt;=$F32,EL$2&lt;=IF(ISNUMBER($G32),$G32,$F32+$E32-$D32)),FALSE()),2,IF(AND(EL$2&gt;=$D32,EL$2&lt;=$E32),1,"")))</f>
        <v/>
      </c>
      <c r="EM32" s="55" t="str">
        <f aca="false">IF(OR(EM$2="",$D32=""),"",IF(IF(ISNUMBER($F32),AND(EM$2&gt;=$F32,EM$2&lt;=IF(ISNUMBER($G32),$G32,$F32+$E32-$D32)),FALSE()),2,IF(AND(EM$2&gt;=$D32,EM$2&lt;=$E32),1,"")))</f>
        <v/>
      </c>
      <c r="EN32" s="55" t="str">
        <f aca="false">IF(OR(EN$2="",$D32=""),"",IF(IF(ISNUMBER($F32),AND(EN$2&gt;=$F32,EN$2&lt;=IF(ISNUMBER($G32),$G32,$F32+$E32-$D32)),FALSE()),2,IF(AND(EN$2&gt;=$D32,EN$2&lt;=$E32),1,"")))</f>
        <v/>
      </c>
      <c r="EO32" s="55" t="str">
        <f aca="false">IF(OR(EO$2="",$D32=""),"",IF(IF(ISNUMBER($F32),AND(EO$2&gt;=$F32,EO$2&lt;=IF(ISNUMBER($G32),$G32,$F32+$E32-$D32)),FALSE()),2,IF(AND(EO$2&gt;=$D32,EO$2&lt;=$E32),1,"")))</f>
        <v/>
      </c>
      <c r="EP32" s="55" t="str">
        <f aca="false">IF(OR(EP$2="",$D32=""),"",IF(IF(ISNUMBER($F32),AND(EP$2&gt;=$F32,EP$2&lt;=IF(ISNUMBER($G32),$G32,$F32+$E32-$D32)),FALSE()),2,IF(AND(EP$2&gt;=$D32,EP$2&lt;=$E32),1,"")))</f>
        <v/>
      </c>
      <c r="EQ32" s="55" t="str">
        <f aca="false">IF(OR(EQ$2="",$D32=""),"",IF(IF(ISNUMBER($F32),AND(EQ$2&gt;=$F32,EQ$2&lt;=IF(ISNUMBER($G32),$G32,$F32+$E32-$D32)),FALSE()),2,IF(AND(EQ$2&gt;=$D32,EQ$2&lt;=$E32),1,"")))</f>
        <v/>
      </c>
      <c r="ER32" s="55" t="str">
        <f aca="false">IF(OR(ER$2="",$D32=""),"",IF(IF(ISNUMBER($F32),AND(ER$2&gt;=$F32,ER$2&lt;=IF(ISNUMBER($G32),$G32,$F32+$E32-$D32)),FALSE()),2,IF(AND(ER$2&gt;=$D32,ER$2&lt;=$E32),1,"")))</f>
        <v/>
      </c>
      <c r="ES32" s="55" t="str">
        <f aca="false">IF(OR(ES$2="",$D32=""),"",IF(IF(ISNUMBER($F32),AND(ES$2&gt;=$F32,ES$2&lt;=IF(ISNUMBER($G32),$G32,$F32+$E32-$D32)),FALSE()),2,IF(AND(ES$2&gt;=$D32,ES$2&lt;=$E32),1,"")))</f>
        <v/>
      </c>
      <c r="ET32" s="55" t="str">
        <f aca="false">IF(OR(ET$2="",$D32=""),"",IF(IF(ISNUMBER($F32),AND(ET$2&gt;=$F32,ET$2&lt;=IF(ISNUMBER($G32),$G32,$F32+$E32-$D32)),FALSE()),2,IF(AND(ET$2&gt;=$D32,ET$2&lt;=$E32),1,"")))</f>
        <v/>
      </c>
      <c r="EU32" s="55" t="str">
        <f aca="false">IF(OR(EU$2="",$D32=""),"",IF(IF(ISNUMBER($F32),AND(EU$2&gt;=$F32,EU$2&lt;=IF(ISNUMBER($G32),$G32,$F32+$E32-$D32)),FALSE()),2,IF(AND(EU$2&gt;=$D32,EU$2&lt;=$E32),1,"")))</f>
        <v/>
      </c>
      <c r="EV32" s="55" t="str">
        <f aca="false">IF(OR(EV$2="",$D32=""),"",IF(IF(ISNUMBER($F32),AND(EV$2&gt;=$F32,EV$2&lt;=IF(ISNUMBER($G32),$G32,$F32+$E32-$D32)),FALSE()),2,IF(AND(EV$2&gt;=$D32,EV$2&lt;=$E32),1,"")))</f>
        <v/>
      </c>
      <c r="EW32" s="55" t="str">
        <f aca="false">IF(OR(EW$2="",$D32=""),"",IF(IF(ISNUMBER($F32),AND(EW$2&gt;=$F32,EW$2&lt;=IF(ISNUMBER($G32),$G32,$F32+$E32-$D32)),FALSE()),2,IF(AND(EW$2&gt;=$D32,EW$2&lt;=$E32),1,"")))</f>
        <v/>
      </c>
      <c r="EX32" s="55" t="str">
        <f aca="false">IF(OR(EX$2="",$D32=""),"",IF(IF(ISNUMBER($F32),AND(EX$2&gt;=$F32,EX$2&lt;=IF(ISNUMBER($G32),$G32,$F32+$E32-$D32)),FALSE()),2,IF(AND(EX$2&gt;=$D32,EX$2&lt;=$E32),1,"")))</f>
        <v/>
      </c>
      <c r="EY32" s="55" t="str">
        <f aca="false">IF(OR(EY$2="",$D32=""),"",IF(IF(ISNUMBER($F32),AND(EY$2&gt;=$F32,EY$2&lt;=IF(ISNUMBER($G32),$G32,$F32+$E32-$D32)),FALSE()),2,IF(AND(EY$2&gt;=$D32,EY$2&lt;=$E32),1,"")))</f>
        <v/>
      </c>
      <c r="EZ32" s="55" t="str">
        <f aca="false">IF(OR(EZ$2="",$D32=""),"",IF(IF(ISNUMBER($F32),AND(EZ$2&gt;=$F32,EZ$2&lt;=IF(ISNUMBER($G32),$G32,$F32+$E32-$D32)),FALSE()),2,IF(AND(EZ$2&gt;=$D32,EZ$2&lt;=$E32),1,"")))</f>
        <v/>
      </c>
      <c r="FA32" s="55" t="str">
        <f aca="false">IF(OR(FA$2="",$D32=""),"",IF(IF(ISNUMBER($F32),AND(FA$2&gt;=$F32,FA$2&lt;=IF(ISNUMBER($G32),$G32,$F32+$E32-$D32)),FALSE()),2,IF(AND(FA$2&gt;=$D32,FA$2&lt;=$E32),1,"")))</f>
        <v/>
      </c>
      <c r="FB32" s="55" t="str">
        <f aca="false">IF(OR(FB$2="",$D32=""),"",IF(IF(ISNUMBER($F32),AND(FB$2&gt;=$F32,FB$2&lt;=IF(ISNUMBER($G32),$G32,$F32+$E32-$D32)),FALSE()),2,IF(AND(FB$2&gt;=$D32,FB$2&lt;=$E32),1,"")))</f>
        <v/>
      </c>
      <c r="FC32" s="55" t="str">
        <f aca="false">IF(OR(FC$2="",$D32=""),"",IF(IF(ISNUMBER($F32),AND(FC$2&gt;=$F32,FC$2&lt;=IF(ISNUMBER($G32),$G32,$F32+$E32-$D32)),FALSE()),2,IF(AND(FC$2&gt;=$D32,FC$2&lt;=$E32),1,"")))</f>
        <v/>
      </c>
      <c r="FD32" s="55" t="str">
        <f aca="false">IF(OR(FD$2="",$D32=""),"",IF(IF(ISNUMBER($F32),AND(FD$2&gt;=$F32,FD$2&lt;=IF(ISNUMBER($G32),$G32,$F32+$E32-$D32)),FALSE()),2,IF(AND(FD$2&gt;=$D32,FD$2&lt;=$E32),1,"")))</f>
        <v/>
      </c>
      <c r="FE32" s="55" t="str">
        <f aca="false">IF(OR(FE$2="",$D32=""),"",IF(IF(ISNUMBER($F32),AND(FE$2&gt;=$F32,FE$2&lt;=IF(ISNUMBER($G32),$G32,$F32+$E32-$D32)),FALSE()),2,IF(AND(FE$2&gt;=$D32,FE$2&lt;=$E32),1,"")))</f>
        <v/>
      </c>
      <c r="FF32" s="55" t="str">
        <f aca="false">IF(OR(FF$2="",$D32=""),"",IF(IF(ISNUMBER($F32),AND(FF$2&gt;=$F32,FF$2&lt;=IF(ISNUMBER($G32),$G32,$F32+$E32-$D32)),FALSE()),2,IF(AND(FF$2&gt;=$D32,FF$2&lt;=$E32),1,"")))</f>
        <v/>
      </c>
      <c r="FG32" s="55" t="str">
        <f aca="false">IF(OR(FG$2="",$D32=""),"",IF(IF(ISNUMBER($F32),AND(FG$2&gt;=$F32,FG$2&lt;=IF(ISNUMBER($G32),$G32,$F32+$E32-$D32)),FALSE()),2,IF(AND(FG$2&gt;=$D32,FG$2&lt;=$E32),1,"")))</f>
        <v/>
      </c>
      <c r="FH32" s="55" t="str">
        <f aca="false">IF(OR(FH$2="",$D32=""),"",IF(IF(ISNUMBER($F32),AND(FH$2&gt;=$F32,FH$2&lt;=IF(ISNUMBER($G32),$G32,$F32+$E32-$D32)),FALSE()),2,IF(AND(FH$2&gt;=$D32,FH$2&lt;=$E32),1,"")))</f>
        <v/>
      </c>
      <c r="FI32" s="55" t="str">
        <f aca="false">IF(OR(FI$2="",$D32=""),"",IF(IF(ISNUMBER($F32),AND(FI$2&gt;=$F32,FI$2&lt;=IF(ISNUMBER($G32),$G32,$F32+$E32-$D32)),FALSE()),2,IF(AND(FI$2&gt;=$D32,FI$2&lt;=$E32),1,"")))</f>
        <v/>
      </c>
      <c r="FJ32" s="55" t="str">
        <f aca="false">IF(OR(FJ$2="",$D32=""),"",IF(IF(ISNUMBER($F32),AND(FJ$2&gt;=$F32,FJ$2&lt;=IF(ISNUMBER($G32),$G32,$F32+$E32-$D32)),FALSE()),2,IF(AND(FJ$2&gt;=$D32,FJ$2&lt;=$E32),1,"")))</f>
        <v/>
      </c>
      <c r="FK32" s="55" t="str">
        <f aca="false">IF(OR(FK$2="",$D32=""),"",IF(IF(ISNUMBER($F32),AND(FK$2&gt;=$F32,FK$2&lt;=IF(ISNUMBER($G32),$G32,$F32+$E32-$D32)),FALSE()),2,IF(AND(FK$2&gt;=$D32,FK$2&lt;=$E32),1,"")))</f>
        <v/>
      </c>
      <c r="FL32" s="55" t="str">
        <f aca="false">IF(OR(FL$2="",$D32=""),"",IF(IF(ISNUMBER($F32),AND(FL$2&gt;=$F32,FL$2&lt;=IF(ISNUMBER($G32),$G32,$F32+$E32-$D32)),FALSE()),2,IF(AND(FL$2&gt;=$D32,FL$2&lt;=$E32),1,"")))</f>
        <v/>
      </c>
      <c r="FM32" s="55" t="str">
        <f aca="false">IF(OR(FM$2="",$D32=""),"",IF(IF(ISNUMBER($F32),AND(FM$2&gt;=$F32,FM$2&lt;=IF(ISNUMBER($G32),$G32,$F32+$E32-$D32)),FALSE()),2,IF(AND(FM$2&gt;=$D32,FM$2&lt;=$E32),1,"")))</f>
        <v/>
      </c>
      <c r="FN32" s="55" t="str">
        <f aca="false">IF(OR(FN$2="",$D32=""),"",IF(IF(ISNUMBER($F32),AND(FN$2&gt;=$F32,FN$2&lt;=IF(ISNUMBER($G32),$G32,$F32+$E32-$D32)),FALSE()),2,IF(AND(FN$2&gt;=$D32,FN$2&lt;=$E32),1,"")))</f>
        <v/>
      </c>
      <c r="FO32" s="55" t="str">
        <f aca="false">IF(OR(FO$2="",$D32=""),"",IF(IF(ISNUMBER($F32),AND(FO$2&gt;=$F32,FO$2&lt;=IF(ISNUMBER($G32),$G32,$F32+$E32-$D32)),FALSE()),2,IF(AND(FO$2&gt;=$D32,FO$2&lt;=$E32),1,"")))</f>
        <v/>
      </c>
      <c r="FP32" s="55" t="str">
        <f aca="false">IF(OR(FP$2="",$D32=""),"",IF(IF(ISNUMBER($F32),AND(FP$2&gt;=$F32,FP$2&lt;=IF(ISNUMBER($G32),$G32,$F32+$E32-$D32)),FALSE()),2,IF(AND(FP$2&gt;=$D32,FP$2&lt;=$E32),1,"")))</f>
        <v/>
      </c>
      <c r="FQ32" s="55" t="str">
        <f aca="false">IF(OR(FQ$2="",$D32=""),"",IF(IF(ISNUMBER($F32),AND(FQ$2&gt;=$F32,FQ$2&lt;=IF(ISNUMBER($G32),$G32,$F32+$E32-$D32)),FALSE()),2,IF(AND(FQ$2&gt;=$D32,FQ$2&lt;=$E32),1,"")))</f>
        <v/>
      </c>
      <c r="FR32" s="55" t="str">
        <f aca="false">IF(OR(FR$2="",$D32=""),"",IF(IF(ISNUMBER($F32),AND(FR$2&gt;=$F32,FR$2&lt;=IF(ISNUMBER($G32),$G32,$F32+$E32-$D32)),FALSE()),2,IF(AND(FR$2&gt;=$D32,FR$2&lt;=$E32),1,"")))</f>
        <v/>
      </c>
      <c r="FS32" s="55" t="str">
        <f aca="false">IF(OR(FS$2="",$D32=""),"",IF(IF(ISNUMBER($F32),AND(FS$2&gt;=$F32,FS$2&lt;=IF(ISNUMBER($G32),$G32,$F32+$E32-$D32)),FALSE()),2,IF(AND(FS$2&gt;=$D32,FS$2&lt;=$E32),1,"")))</f>
        <v/>
      </c>
      <c r="FT32" s="55" t="str">
        <f aca="false">IF(OR(FT$2="",$D32=""),"",IF(IF(ISNUMBER($F32),AND(FT$2&gt;=$F32,FT$2&lt;=IF(ISNUMBER($G32),$G32,$F32+$E32-$D32)),FALSE()),2,IF(AND(FT$2&gt;=$D32,FT$2&lt;=$E32),1,"")))</f>
        <v/>
      </c>
      <c r="FU32" s="55" t="str">
        <f aca="false">IF(OR(FU$2="",$D32=""),"",IF(IF(ISNUMBER($F32),AND(FU$2&gt;=$F32,FU$2&lt;=IF(ISNUMBER($G32),$G32,$F32+$E32-$D32)),FALSE()),2,IF(AND(FU$2&gt;=$D32,FU$2&lt;=$E32),1,"")))</f>
        <v/>
      </c>
      <c r="FV32" s="55" t="str">
        <f aca="false">IF(OR(FV$2="",$D32=""),"",IF(IF(ISNUMBER($F32),AND(FV$2&gt;=$F32,FV$2&lt;=IF(ISNUMBER($G32),$G32,$F32+$E32-$D32)),FALSE()),2,IF(AND(FV$2&gt;=$D32,FV$2&lt;=$E32),1,"")))</f>
        <v/>
      </c>
      <c r="FW32" s="55" t="str">
        <f aca="false">IF(OR(FW$2="",$D32=""),"",IF(IF(ISNUMBER($F32),AND(FW$2&gt;=$F32,FW$2&lt;=IF(ISNUMBER($G32),$G32,$F32+$E32-$D32)),FALSE()),2,IF(AND(FW$2&gt;=$D32,FW$2&lt;=$E32),1,"")))</f>
        <v/>
      </c>
      <c r="FX32" s="55" t="str">
        <f aca="false">IF(OR(FX$2="",$D32=""),"",IF(IF(ISNUMBER($F32),AND(FX$2&gt;=$F32,FX$2&lt;=IF(ISNUMBER($G32),$G32,$F32+$E32-$D32)),FALSE()),2,IF(AND(FX$2&gt;=$D32,FX$2&lt;=$E32),1,"")))</f>
        <v/>
      </c>
      <c r="FY32" s="55" t="str">
        <f aca="false">IF(OR(FY$2="",$D32=""),"",IF(IF(ISNUMBER($F32),AND(FY$2&gt;=$F32,FY$2&lt;=IF(ISNUMBER($G32),$G32,$F32+$E32-$D32)),FALSE()),2,IF(AND(FY$2&gt;=$D32,FY$2&lt;=$E32),1,"")))</f>
        <v/>
      </c>
      <c r="FZ32" s="55" t="str">
        <f aca="false">IF(OR(FZ$2="",$D32=""),"",IF(IF(ISNUMBER($F32),AND(FZ$2&gt;=$F32,FZ$2&lt;=IF(ISNUMBER($G32),$G32,$F32+$E32-$D32)),FALSE()),2,IF(AND(FZ$2&gt;=$D32,FZ$2&lt;=$E32),1,"")))</f>
        <v/>
      </c>
      <c r="GA32" s="55" t="str">
        <f aca="false">IF(OR(GA$2="",$D32=""),"",IF(IF(ISNUMBER($F32),AND(GA$2&gt;=$F32,GA$2&lt;=IF(ISNUMBER($G32),$G32,$F32+$E32-$D32)),FALSE()),2,IF(AND(GA$2&gt;=$D32,GA$2&lt;=$E32),1,"")))</f>
        <v/>
      </c>
      <c r="GB32" s="55" t="str">
        <f aca="false">IF(OR(GB$2="",$D32=""),"",IF(IF(ISNUMBER($F32),AND(GB$2&gt;=$F32,GB$2&lt;=IF(ISNUMBER($G32),$G32,$F32+$E32-$D32)),FALSE()),2,IF(AND(GB$2&gt;=$D32,GB$2&lt;=$E32),1,"")))</f>
        <v/>
      </c>
      <c r="GC32" s="55" t="str">
        <f aca="false">IF(OR(GC$2="",$D32=""),"",IF(IF(ISNUMBER($F32),AND(GC$2&gt;=$F32,GC$2&lt;=IF(ISNUMBER($G32),$G32,$F32+$E32-$D32)),FALSE()),2,IF(AND(GC$2&gt;=$D32,GC$2&lt;=$E32),1,"")))</f>
        <v/>
      </c>
      <c r="GD32" s="55" t="str">
        <f aca="false">IF(OR(GD$2="",$D32=""),"",IF(IF(ISNUMBER($F32),AND(GD$2&gt;=$F32,GD$2&lt;=IF(ISNUMBER($G32),$G32,$F32+$E32-$D32)),FALSE()),2,IF(AND(GD$2&gt;=$D32,GD$2&lt;=$E32),1,"")))</f>
        <v/>
      </c>
      <c r="GE32" s="55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false" outlineLevel="0" collapsed="false">
      <c r="A33" s="54" t="s">
        <v>367</v>
      </c>
      <c r="B33" s="21" t="s">
        <v>368</v>
      </c>
      <c r="C33" s="21" t="s">
        <v>328</v>
      </c>
      <c r="D33" s="51" t="n">
        <f aca="false">IF(D10="","",D10)</f>
        <v>46064</v>
      </c>
      <c r="E33" s="51" t="n">
        <f aca="false">IF(D33="","",D33)</f>
        <v>46064</v>
      </c>
      <c r="F33" s="51" t="str">
        <f aca="false">IF(_xlfn.MINIFS(2_Daily_input!$D$1:$FQ$1,2_Daily_input!$D$73:$FQ$73,"Last irrigation for Pitan")+_xlfn.MINIFS(2_Daily_input!$D$1:$FQ$1,2_Daily_input!$D$74:$FQ$74,"Last irrigation for Pitan")=0,"",IF(_xlfn.MINIFS(2_Daily_input!$D$1:$FQ$1,2_Daily_input!$D$73:$FQ$73,"Last irrigation for Pitan")=0,_xlfn.MINIFS(2_Daily_input!$D$1:$FQ$1,2_Daily_input!$D$74:$FQ$74,"Last irrigation for Pitan"),IF(_xlfn.MINIFS(2_Daily_input!$D$1:$FQ$1,2_Daily_input!$D$74:$FQ$74,"Last irrigation for Pitan")=0,_xlfn.MINIFS(2_Daily_input!$D$1:$FQ$1,2_Daily_input!$D$73:$FQ$73,"Last irrigation for Pitan"),MIN(_xlfn.MINIFS(2_Daily_input!$D$1:$FQ$1,2_Daily_input!$D$73:$FQ$73,"Last irrigation for Pitan"),_xlfn.MINIFS(2_Daily_input!$D$1:$FQ$1,2_Daily_input!$D$74:$FQ$74,"Last irrigation for Pitan")))))</f>
        <v/>
      </c>
      <c r="G33" s="51" t="str">
        <f aca="false">""</f>
        <v/>
      </c>
      <c r="H33" s="50" t="str">
        <f aca="true">IF(D33="","no plan",IF(F33&lt;&gt;"",IF(F33-D33&gt;=2,"LATE","OK"),IF(TODAY()&gt;D33+2,"OVERDUE","upcoming")))</f>
        <v>OVERDUE</v>
      </c>
      <c r="I33" s="50" t="str">
        <f aca="false">IF(AND(D33&lt;&gt;"",F33&lt;&gt;""),F33-D33,"")</f>
        <v/>
      </c>
      <c r="J33" s="51" t="n">
        <f aca="false">IF(F33&lt;&gt;"",F33,D33)</f>
        <v>46064</v>
      </c>
      <c r="K33" s="51" t="n">
        <f aca="false">IF(G33&lt;&gt;"",G33,IF(AND(F33&lt;&gt;"",E33=D33),F33,E33))</f>
        <v>46064</v>
      </c>
      <c r="L33" s="50" t="str">
        <f aca="true">IF(AND(D33&lt;&gt;"",F33="",D33&gt;=TODAY()),D33+ROW()/1000,"")</f>
        <v/>
      </c>
      <c r="M33" s="55" t="str">
        <f aca="false">IF(OR(M$2="",$D33=""),"",IF(IF(ISNUMBER($F33),AND(M$2&gt;=$F33,M$2&lt;=IF(ISNUMBER($G33),$G33,$F33+$E33-$D33)),FALSE()),2,IF(AND(M$2&gt;=$D33,M$2&lt;=$E33),1,"")))</f>
        <v/>
      </c>
      <c r="N33" s="55" t="str">
        <f aca="false">IF(OR(N$2="",$D33=""),"",IF(IF(ISNUMBER($F33),AND(N$2&gt;=$F33,N$2&lt;=IF(ISNUMBER($G33),$G33,$F33+$E33-$D33)),FALSE()),2,IF(AND(N$2&gt;=$D33,N$2&lt;=$E33),1,"")))</f>
        <v/>
      </c>
      <c r="O33" s="55" t="str">
        <f aca="false">IF(OR(O$2="",$D33=""),"",IF(IF(ISNUMBER($F33),AND(O$2&gt;=$F33,O$2&lt;=IF(ISNUMBER($G33),$G33,$F33+$E33-$D33)),FALSE()),2,IF(AND(O$2&gt;=$D33,O$2&lt;=$E33),1,"")))</f>
        <v/>
      </c>
      <c r="P33" s="55" t="str">
        <f aca="false">IF(OR(P$2="",$D33=""),"",IF(IF(ISNUMBER($F33),AND(P$2&gt;=$F33,P$2&lt;=IF(ISNUMBER($G33),$G33,$F33+$E33-$D33)),FALSE()),2,IF(AND(P$2&gt;=$D33,P$2&lt;=$E33),1,"")))</f>
        <v/>
      </c>
      <c r="Q33" s="55" t="str">
        <f aca="false">IF(OR(Q$2="",$D33=""),"",IF(IF(ISNUMBER($F33),AND(Q$2&gt;=$F33,Q$2&lt;=IF(ISNUMBER($G33),$G33,$F33+$E33-$D33)),FALSE()),2,IF(AND(Q$2&gt;=$D33,Q$2&lt;=$E33),1,"")))</f>
        <v/>
      </c>
      <c r="R33" s="55" t="str">
        <f aca="false">IF(OR(R$2="",$D33=""),"",IF(IF(ISNUMBER($F33),AND(R$2&gt;=$F33,R$2&lt;=IF(ISNUMBER($G33),$G33,$F33+$E33-$D33)),FALSE()),2,IF(AND(R$2&gt;=$D33,R$2&lt;=$E33),1,"")))</f>
        <v/>
      </c>
      <c r="S33" s="55" t="str">
        <f aca="false">IF(OR(S$2="",$D33=""),"",IF(IF(ISNUMBER($F33),AND(S$2&gt;=$F33,S$2&lt;=IF(ISNUMBER($G33),$G33,$F33+$E33-$D33)),FALSE()),2,IF(AND(S$2&gt;=$D33,S$2&lt;=$E33),1,"")))</f>
        <v/>
      </c>
      <c r="T33" s="55" t="str">
        <f aca="false">IF(OR(T$2="",$D33=""),"",IF(IF(ISNUMBER($F33),AND(T$2&gt;=$F33,T$2&lt;=IF(ISNUMBER($G33),$G33,$F33+$E33-$D33)),FALSE()),2,IF(AND(T$2&gt;=$D33,T$2&lt;=$E33),1,"")))</f>
        <v/>
      </c>
      <c r="U33" s="55" t="str">
        <f aca="false">IF(OR(U$2="",$D33=""),"",IF(IF(ISNUMBER($F33),AND(U$2&gt;=$F33,U$2&lt;=IF(ISNUMBER($G33),$G33,$F33+$E33-$D33)),FALSE()),2,IF(AND(U$2&gt;=$D33,U$2&lt;=$E33),1,"")))</f>
        <v/>
      </c>
      <c r="V33" s="55" t="str">
        <f aca="false">IF(OR(V$2="",$D33=""),"",IF(IF(ISNUMBER($F33),AND(V$2&gt;=$F33,V$2&lt;=IF(ISNUMBER($G33),$G33,$F33+$E33-$D33)),FALSE()),2,IF(AND(V$2&gt;=$D33,V$2&lt;=$E33),1,"")))</f>
        <v/>
      </c>
      <c r="W33" s="55" t="str">
        <f aca="false">IF(OR(W$2="",$D33=""),"",IF(IF(ISNUMBER($F33),AND(W$2&gt;=$F33,W$2&lt;=IF(ISNUMBER($G33),$G33,$F33+$E33-$D33)),FALSE()),2,IF(AND(W$2&gt;=$D33,W$2&lt;=$E33),1,"")))</f>
        <v/>
      </c>
      <c r="X33" s="55" t="str">
        <f aca="false">IF(OR(X$2="",$D33=""),"",IF(IF(ISNUMBER($F33),AND(X$2&gt;=$F33,X$2&lt;=IF(ISNUMBER($G33),$G33,$F33+$E33-$D33)),FALSE()),2,IF(AND(X$2&gt;=$D33,X$2&lt;=$E33),1,"")))</f>
        <v/>
      </c>
      <c r="Y33" s="55" t="str">
        <f aca="false">IF(OR(Y$2="",$D33=""),"",IF(IF(ISNUMBER($F33),AND(Y$2&gt;=$F33,Y$2&lt;=IF(ISNUMBER($G33),$G33,$F33+$E33-$D33)),FALSE()),2,IF(AND(Y$2&gt;=$D33,Y$2&lt;=$E33),1,"")))</f>
        <v/>
      </c>
      <c r="Z33" s="55" t="str">
        <f aca="false">IF(OR(Z$2="",$D33=""),"",IF(IF(ISNUMBER($F33),AND(Z$2&gt;=$F33,Z$2&lt;=IF(ISNUMBER($G33),$G33,$F33+$E33-$D33)),FALSE()),2,IF(AND(Z$2&gt;=$D33,Z$2&lt;=$E33),1,"")))</f>
        <v/>
      </c>
      <c r="AA33" s="55" t="str">
        <f aca="false">IF(OR(AA$2="",$D33=""),"",IF(IF(ISNUMBER($F33),AND(AA$2&gt;=$F33,AA$2&lt;=IF(ISNUMBER($G33),$G33,$F33+$E33-$D33)),FALSE()),2,IF(AND(AA$2&gt;=$D33,AA$2&lt;=$E33),1,"")))</f>
        <v/>
      </c>
      <c r="AB33" s="55" t="str">
        <f aca="false">IF(OR(AB$2="",$D33=""),"",IF(IF(ISNUMBER($F33),AND(AB$2&gt;=$F33,AB$2&lt;=IF(ISNUMBER($G33),$G33,$F33+$E33-$D33)),FALSE()),2,IF(AND(AB$2&gt;=$D33,AB$2&lt;=$E33),1,"")))</f>
        <v/>
      </c>
      <c r="AC33" s="55" t="str">
        <f aca="false">IF(OR(AC$2="",$D33=""),"",IF(IF(ISNUMBER($F33),AND(AC$2&gt;=$F33,AC$2&lt;=IF(ISNUMBER($G33),$G33,$F33+$E33-$D33)),FALSE()),2,IF(AND(AC$2&gt;=$D33,AC$2&lt;=$E33),1,"")))</f>
        <v/>
      </c>
      <c r="AD33" s="55" t="str">
        <f aca="false">IF(OR(AD$2="",$D33=""),"",IF(IF(ISNUMBER($F33),AND(AD$2&gt;=$F33,AD$2&lt;=IF(ISNUMBER($G33),$G33,$F33+$E33-$D33)),FALSE()),2,IF(AND(AD$2&gt;=$D33,AD$2&lt;=$E33),1,"")))</f>
        <v/>
      </c>
      <c r="AE33" s="55" t="str">
        <f aca="false">IF(OR(AE$2="",$D33=""),"",IF(IF(ISNUMBER($F33),AND(AE$2&gt;=$F33,AE$2&lt;=IF(ISNUMBER($G33),$G33,$F33+$E33-$D33)),FALSE()),2,IF(AND(AE$2&gt;=$D33,AE$2&lt;=$E33),1,"")))</f>
        <v/>
      </c>
      <c r="AF33" s="55" t="str">
        <f aca="false">IF(OR(AF$2="",$D33=""),"",IF(IF(ISNUMBER($F33),AND(AF$2&gt;=$F33,AF$2&lt;=IF(ISNUMBER($G33),$G33,$F33+$E33-$D33)),FALSE()),2,IF(AND(AF$2&gt;=$D33,AF$2&lt;=$E33),1,"")))</f>
        <v/>
      </c>
      <c r="AG33" s="55" t="str">
        <f aca="false">IF(OR(AG$2="",$D33=""),"",IF(IF(ISNUMBER($F33),AND(AG$2&gt;=$F33,AG$2&lt;=IF(ISNUMBER($G33),$G33,$F33+$E33-$D33)),FALSE()),2,IF(AND(AG$2&gt;=$D33,AG$2&lt;=$E33),1,"")))</f>
        <v/>
      </c>
      <c r="AH33" s="55" t="str">
        <f aca="false">IF(OR(AH$2="",$D33=""),"",IF(IF(ISNUMBER($F33),AND(AH$2&gt;=$F33,AH$2&lt;=IF(ISNUMBER($G33),$G33,$F33+$E33-$D33)),FALSE()),2,IF(AND(AH$2&gt;=$D33,AH$2&lt;=$E33),1,"")))</f>
        <v/>
      </c>
      <c r="AI33" s="55" t="str">
        <f aca="false">IF(OR(AI$2="",$D33=""),"",IF(IF(ISNUMBER($F33),AND(AI$2&gt;=$F33,AI$2&lt;=IF(ISNUMBER($G33),$G33,$F33+$E33-$D33)),FALSE()),2,IF(AND(AI$2&gt;=$D33,AI$2&lt;=$E33),1,"")))</f>
        <v/>
      </c>
      <c r="AJ33" s="55" t="str">
        <f aca="false">IF(OR(AJ$2="",$D33=""),"",IF(IF(ISNUMBER($F33),AND(AJ$2&gt;=$F33,AJ$2&lt;=IF(ISNUMBER($G33),$G33,$F33+$E33-$D33)),FALSE()),2,IF(AND(AJ$2&gt;=$D33,AJ$2&lt;=$E33),1,"")))</f>
        <v/>
      </c>
      <c r="AK33" s="55" t="str">
        <f aca="false">IF(OR(AK$2="",$D33=""),"",IF(IF(ISNUMBER($F33),AND(AK$2&gt;=$F33,AK$2&lt;=IF(ISNUMBER($G33),$G33,$F33+$E33-$D33)),FALSE()),2,IF(AND(AK$2&gt;=$D33,AK$2&lt;=$E33),1,"")))</f>
        <v/>
      </c>
      <c r="AL33" s="55" t="str">
        <f aca="false">IF(OR(AL$2="",$D33=""),"",IF(IF(ISNUMBER($F33),AND(AL$2&gt;=$F33,AL$2&lt;=IF(ISNUMBER($G33),$G33,$F33+$E33-$D33)),FALSE()),2,IF(AND(AL$2&gt;=$D33,AL$2&lt;=$E33),1,"")))</f>
        <v/>
      </c>
      <c r="AM33" s="55" t="str">
        <f aca="false">IF(OR(AM$2="",$D33=""),"",IF(IF(ISNUMBER($F33),AND(AM$2&gt;=$F33,AM$2&lt;=IF(ISNUMBER($G33),$G33,$F33+$E33-$D33)),FALSE()),2,IF(AND(AM$2&gt;=$D33,AM$2&lt;=$E33),1,"")))</f>
        <v/>
      </c>
      <c r="AN33" s="55" t="str">
        <f aca="false">IF(OR(AN$2="",$D33=""),"",IF(IF(ISNUMBER($F33),AND(AN$2&gt;=$F33,AN$2&lt;=IF(ISNUMBER($G33),$G33,$F33+$E33-$D33)),FALSE()),2,IF(AND(AN$2&gt;=$D33,AN$2&lt;=$E33),1,"")))</f>
        <v/>
      </c>
      <c r="AO33" s="55" t="str">
        <f aca="false">IF(OR(AO$2="",$D33=""),"",IF(IF(ISNUMBER($F33),AND(AO$2&gt;=$F33,AO$2&lt;=IF(ISNUMBER($G33),$G33,$F33+$E33-$D33)),FALSE()),2,IF(AND(AO$2&gt;=$D33,AO$2&lt;=$E33),1,"")))</f>
        <v/>
      </c>
      <c r="AP33" s="55" t="str">
        <f aca="false">IF(OR(AP$2="",$D33=""),"",IF(IF(ISNUMBER($F33),AND(AP$2&gt;=$F33,AP$2&lt;=IF(ISNUMBER($G33),$G33,$F33+$E33-$D33)),FALSE()),2,IF(AND(AP$2&gt;=$D33,AP$2&lt;=$E33),1,"")))</f>
        <v/>
      </c>
      <c r="AQ33" s="55" t="str">
        <f aca="false">IF(OR(AQ$2="",$D33=""),"",IF(IF(ISNUMBER($F33),AND(AQ$2&gt;=$F33,AQ$2&lt;=IF(ISNUMBER($G33),$G33,$F33+$E33-$D33)),FALSE()),2,IF(AND(AQ$2&gt;=$D33,AQ$2&lt;=$E33),1,"")))</f>
        <v/>
      </c>
      <c r="AR33" s="55" t="str">
        <f aca="false">IF(OR(AR$2="",$D33=""),"",IF(IF(ISNUMBER($F33),AND(AR$2&gt;=$F33,AR$2&lt;=IF(ISNUMBER($G33),$G33,$F33+$E33-$D33)),FALSE()),2,IF(AND(AR$2&gt;=$D33,AR$2&lt;=$E33),1,"")))</f>
        <v/>
      </c>
      <c r="AS33" s="55" t="str">
        <f aca="false">IF(OR(AS$2="",$D33=""),"",IF(IF(ISNUMBER($F33),AND(AS$2&gt;=$F33,AS$2&lt;=IF(ISNUMBER($G33),$G33,$F33+$E33-$D33)),FALSE()),2,IF(AND(AS$2&gt;=$D33,AS$2&lt;=$E33),1,"")))</f>
        <v/>
      </c>
      <c r="AT33" s="55" t="str">
        <f aca="false">IF(OR(AT$2="",$D33=""),"",IF(IF(ISNUMBER($F33),AND(AT$2&gt;=$F33,AT$2&lt;=IF(ISNUMBER($G33),$G33,$F33+$E33-$D33)),FALSE()),2,IF(AND(AT$2&gt;=$D33,AT$2&lt;=$E33),1,"")))</f>
        <v/>
      </c>
      <c r="AU33" s="55" t="str">
        <f aca="false">IF(OR(AU$2="",$D33=""),"",IF(IF(ISNUMBER($F33),AND(AU$2&gt;=$F33,AU$2&lt;=IF(ISNUMBER($G33),$G33,$F33+$E33-$D33)),FALSE()),2,IF(AND(AU$2&gt;=$D33,AU$2&lt;=$E33),1,"")))</f>
        <v/>
      </c>
      <c r="AV33" s="55" t="str">
        <f aca="false">IF(OR(AV$2="",$D33=""),"",IF(IF(ISNUMBER($F33),AND(AV$2&gt;=$F33,AV$2&lt;=IF(ISNUMBER($G33),$G33,$F33+$E33-$D33)),FALSE()),2,IF(AND(AV$2&gt;=$D33,AV$2&lt;=$E33),1,"")))</f>
        <v/>
      </c>
      <c r="AW33" s="55" t="str">
        <f aca="false">IF(OR(AW$2="",$D33=""),"",IF(IF(ISNUMBER($F33),AND(AW$2&gt;=$F33,AW$2&lt;=IF(ISNUMBER($G33),$G33,$F33+$E33-$D33)),FALSE()),2,IF(AND(AW$2&gt;=$D33,AW$2&lt;=$E33),1,"")))</f>
        <v/>
      </c>
      <c r="AX33" s="55" t="str">
        <f aca="false">IF(OR(AX$2="",$D33=""),"",IF(IF(ISNUMBER($F33),AND(AX$2&gt;=$F33,AX$2&lt;=IF(ISNUMBER($G33),$G33,$F33+$E33-$D33)),FALSE()),2,IF(AND(AX$2&gt;=$D33,AX$2&lt;=$E33),1,"")))</f>
        <v/>
      </c>
      <c r="AY33" s="55" t="str">
        <f aca="false">IF(OR(AY$2="",$D33=""),"",IF(IF(ISNUMBER($F33),AND(AY$2&gt;=$F33,AY$2&lt;=IF(ISNUMBER($G33),$G33,$F33+$E33-$D33)),FALSE()),2,IF(AND(AY$2&gt;=$D33,AY$2&lt;=$E33),1,"")))</f>
        <v/>
      </c>
      <c r="AZ33" s="55" t="str">
        <f aca="false">IF(OR(AZ$2="",$D33=""),"",IF(IF(ISNUMBER($F33),AND(AZ$2&gt;=$F33,AZ$2&lt;=IF(ISNUMBER($G33),$G33,$F33+$E33-$D33)),FALSE()),2,IF(AND(AZ$2&gt;=$D33,AZ$2&lt;=$E33),1,"")))</f>
        <v/>
      </c>
      <c r="BA33" s="55" t="str">
        <f aca="false">IF(OR(BA$2="",$D33=""),"",IF(IF(ISNUMBER($F33),AND(BA$2&gt;=$F33,BA$2&lt;=IF(ISNUMBER($G33),$G33,$F33+$E33-$D33)),FALSE()),2,IF(AND(BA$2&gt;=$D33,BA$2&lt;=$E33),1,"")))</f>
        <v/>
      </c>
      <c r="BB33" s="55" t="str">
        <f aca="false">IF(OR(BB$2="",$D33=""),"",IF(IF(ISNUMBER($F33),AND(BB$2&gt;=$F33,BB$2&lt;=IF(ISNUMBER($G33),$G33,$F33+$E33-$D33)),FALSE()),2,IF(AND(BB$2&gt;=$D33,BB$2&lt;=$E33),1,"")))</f>
        <v/>
      </c>
      <c r="BC33" s="55" t="str">
        <f aca="false">IF(OR(BC$2="",$D33=""),"",IF(IF(ISNUMBER($F33),AND(BC$2&gt;=$F33,BC$2&lt;=IF(ISNUMBER($G33),$G33,$F33+$E33-$D33)),FALSE()),2,IF(AND(BC$2&gt;=$D33,BC$2&lt;=$E33),1,"")))</f>
        <v/>
      </c>
      <c r="BD33" s="55" t="str">
        <f aca="false">IF(OR(BD$2="",$D33=""),"",IF(IF(ISNUMBER($F33),AND(BD$2&gt;=$F33,BD$2&lt;=IF(ISNUMBER($G33),$G33,$F33+$E33-$D33)),FALSE()),2,IF(AND(BD$2&gt;=$D33,BD$2&lt;=$E33),1,"")))</f>
        <v/>
      </c>
      <c r="BE33" s="55" t="str">
        <f aca="false">IF(OR(BE$2="",$D33=""),"",IF(IF(ISNUMBER($F33),AND(BE$2&gt;=$F33,BE$2&lt;=IF(ISNUMBER($G33),$G33,$F33+$E33-$D33)),FALSE()),2,IF(AND(BE$2&gt;=$D33,BE$2&lt;=$E33),1,"")))</f>
        <v/>
      </c>
      <c r="BF33" s="55" t="str">
        <f aca="false">IF(OR(BF$2="",$D33=""),"",IF(IF(ISNUMBER($F33),AND(BF$2&gt;=$F33,BF$2&lt;=IF(ISNUMBER($G33),$G33,$F33+$E33-$D33)),FALSE()),2,IF(AND(BF$2&gt;=$D33,BF$2&lt;=$E33),1,"")))</f>
        <v/>
      </c>
      <c r="BG33" s="55" t="str">
        <f aca="false">IF(OR(BG$2="",$D33=""),"",IF(IF(ISNUMBER($F33),AND(BG$2&gt;=$F33,BG$2&lt;=IF(ISNUMBER($G33),$G33,$F33+$E33-$D33)),FALSE()),2,IF(AND(BG$2&gt;=$D33,BG$2&lt;=$E33),1,"")))</f>
        <v/>
      </c>
      <c r="BH33" s="55" t="str">
        <f aca="false">IF(OR(BH$2="",$D33=""),"",IF(IF(ISNUMBER($F33),AND(BH$2&gt;=$F33,BH$2&lt;=IF(ISNUMBER($G33),$G33,$F33+$E33-$D33)),FALSE()),2,IF(AND(BH$2&gt;=$D33,BH$2&lt;=$E33),1,"")))</f>
        <v/>
      </c>
      <c r="BI33" s="55" t="str">
        <f aca="false">IF(OR(BI$2="",$D33=""),"",IF(IF(ISNUMBER($F33),AND(BI$2&gt;=$F33,BI$2&lt;=IF(ISNUMBER($G33),$G33,$F33+$E33-$D33)),FALSE()),2,IF(AND(BI$2&gt;=$D33,BI$2&lt;=$E33),1,"")))</f>
        <v/>
      </c>
      <c r="BJ33" s="55" t="str">
        <f aca="false">IF(OR(BJ$2="",$D33=""),"",IF(IF(ISNUMBER($F33),AND(BJ$2&gt;=$F33,BJ$2&lt;=IF(ISNUMBER($G33),$G33,$F33+$E33-$D33)),FALSE()),2,IF(AND(BJ$2&gt;=$D33,BJ$2&lt;=$E33),1,"")))</f>
        <v/>
      </c>
      <c r="BK33" s="55" t="str">
        <f aca="false">IF(OR(BK$2="",$D33=""),"",IF(IF(ISNUMBER($F33),AND(BK$2&gt;=$F33,BK$2&lt;=IF(ISNUMBER($G33),$G33,$F33+$E33-$D33)),FALSE()),2,IF(AND(BK$2&gt;=$D33,BK$2&lt;=$E33),1,"")))</f>
        <v/>
      </c>
      <c r="BL33" s="55" t="str">
        <f aca="false">IF(OR(BL$2="",$D33=""),"",IF(IF(ISNUMBER($F33),AND(BL$2&gt;=$F33,BL$2&lt;=IF(ISNUMBER($G33),$G33,$F33+$E33-$D33)),FALSE()),2,IF(AND(BL$2&gt;=$D33,BL$2&lt;=$E33),1,"")))</f>
        <v/>
      </c>
      <c r="BM33" s="55" t="str">
        <f aca="false">IF(OR(BM$2="",$D33=""),"",IF(IF(ISNUMBER($F33),AND(BM$2&gt;=$F33,BM$2&lt;=IF(ISNUMBER($G33),$G33,$F33+$E33-$D33)),FALSE()),2,IF(AND(BM$2&gt;=$D33,BM$2&lt;=$E33),1,"")))</f>
        <v/>
      </c>
      <c r="BN33" s="55" t="str">
        <f aca="false">IF(OR(BN$2="",$D33=""),"",IF(IF(ISNUMBER($F33),AND(BN$2&gt;=$F33,BN$2&lt;=IF(ISNUMBER($G33),$G33,$F33+$E33-$D33)),FALSE()),2,IF(AND(BN$2&gt;=$D33,BN$2&lt;=$E33),1,"")))</f>
        <v/>
      </c>
      <c r="BO33" s="55" t="str">
        <f aca="false">IF(OR(BO$2="",$D33=""),"",IF(IF(ISNUMBER($F33),AND(BO$2&gt;=$F33,BO$2&lt;=IF(ISNUMBER($G33),$G33,$F33+$E33-$D33)),FALSE()),2,IF(AND(BO$2&gt;=$D33,BO$2&lt;=$E33),1,"")))</f>
        <v/>
      </c>
      <c r="BP33" s="55" t="str">
        <f aca="false">IF(OR(BP$2="",$D33=""),"",IF(IF(ISNUMBER($F33),AND(BP$2&gt;=$F33,BP$2&lt;=IF(ISNUMBER($G33),$G33,$F33+$E33-$D33)),FALSE()),2,IF(AND(BP$2&gt;=$D33,BP$2&lt;=$E33),1,"")))</f>
        <v/>
      </c>
      <c r="BQ33" s="55" t="str">
        <f aca="false">IF(OR(BQ$2="",$D33=""),"",IF(IF(ISNUMBER($F33),AND(BQ$2&gt;=$F33,BQ$2&lt;=IF(ISNUMBER($G33),$G33,$F33+$E33-$D33)),FALSE()),2,IF(AND(BQ$2&gt;=$D33,BQ$2&lt;=$E33),1,"")))</f>
        <v/>
      </c>
      <c r="BR33" s="55" t="str">
        <f aca="false">IF(OR(BR$2="",$D33=""),"",IF(IF(ISNUMBER($F33),AND(BR$2&gt;=$F33,BR$2&lt;=IF(ISNUMBER($G33),$G33,$F33+$E33-$D33)),FALSE()),2,IF(AND(BR$2&gt;=$D33,BR$2&lt;=$E33),1,"")))</f>
        <v/>
      </c>
      <c r="BS33" s="55" t="str">
        <f aca="false">IF(OR(BS$2="",$D33=""),"",IF(IF(ISNUMBER($F33),AND(BS$2&gt;=$F33,BS$2&lt;=IF(ISNUMBER($G33),$G33,$F33+$E33-$D33)),FALSE()),2,IF(AND(BS$2&gt;=$D33,BS$2&lt;=$E33),1,"")))</f>
        <v/>
      </c>
      <c r="BT33" s="55" t="str">
        <f aca="false">IF(OR(BT$2="",$D33=""),"",IF(IF(ISNUMBER($F33),AND(BT$2&gt;=$F33,BT$2&lt;=IF(ISNUMBER($G33),$G33,$F33+$E33-$D33)),FALSE()),2,IF(AND(BT$2&gt;=$D33,BT$2&lt;=$E33),1,"")))</f>
        <v/>
      </c>
      <c r="BU33" s="55" t="str">
        <f aca="false">IF(OR(BU$2="",$D33=""),"",IF(IF(ISNUMBER($F33),AND(BU$2&gt;=$F33,BU$2&lt;=IF(ISNUMBER($G33),$G33,$F33+$E33-$D33)),FALSE()),2,IF(AND(BU$2&gt;=$D33,BU$2&lt;=$E33),1,"")))</f>
        <v/>
      </c>
      <c r="BV33" s="55" t="str">
        <f aca="false">IF(OR(BV$2="",$D33=""),"",IF(IF(ISNUMBER($F33),AND(BV$2&gt;=$F33,BV$2&lt;=IF(ISNUMBER($G33),$G33,$F33+$E33-$D33)),FALSE()),2,IF(AND(BV$2&gt;=$D33,BV$2&lt;=$E33),1,"")))</f>
        <v/>
      </c>
      <c r="BW33" s="55" t="str">
        <f aca="false">IF(OR(BW$2="",$D33=""),"",IF(IF(ISNUMBER($F33),AND(BW$2&gt;=$F33,BW$2&lt;=IF(ISNUMBER($G33),$G33,$F33+$E33-$D33)),FALSE()),2,IF(AND(BW$2&gt;=$D33,BW$2&lt;=$E33),1,"")))</f>
        <v/>
      </c>
      <c r="BX33" s="55" t="str">
        <f aca="false">IF(OR(BX$2="",$D33=""),"",IF(IF(ISNUMBER($F33),AND(BX$2&gt;=$F33,BX$2&lt;=IF(ISNUMBER($G33),$G33,$F33+$E33-$D33)),FALSE()),2,IF(AND(BX$2&gt;=$D33,BX$2&lt;=$E33),1,"")))</f>
        <v/>
      </c>
      <c r="BY33" s="55" t="str">
        <f aca="false">IF(OR(BY$2="",$D33=""),"",IF(IF(ISNUMBER($F33),AND(BY$2&gt;=$F33,BY$2&lt;=IF(ISNUMBER($G33),$G33,$F33+$E33-$D33)),FALSE()),2,IF(AND(BY$2&gt;=$D33,BY$2&lt;=$E33),1,"")))</f>
        <v/>
      </c>
      <c r="BZ33" s="55" t="str">
        <f aca="false">IF(OR(BZ$2="",$D33=""),"",IF(IF(ISNUMBER($F33),AND(BZ$2&gt;=$F33,BZ$2&lt;=IF(ISNUMBER($G33),$G33,$F33+$E33-$D33)),FALSE()),2,IF(AND(BZ$2&gt;=$D33,BZ$2&lt;=$E33),1,"")))</f>
        <v/>
      </c>
      <c r="CA33" s="55" t="str">
        <f aca="false">IF(OR(CA$2="",$D33=""),"",IF(IF(ISNUMBER($F33),AND(CA$2&gt;=$F33,CA$2&lt;=IF(ISNUMBER($G33),$G33,$F33+$E33-$D33)),FALSE()),2,IF(AND(CA$2&gt;=$D33,CA$2&lt;=$E33),1,"")))</f>
        <v/>
      </c>
      <c r="CB33" s="55" t="str">
        <f aca="false">IF(OR(CB$2="",$D33=""),"",IF(IF(ISNUMBER($F33),AND(CB$2&gt;=$F33,CB$2&lt;=IF(ISNUMBER($G33),$G33,$F33+$E33-$D33)),FALSE()),2,IF(AND(CB$2&gt;=$D33,CB$2&lt;=$E33),1,"")))</f>
        <v/>
      </c>
      <c r="CC33" s="55" t="str">
        <f aca="false">IF(OR(CC$2="",$D33=""),"",IF(IF(ISNUMBER($F33),AND(CC$2&gt;=$F33,CC$2&lt;=IF(ISNUMBER($G33),$G33,$F33+$E33-$D33)),FALSE()),2,IF(AND(CC$2&gt;=$D33,CC$2&lt;=$E33),1,"")))</f>
        <v/>
      </c>
      <c r="CD33" s="55" t="str">
        <f aca="false">IF(OR(CD$2="",$D33=""),"",IF(IF(ISNUMBER($F33),AND(CD$2&gt;=$F33,CD$2&lt;=IF(ISNUMBER($G33),$G33,$F33+$E33-$D33)),FALSE()),2,IF(AND(CD$2&gt;=$D33,CD$2&lt;=$E33),1,"")))</f>
        <v/>
      </c>
      <c r="CE33" s="55" t="str">
        <f aca="false">IF(OR(CE$2="",$D33=""),"",IF(IF(ISNUMBER($F33),AND(CE$2&gt;=$F33,CE$2&lt;=IF(ISNUMBER($G33),$G33,$F33+$E33-$D33)),FALSE()),2,IF(AND(CE$2&gt;=$D33,CE$2&lt;=$E33),1,"")))</f>
        <v/>
      </c>
      <c r="CF33" s="55" t="str">
        <f aca="false">IF(OR(CF$2="",$D33=""),"",IF(IF(ISNUMBER($F33),AND(CF$2&gt;=$F33,CF$2&lt;=IF(ISNUMBER($G33),$G33,$F33+$E33-$D33)),FALSE()),2,IF(AND(CF$2&gt;=$D33,CF$2&lt;=$E33),1,"")))</f>
        <v/>
      </c>
      <c r="CG33" s="55" t="str">
        <f aca="false">IF(OR(CG$2="",$D33=""),"",IF(IF(ISNUMBER($F33),AND(CG$2&gt;=$F33,CG$2&lt;=IF(ISNUMBER($G33),$G33,$F33+$E33-$D33)),FALSE()),2,IF(AND(CG$2&gt;=$D33,CG$2&lt;=$E33),1,"")))</f>
        <v/>
      </c>
      <c r="CH33" s="55" t="str">
        <f aca="false">IF(OR(CH$2="",$D33=""),"",IF(IF(ISNUMBER($F33),AND(CH$2&gt;=$F33,CH$2&lt;=IF(ISNUMBER($G33),$G33,$F33+$E33-$D33)),FALSE()),2,IF(AND(CH$2&gt;=$D33,CH$2&lt;=$E33),1,"")))</f>
        <v/>
      </c>
      <c r="CI33" s="55" t="str">
        <f aca="false">IF(OR(CI$2="",$D33=""),"",IF(IF(ISNUMBER($F33),AND(CI$2&gt;=$F33,CI$2&lt;=IF(ISNUMBER($G33),$G33,$F33+$E33-$D33)),FALSE()),2,IF(AND(CI$2&gt;=$D33,CI$2&lt;=$E33),1,"")))</f>
        <v/>
      </c>
      <c r="CJ33" s="55" t="str">
        <f aca="false">IF(OR(CJ$2="",$D33=""),"",IF(IF(ISNUMBER($F33),AND(CJ$2&gt;=$F33,CJ$2&lt;=IF(ISNUMBER($G33),$G33,$F33+$E33-$D33)),FALSE()),2,IF(AND(CJ$2&gt;=$D33,CJ$2&lt;=$E33),1,"")))</f>
        <v/>
      </c>
      <c r="CK33" s="55" t="str">
        <f aca="false">IF(OR(CK$2="",$D33=""),"",IF(IF(ISNUMBER($F33),AND(CK$2&gt;=$F33,CK$2&lt;=IF(ISNUMBER($G33),$G33,$F33+$E33-$D33)),FALSE()),2,IF(AND(CK$2&gt;=$D33,CK$2&lt;=$E33),1,"")))</f>
        <v/>
      </c>
      <c r="CL33" s="55" t="str">
        <f aca="false">IF(OR(CL$2="",$D33=""),"",IF(IF(ISNUMBER($F33),AND(CL$2&gt;=$F33,CL$2&lt;=IF(ISNUMBER($G33),$G33,$F33+$E33-$D33)),FALSE()),2,IF(AND(CL$2&gt;=$D33,CL$2&lt;=$E33),1,"")))</f>
        <v/>
      </c>
      <c r="CM33" s="55" t="n">
        <f aca="false">IF(OR(CM$2="",$D33=""),"",IF(IF(ISNUMBER($F33),AND(CM$2&gt;=$F33,CM$2&lt;=IF(ISNUMBER($G33),$G33,$F33+$E33-$D33)),FALSE()),2,IF(AND(CM$2&gt;=$D33,CM$2&lt;=$E33),1,"")))</f>
        <v>1</v>
      </c>
      <c r="CN33" s="55" t="str">
        <f aca="false">IF(OR(CN$2="",$D33=""),"",IF(IF(ISNUMBER($F33),AND(CN$2&gt;=$F33,CN$2&lt;=IF(ISNUMBER($G33),$G33,$F33+$E33-$D33)),FALSE()),2,IF(AND(CN$2&gt;=$D33,CN$2&lt;=$E33),1,"")))</f>
        <v/>
      </c>
      <c r="CO33" s="55" t="str">
        <f aca="false">IF(OR(CO$2="",$D33=""),"",IF(IF(ISNUMBER($F33),AND(CO$2&gt;=$F33,CO$2&lt;=IF(ISNUMBER($G33),$G33,$F33+$E33-$D33)),FALSE()),2,IF(AND(CO$2&gt;=$D33,CO$2&lt;=$E33),1,"")))</f>
        <v/>
      </c>
      <c r="CP33" s="55" t="str">
        <f aca="false">IF(OR(CP$2="",$D33=""),"",IF(IF(ISNUMBER($F33),AND(CP$2&gt;=$F33,CP$2&lt;=IF(ISNUMBER($G33),$G33,$F33+$E33-$D33)),FALSE()),2,IF(AND(CP$2&gt;=$D33,CP$2&lt;=$E33),1,"")))</f>
        <v/>
      </c>
      <c r="CQ33" s="55" t="str">
        <f aca="false">IF(OR(CQ$2="",$D33=""),"",IF(IF(ISNUMBER($F33),AND(CQ$2&gt;=$F33,CQ$2&lt;=IF(ISNUMBER($G33),$G33,$F33+$E33-$D33)),FALSE()),2,IF(AND(CQ$2&gt;=$D33,CQ$2&lt;=$E33),1,"")))</f>
        <v/>
      </c>
      <c r="CR33" s="55" t="str">
        <f aca="false">IF(OR(CR$2="",$D33=""),"",IF(IF(ISNUMBER($F33),AND(CR$2&gt;=$F33,CR$2&lt;=IF(ISNUMBER($G33),$G33,$F33+$E33-$D33)),FALSE()),2,IF(AND(CR$2&gt;=$D33,CR$2&lt;=$E33),1,"")))</f>
        <v/>
      </c>
      <c r="CS33" s="55" t="str">
        <f aca="false">IF(OR(CS$2="",$D33=""),"",IF(IF(ISNUMBER($F33),AND(CS$2&gt;=$F33,CS$2&lt;=IF(ISNUMBER($G33),$G33,$F33+$E33-$D33)),FALSE()),2,IF(AND(CS$2&gt;=$D33,CS$2&lt;=$E33),1,"")))</f>
        <v/>
      </c>
      <c r="CT33" s="55" t="str">
        <f aca="false">IF(OR(CT$2="",$D33=""),"",IF(IF(ISNUMBER($F33),AND(CT$2&gt;=$F33,CT$2&lt;=IF(ISNUMBER($G33),$G33,$F33+$E33-$D33)),FALSE()),2,IF(AND(CT$2&gt;=$D33,CT$2&lt;=$E33),1,"")))</f>
        <v/>
      </c>
      <c r="CU33" s="55" t="str">
        <f aca="false">IF(OR(CU$2="",$D33=""),"",IF(IF(ISNUMBER($F33),AND(CU$2&gt;=$F33,CU$2&lt;=IF(ISNUMBER($G33),$G33,$F33+$E33-$D33)),FALSE()),2,IF(AND(CU$2&gt;=$D33,CU$2&lt;=$E33),1,"")))</f>
        <v/>
      </c>
      <c r="CV33" s="55" t="str">
        <f aca="false">IF(OR(CV$2="",$D33=""),"",IF(IF(ISNUMBER($F33),AND(CV$2&gt;=$F33,CV$2&lt;=IF(ISNUMBER($G33),$G33,$F33+$E33-$D33)),FALSE()),2,IF(AND(CV$2&gt;=$D33,CV$2&lt;=$E33),1,"")))</f>
        <v/>
      </c>
      <c r="CW33" s="55" t="str">
        <f aca="false">IF(OR(CW$2="",$D33=""),"",IF(IF(ISNUMBER($F33),AND(CW$2&gt;=$F33,CW$2&lt;=IF(ISNUMBER($G33),$G33,$F33+$E33-$D33)),FALSE()),2,IF(AND(CW$2&gt;=$D33,CW$2&lt;=$E33),1,"")))</f>
        <v/>
      </c>
      <c r="CX33" s="55" t="str">
        <f aca="false">IF(OR(CX$2="",$D33=""),"",IF(IF(ISNUMBER($F33),AND(CX$2&gt;=$F33,CX$2&lt;=IF(ISNUMBER($G33),$G33,$F33+$E33-$D33)),FALSE()),2,IF(AND(CX$2&gt;=$D33,CX$2&lt;=$E33),1,"")))</f>
        <v/>
      </c>
      <c r="CY33" s="55" t="str">
        <f aca="false">IF(OR(CY$2="",$D33=""),"",IF(IF(ISNUMBER($F33),AND(CY$2&gt;=$F33,CY$2&lt;=IF(ISNUMBER($G33),$G33,$F33+$E33-$D33)),FALSE()),2,IF(AND(CY$2&gt;=$D33,CY$2&lt;=$E33),1,"")))</f>
        <v/>
      </c>
      <c r="CZ33" s="55" t="str">
        <f aca="false">IF(OR(CZ$2="",$D33=""),"",IF(IF(ISNUMBER($F33),AND(CZ$2&gt;=$F33,CZ$2&lt;=IF(ISNUMBER($G33),$G33,$F33+$E33-$D33)),FALSE()),2,IF(AND(CZ$2&gt;=$D33,CZ$2&lt;=$E33),1,"")))</f>
        <v/>
      </c>
      <c r="DA33" s="55" t="str">
        <f aca="false">IF(OR(DA$2="",$D33=""),"",IF(IF(ISNUMBER($F33),AND(DA$2&gt;=$F33,DA$2&lt;=IF(ISNUMBER($G33),$G33,$F33+$E33-$D33)),FALSE()),2,IF(AND(DA$2&gt;=$D33,DA$2&lt;=$E33),1,"")))</f>
        <v/>
      </c>
      <c r="DB33" s="55" t="str">
        <f aca="false">IF(OR(DB$2="",$D33=""),"",IF(IF(ISNUMBER($F33),AND(DB$2&gt;=$F33,DB$2&lt;=IF(ISNUMBER($G33),$G33,$F33+$E33-$D33)),FALSE()),2,IF(AND(DB$2&gt;=$D33,DB$2&lt;=$E33),1,"")))</f>
        <v/>
      </c>
      <c r="DC33" s="55" t="str">
        <f aca="false">IF(OR(DC$2="",$D33=""),"",IF(IF(ISNUMBER($F33),AND(DC$2&gt;=$F33,DC$2&lt;=IF(ISNUMBER($G33),$G33,$F33+$E33-$D33)),FALSE()),2,IF(AND(DC$2&gt;=$D33,DC$2&lt;=$E33),1,"")))</f>
        <v/>
      </c>
      <c r="DD33" s="55" t="str">
        <f aca="false">IF(OR(DD$2="",$D33=""),"",IF(IF(ISNUMBER($F33),AND(DD$2&gt;=$F33,DD$2&lt;=IF(ISNUMBER($G33),$G33,$F33+$E33-$D33)),FALSE()),2,IF(AND(DD$2&gt;=$D33,DD$2&lt;=$E33),1,"")))</f>
        <v/>
      </c>
      <c r="DE33" s="55" t="str">
        <f aca="false">IF(OR(DE$2="",$D33=""),"",IF(IF(ISNUMBER($F33),AND(DE$2&gt;=$F33,DE$2&lt;=IF(ISNUMBER($G33),$G33,$F33+$E33-$D33)),FALSE()),2,IF(AND(DE$2&gt;=$D33,DE$2&lt;=$E33),1,"")))</f>
        <v/>
      </c>
      <c r="DF33" s="55" t="str">
        <f aca="false">IF(OR(DF$2="",$D33=""),"",IF(IF(ISNUMBER($F33),AND(DF$2&gt;=$F33,DF$2&lt;=IF(ISNUMBER($G33),$G33,$F33+$E33-$D33)),FALSE()),2,IF(AND(DF$2&gt;=$D33,DF$2&lt;=$E33),1,"")))</f>
        <v/>
      </c>
      <c r="DG33" s="55" t="str">
        <f aca="false">IF(OR(DG$2="",$D33=""),"",IF(IF(ISNUMBER($F33),AND(DG$2&gt;=$F33,DG$2&lt;=IF(ISNUMBER($G33),$G33,$F33+$E33-$D33)),FALSE()),2,IF(AND(DG$2&gt;=$D33,DG$2&lt;=$E33),1,"")))</f>
        <v/>
      </c>
      <c r="DH33" s="55" t="str">
        <f aca="false">IF(OR(DH$2="",$D33=""),"",IF(IF(ISNUMBER($F33),AND(DH$2&gt;=$F33,DH$2&lt;=IF(ISNUMBER($G33),$G33,$F33+$E33-$D33)),FALSE()),2,IF(AND(DH$2&gt;=$D33,DH$2&lt;=$E33),1,"")))</f>
        <v/>
      </c>
      <c r="DI33" s="55" t="str">
        <f aca="false">IF(OR(DI$2="",$D33=""),"",IF(IF(ISNUMBER($F33),AND(DI$2&gt;=$F33,DI$2&lt;=IF(ISNUMBER($G33),$G33,$F33+$E33-$D33)),FALSE()),2,IF(AND(DI$2&gt;=$D33,DI$2&lt;=$E33),1,"")))</f>
        <v/>
      </c>
      <c r="DJ33" s="55" t="str">
        <f aca="false">IF(OR(DJ$2="",$D33=""),"",IF(IF(ISNUMBER($F33),AND(DJ$2&gt;=$F33,DJ$2&lt;=IF(ISNUMBER($G33),$G33,$F33+$E33-$D33)),FALSE()),2,IF(AND(DJ$2&gt;=$D33,DJ$2&lt;=$E33),1,"")))</f>
        <v/>
      </c>
      <c r="DK33" s="55" t="str">
        <f aca="false">IF(OR(DK$2="",$D33=""),"",IF(IF(ISNUMBER($F33),AND(DK$2&gt;=$F33,DK$2&lt;=IF(ISNUMBER($G33),$G33,$F33+$E33-$D33)),FALSE()),2,IF(AND(DK$2&gt;=$D33,DK$2&lt;=$E33),1,"")))</f>
        <v/>
      </c>
      <c r="DL33" s="55" t="str">
        <f aca="false">IF(OR(DL$2="",$D33=""),"",IF(IF(ISNUMBER($F33),AND(DL$2&gt;=$F33,DL$2&lt;=IF(ISNUMBER($G33),$G33,$F33+$E33-$D33)),FALSE()),2,IF(AND(DL$2&gt;=$D33,DL$2&lt;=$E33),1,"")))</f>
        <v/>
      </c>
      <c r="DM33" s="55" t="str">
        <f aca="false">IF(OR(DM$2="",$D33=""),"",IF(IF(ISNUMBER($F33),AND(DM$2&gt;=$F33,DM$2&lt;=IF(ISNUMBER($G33),$G33,$F33+$E33-$D33)),FALSE()),2,IF(AND(DM$2&gt;=$D33,DM$2&lt;=$E33),1,"")))</f>
        <v/>
      </c>
      <c r="DN33" s="55" t="str">
        <f aca="false">IF(OR(DN$2="",$D33=""),"",IF(IF(ISNUMBER($F33),AND(DN$2&gt;=$F33,DN$2&lt;=IF(ISNUMBER($G33),$G33,$F33+$E33-$D33)),FALSE()),2,IF(AND(DN$2&gt;=$D33,DN$2&lt;=$E33),1,"")))</f>
        <v/>
      </c>
      <c r="DO33" s="55" t="str">
        <f aca="false">IF(OR(DO$2="",$D33=""),"",IF(IF(ISNUMBER($F33),AND(DO$2&gt;=$F33,DO$2&lt;=IF(ISNUMBER($G33),$G33,$F33+$E33-$D33)),FALSE()),2,IF(AND(DO$2&gt;=$D33,DO$2&lt;=$E33),1,"")))</f>
        <v/>
      </c>
      <c r="DP33" s="55" t="str">
        <f aca="false">IF(OR(DP$2="",$D33=""),"",IF(IF(ISNUMBER($F33),AND(DP$2&gt;=$F33,DP$2&lt;=IF(ISNUMBER($G33),$G33,$F33+$E33-$D33)),FALSE()),2,IF(AND(DP$2&gt;=$D33,DP$2&lt;=$E33),1,"")))</f>
        <v/>
      </c>
      <c r="DQ33" s="55" t="str">
        <f aca="false">IF(OR(DQ$2="",$D33=""),"",IF(IF(ISNUMBER($F33),AND(DQ$2&gt;=$F33,DQ$2&lt;=IF(ISNUMBER($G33),$G33,$F33+$E33-$D33)),FALSE()),2,IF(AND(DQ$2&gt;=$D33,DQ$2&lt;=$E33),1,"")))</f>
        <v/>
      </c>
      <c r="DR33" s="55" t="str">
        <f aca="false">IF(OR(DR$2="",$D33=""),"",IF(IF(ISNUMBER($F33),AND(DR$2&gt;=$F33,DR$2&lt;=IF(ISNUMBER($G33),$G33,$F33+$E33-$D33)),FALSE()),2,IF(AND(DR$2&gt;=$D33,DR$2&lt;=$E33),1,"")))</f>
        <v/>
      </c>
      <c r="DS33" s="55" t="str">
        <f aca="false">IF(OR(DS$2="",$D33=""),"",IF(IF(ISNUMBER($F33),AND(DS$2&gt;=$F33,DS$2&lt;=IF(ISNUMBER($G33),$G33,$F33+$E33-$D33)),FALSE()),2,IF(AND(DS$2&gt;=$D33,DS$2&lt;=$E33),1,"")))</f>
        <v/>
      </c>
      <c r="DT33" s="55" t="str">
        <f aca="false">IF(OR(DT$2="",$D33=""),"",IF(IF(ISNUMBER($F33),AND(DT$2&gt;=$F33,DT$2&lt;=IF(ISNUMBER($G33),$G33,$F33+$E33-$D33)),FALSE()),2,IF(AND(DT$2&gt;=$D33,DT$2&lt;=$E33),1,"")))</f>
        <v/>
      </c>
      <c r="DU33" s="55" t="str">
        <f aca="false">IF(OR(DU$2="",$D33=""),"",IF(IF(ISNUMBER($F33),AND(DU$2&gt;=$F33,DU$2&lt;=IF(ISNUMBER($G33),$G33,$F33+$E33-$D33)),FALSE()),2,IF(AND(DU$2&gt;=$D33,DU$2&lt;=$E33),1,"")))</f>
        <v/>
      </c>
      <c r="DV33" s="55" t="str">
        <f aca="false">IF(OR(DV$2="",$D33=""),"",IF(IF(ISNUMBER($F33),AND(DV$2&gt;=$F33,DV$2&lt;=IF(ISNUMBER($G33),$G33,$F33+$E33-$D33)),FALSE()),2,IF(AND(DV$2&gt;=$D33,DV$2&lt;=$E33),1,"")))</f>
        <v/>
      </c>
      <c r="DW33" s="55" t="str">
        <f aca="false">IF(OR(DW$2="",$D33=""),"",IF(IF(ISNUMBER($F33),AND(DW$2&gt;=$F33,DW$2&lt;=IF(ISNUMBER($G33),$G33,$F33+$E33-$D33)),FALSE()),2,IF(AND(DW$2&gt;=$D33,DW$2&lt;=$E33),1,"")))</f>
        <v/>
      </c>
      <c r="DX33" s="55" t="str">
        <f aca="false">IF(OR(DX$2="",$D33=""),"",IF(IF(ISNUMBER($F33),AND(DX$2&gt;=$F33,DX$2&lt;=IF(ISNUMBER($G33),$G33,$F33+$E33-$D33)),FALSE()),2,IF(AND(DX$2&gt;=$D33,DX$2&lt;=$E33),1,"")))</f>
        <v/>
      </c>
      <c r="DY33" s="55" t="str">
        <f aca="false">IF(OR(DY$2="",$D33=""),"",IF(IF(ISNUMBER($F33),AND(DY$2&gt;=$F33,DY$2&lt;=IF(ISNUMBER($G33),$G33,$F33+$E33-$D33)),FALSE()),2,IF(AND(DY$2&gt;=$D33,DY$2&lt;=$E33),1,"")))</f>
        <v/>
      </c>
      <c r="DZ33" s="55" t="str">
        <f aca="false">IF(OR(DZ$2="",$D33=""),"",IF(IF(ISNUMBER($F33),AND(DZ$2&gt;=$F33,DZ$2&lt;=IF(ISNUMBER($G33),$G33,$F33+$E33-$D33)),FALSE()),2,IF(AND(DZ$2&gt;=$D33,DZ$2&lt;=$E33),1,"")))</f>
        <v/>
      </c>
      <c r="EA33" s="55" t="str">
        <f aca="false">IF(OR(EA$2="",$D33=""),"",IF(IF(ISNUMBER($F33),AND(EA$2&gt;=$F33,EA$2&lt;=IF(ISNUMBER($G33),$G33,$F33+$E33-$D33)),FALSE()),2,IF(AND(EA$2&gt;=$D33,EA$2&lt;=$E33),1,"")))</f>
        <v/>
      </c>
      <c r="EB33" s="55" t="str">
        <f aca="false">IF(OR(EB$2="",$D33=""),"",IF(IF(ISNUMBER($F33),AND(EB$2&gt;=$F33,EB$2&lt;=IF(ISNUMBER($G33),$G33,$F33+$E33-$D33)),FALSE()),2,IF(AND(EB$2&gt;=$D33,EB$2&lt;=$E33),1,"")))</f>
        <v/>
      </c>
      <c r="EC33" s="55" t="str">
        <f aca="false">IF(OR(EC$2="",$D33=""),"",IF(IF(ISNUMBER($F33),AND(EC$2&gt;=$F33,EC$2&lt;=IF(ISNUMBER($G33),$G33,$F33+$E33-$D33)),FALSE()),2,IF(AND(EC$2&gt;=$D33,EC$2&lt;=$E33),1,"")))</f>
        <v/>
      </c>
      <c r="ED33" s="55" t="str">
        <f aca="false">IF(OR(ED$2="",$D33=""),"",IF(IF(ISNUMBER($F33),AND(ED$2&gt;=$F33,ED$2&lt;=IF(ISNUMBER($G33),$G33,$F33+$E33-$D33)),FALSE()),2,IF(AND(ED$2&gt;=$D33,ED$2&lt;=$E33),1,"")))</f>
        <v/>
      </c>
      <c r="EE33" s="55" t="str">
        <f aca="false">IF(OR(EE$2="",$D33=""),"",IF(IF(ISNUMBER($F33),AND(EE$2&gt;=$F33,EE$2&lt;=IF(ISNUMBER($G33),$G33,$F33+$E33-$D33)),FALSE()),2,IF(AND(EE$2&gt;=$D33,EE$2&lt;=$E33),1,"")))</f>
        <v/>
      </c>
      <c r="EF33" s="55" t="str">
        <f aca="false">IF(OR(EF$2="",$D33=""),"",IF(IF(ISNUMBER($F33),AND(EF$2&gt;=$F33,EF$2&lt;=IF(ISNUMBER($G33),$G33,$F33+$E33-$D33)),FALSE()),2,IF(AND(EF$2&gt;=$D33,EF$2&lt;=$E33),1,"")))</f>
        <v/>
      </c>
      <c r="EG33" s="55" t="str">
        <f aca="false">IF(OR(EG$2="",$D33=""),"",IF(IF(ISNUMBER($F33),AND(EG$2&gt;=$F33,EG$2&lt;=IF(ISNUMBER($G33),$G33,$F33+$E33-$D33)),FALSE()),2,IF(AND(EG$2&gt;=$D33,EG$2&lt;=$E33),1,"")))</f>
        <v/>
      </c>
      <c r="EH33" s="55" t="str">
        <f aca="false">IF(OR(EH$2="",$D33=""),"",IF(IF(ISNUMBER($F33),AND(EH$2&gt;=$F33,EH$2&lt;=IF(ISNUMBER($G33),$G33,$F33+$E33-$D33)),FALSE()),2,IF(AND(EH$2&gt;=$D33,EH$2&lt;=$E33),1,"")))</f>
        <v/>
      </c>
      <c r="EI33" s="55" t="str">
        <f aca="false">IF(OR(EI$2="",$D33=""),"",IF(IF(ISNUMBER($F33),AND(EI$2&gt;=$F33,EI$2&lt;=IF(ISNUMBER($G33),$G33,$F33+$E33-$D33)),FALSE()),2,IF(AND(EI$2&gt;=$D33,EI$2&lt;=$E33),1,"")))</f>
        <v/>
      </c>
      <c r="EJ33" s="55" t="str">
        <f aca="false">IF(OR(EJ$2="",$D33=""),"",IF(IF(ISNUMBER($F33),AND(EJ$2&gt;=$F33,EJ$2&lt;=IF(ISNUMBER($G33),$G33,$F33+$E33-$D33)),FALSE()),2,IF(AND(EJ$2&gt;=$D33,EJ$2&lt;=$E33),1,"")))</f>
        <v/>
      </c>
      <c r="EK33" s="55" t="str">
        <f aca="false">IF(OR(EK$2="",$D33=""),"",IF(IF(ISNUMBER($F33),AND(EK$2&gt;=$F33,EK$2&lt;=IF(ISNUMBER($G33),$G33,$F33+$E33-$D33)),FALSE()),2,IF(AND(EK$2&gt;=$D33,EK$2&lt;=$E33),1,"")))</f>
        <v/>
      </c>
      <c r="EL33" s="55" t="str">
        <f aca="false">IF(OR(EL$2="",$D33=""),"",IF(IF(ISNUMBER($F33),AND(EL$2&gt;=$F33,EL$2&lt;=IF(ISNUMBER($G33),$G33,$F33+$E33-$D33)),FALSE()),2,IF(AND(EL$2&gt;=$D33,EL$2&lt;=$E33),1,"")))</f>
        <v/>
      </c>
      <c r="EM33" s="55" t="str">
        <f aca="false">IF(OR(EM$2="",$D33=""),"",IF(IF(ISNUMBER($F33),AND(EM$2&gt;=$F33,EM$2&lt;=IF(ISNUMBER($G33),$G33,$F33+$E33-$D33)),FALSE()),2,IF(AND(EM$2&gt;=$D33,EM$2&lt;=$E33),1,"")))</f>
        <v/>
      </c>
      <c r="EN33" s="55" t="str">
        <f aca="false">IF(OR(EN$2="",$D33=""),"",IF(IF(ISNUMBER($F33),AND(EN$2&gt;=$F33,EN$2&lt;=IF(ISNUMBER($G33),$G33,$F33+$E33-$D33)),FALSE()),2,IF(AND(EN$2&gt;=$D33,EN$2&lt;=$E33),1,"")))</f>
        <v/>
      </c>
      <c r="EO33" s="55" t="str">
        <f aca="false">IF(OR(EO$2="",$D33=""),"",IF(IF(ISNUMBER($F33),AND(EO$2&gt;=$F33,EO$2&lt;=IF(ISNUMBER($G33),$G33,$F33+$E33-$D33)),FALSE()),2,IF(AND(EO$2&gt;=$D33,EO$2&lt;=$E33),1,"")))</f>
        <v/>
      </c>
      <c r="EP33" s="55" t="str">
        <f aca="false">IF(OR(EP$2="",$D33=""),"",IF(IF(ISNUMBER($F33),AND(EP$2&gt;=$F33,EP$2&lt;=IF(ISNUMBER($G33),$G33,$F33+$E33-$D33)),FALSE()),2,IF(AND(EP$2&gt;=$D33,EP$2&lt;=$E33),1,"")))</f>
        <v/>
      </c>
      <c r="EQ33" s="55" t="str">
        <f aca="false">IF(OR(EQ$2="",$D33=""),"",IF(IF(ISNUMBER($F33),AND(EQ$2&gt;=$F33,EQ$2&lt;=IF(ISNUMBER($G33),$G33,$F33+$E33-$D33)),FALSE()),2,IF(AND(EQ$2&gt;=$D33,EQ$2&lt;=$E33),1,"")))</f>
        <v/>
      </c>
      <c r="ER33" s="55" t="str">
        <f aca="false">IF(OR(ER$2="",$D33=""),"",IF(IF(ISNUMBER($F33),AND(ER$2&gt;=$F33,ER$2&lt;=IF(ISNUMBER($G33),$G33,$F33+$E33-$D33)),FALSE()),2,IF(AND(ER$2&gt;=$D33,ER$2&lt;=$E33),1,"")))</f>
        <v/>
      </c>
      <c r="ES33" s="55" t="str">
        <f aca="false">IF(OR(ES$2="",$D33=""),"",IF(IF(ISNUMBER($F33),AND(ES$2&gt;=$F33,ES$2&lt;=IF(ISNUMBER($G33),$G33,$F33+$E33-$D33)),FALSE()),2,IF(AND(ES$2&gt;=$D33,ES$2&lt;=$E33),1,"")))</f>
        <v/>
      </c>
      <c r="ET33" s="55" t="str">
        <f aca="false">IF(OR(ET$2="",$D33=""),"",IF(IF(ISNUMBER($F33),AND(ET$2&gt;=$F33,ET$2&lt;=IF(ISNUMBER($G33),$G33,$F33+$E33-$D33)),FALSE()),2,IF(AND(ET$2&gt;=$D33,ET$2&lt;=$E33),1,"")))</f>
        <v/>
      </c>
      <c r="EU33" s="55" t="str">
        <f aca="false">IF(OR(EU$2="",$D33=""),"",IF(IF(ISNUMBER($F33),AND(EU$2&gt;=$F33,EU$2&lt;=IF(ISNUMBER($G33),$G33,$F33+$E33-$D33)),FALSE()),2,IF(AND(EU$2&gt;=$D33,EU$2&lt;=$E33),1,"")))</f>
        <v/>
      </c>
      <c r="EV33" s="55" t="str">
        <f aca="false">IF(OR(EV$2="",$D33=""),"",IF(IF(ISNUMBER($F33),AND(EV$2&gt;=$F33,EV$2&lt;=IF(ISNUMBER($G33),$G33,$F33+$E33-$D33)),FALSE()),2,IF(AND(EV$2&gt;=$D33,EV$2&lt;=$E33),1,"")))</f>
        <v/>
      </c>
      <c r="EW33" s="55" t="str">
        <f aca="false">IF(OR(EW$2="",$D33=""),"",IF(IF(ISNUMBER($F33),AND(EW$2&gt;=$F33,EW$2&lt;=IF(ISNUMBER($G33),$G33,$F33+$E33-$D33)),FALSE()),2,IF(AND(EW$2&gt;=$D33,EW$2&lt;=$E33),1,"")))</f>
        <v/>
      </c>
      <c r="EX33" s="55" t="str">
        <f aca="false">IF(OR(EX$2="",$D33=""),"",IF(IF(ISNUMBER($F33),AND(EX$2&gt;=$F33,EX$2&lt;=IF(ISNUMBER($G33),$G33,$F33+$E33-$D33)),FALSE()),2,IF(AND(EX$2&gt;=$D33,EX$2&lt;=$E33),1,"")))</f>
        <v/>
      </c>
      <c r="EY33" s="55" t="str">
        <f aca="false">IF(OR(EY$2="",$D33=""),"",IF(IF(ISNUMBER($F33),AND(EY$2&gt;=$F33,EY$2&lt;=IF(ISNUMBER($G33),$G33,$F33+$E33-$D33)),FALSE()),2,IF(AND(EY$2&gt;=$D33,EY$2&lt;=$E33),1,"")))</f>
        <v/>
      </c>
      <c r="EZ33" s="55" t="str">
        <f aca="false">IF(OR(EZ$2="",$D33=""),"",IF(IF(ISNUMBER($F33),AND(EZ$2&gt;=$F33,EZ$2&lt;=IF(ISNUMBER($G33),$G33,$F33+$E33-$D33)),FALSE()),2,IF(AND(EZ$2&gt;=$D33,EZ$2&lt;=$E33),1,"")))</f>
        <v/>
      </c>
      <c r="FA33" s="55" t="str">
        <f aca="false">IF(OR(FA$2="",$D33=""),"",IF(IF(ISNUMBER($F33),AND(FA$2&gt;=$F33,FA$2&lt;=IF(ISNUMBER($G33),$G33,$F33+$E33-$D33)),FALSE()),2,IF(AND(FA$2&gt;=$D33,FA$2&lt;=$E33),1,"")))</f>
        <v/>
      </c>
      <c r="FB33" s="55" t="str">
        <f aca="false">IF(OR(FB$2="",$D33=""),"",IF(IF(ISNUMBER($F33),AND(FB$2&gt;=$F33,FB$2&lt;=IF(ISNUMBER($G33),$G33,$F33+$E33-$D33)),FALSE()),2,IF(AND(FB$2&gt;=$D33,FB$2&lt;=$E33),1,"")))</f>
        <v/>
      </c>
      <c r="FC33" s="55" t="str">
        <f aca="false">IF(OR(FC$2="",$D33=""),"",IF(IF(ISNUMBER($F33),AND(FC$2&gt;=$F33,FC$2&lt;=IF(ISNUMBER($G33),$G33,$F33+$E33-$D33)),FALSE()),2,IF(AND(FC$2&gt;=$D33,FC$2&lt;=$E33),1,"")))</f>
        <v/>
      </c>
      <c r="FD33" s="55" t="str">
        <f aca="false">IF(OR(FD$2="",$D33=""),"",IF(IF(ISNUMBER($F33),AND(FD$2&gt;=$F33,FD$2&lt;=IF(ISNUMBER($G33),$G33,$F33+$E33-$D33)),FALSE()),2,IF(AND(FD$2&gt;=$D33,FD$2&lt;=$E33),1,"")))</f>
        <v/>
      </c>
      <c r="FE33" s="55" t="str">
        <f aca="false">IF(OR(FE$2="",$D33=""),"",IF(IF(ISNUMBER($F33),AND(FE$2&gt;=$F33,FE$2&lt;=IF(ISNUMBER($G33),$G33,$F33+$E33-$D33)),FALSE()),2,IF(AND(FE$2&gt;=$D33,FE$2&lt;=$E33),1,"")))</f>
        <v/>
      </c>
      <c r="FF33" s="55" t="str">
        <f aca="false">IF(OR(FF$2="",$D33=""),"",IF(IF(ISNUMBER($F33),AND(FF$2&gt;=$F33,FF$2&lt;=IF(ISNUMBER($G33),$G33,$F33+$E33-$D33)),FALSE()),2,IF(AND(FF$2&gt;=$D33,FF$2&lt;=$E33),1,"")))</f>
        <v/>
      </c>
      <c r="FG33" s="55" t="str">
        <f aca="false">IF(OR(FG$2="",$D33=""),"",IF(IF(ISNUMBER($F33),AND(FG$2&gt;=$F33,FG$2&lt;=IF(ISNUMBER($G33),$G33,$F33+$E33-$D33)),FALSE()),2,IF(AND(FG$2&gt;=$D33,FG$2&lt;=$E33),1,"")))</f>
        <v/>
      </c>
      <c r="FH33" s="55" t="str">
        <f aca="false">IF(OR(FH$2="",$D33=""),"",IF(IF(ISNUMBER($F33),AND(FH$2&gt;=$F33,FH$2&lt;=IF(ISNUMBER($G33),$G33,$F33+$E33-$D33)),FALSE()),2,IF(AND(FH$2&gt;=$D33,FH$2&lt;=$E33),1,"")))</f>
        <v/>
      </c>
      <c r="FI33" s="55" t="str">
        <f aca="false">IF(OR(FI$2="",$D33=""),"",IF(IF(ISNUMBER($F33),AND(FI$2&gt;=$F33,FI$2&lt;=IF(ISNUMBER($G33),$G33,$F33+$E33-$D33)),FALSE()),2,IF(AND(FI$2&gt;=$D33,FI$2&lt;=$E33),1,"")))</f>
        <v/>
      </c>
      <c r="FJ33" s="55" t="str">
        <f aca="false">IF(OR(FJ$2="",$D33=""),"",IF(IF(ISNUMBER($F33),AND(FJ$2&gt;=$F33,FJ$2&lt;=IF(ISNUMBER($G33),$G33,$F33+$E33-$D33)),FALSE()),2,IF(AND(FJ$2&gt;=$D33,FJ$2&lt;=$E33),1,"")))</f>
        <v/>
      </c>
      <c r="FK33" s="55" t="str">
        <f aca="false">IF(OR(FK$2="",$D33=""),"",IF(IF(ISNUMBER($F33),AND(FK$2&gt;=$F33,FK$2&lt;=IF(ISNUMBER($G33),$G33,$F33+$E33-$D33)),FALSE()),2,IF(AND(FK$2&gt;=$D33,FK$2&lt;=$E33),1,"")))</f>
        <v/>
      </c>
      <c r="FL33" s="55" t="str">
        <f aca="false">IF(OR(FL$2="",$D33=""),"",IF(IF(ISNUMBER($F33),AND(FL$2&gt;=$F33,FL$2&lt;=IF(ISNUMBER($G33),$G33,$F33+$E33-$D33)),FALSE()),2,IF(AND(FL$2&gt;=$D33,FL$2&lt;=$E33),1,"")))</f>
        <v/>
      </c>
      <c r="FM33" s="55" t="str">
        <f aca="false">IF(OR(FM$2="",$D33=""),"",IF(IF(ISNUMBER($F33),AND(FM$2&gt;=$F33,FM$2&lt;=IF(ISNUMBER($G33),$G33,$F33+$E33-$D33)),FALSE()),2,IF(AND(FM$2&gt;=$D33,FM$2&lt;=$E33),1,"")))</f>
        <v/>
      </c>
      <c r="FN33" s="55" t="str">
        <f aca="false">IF(OR(FN$2="",$D33=""),"",IF(IF(ISNUMBER($F33),AND(FN$2&gt;=$F33,FN$2&lt;=IF(ISNUMBER($G33),$G33,$F33+$E33-$D33)),FALSE()),2,IF(AND(FN$2&gt;=$D33,FN$2&lt;=$E33),1,"")))</f>
        <v/>
      </c>
      <c r="FO33" s="55" t="str">
        <f aca="false">IF(OR(FO$2="",$D33=""),"",IF(IF(ISNUMBER($F33),AND(FO$2&gt;=$F33,FO$2&lt;=IF(ISNUMBER($G33),$G33,$F33+$E33-$D33)),FALSE()),2,IF(AND(FO$2&gt;=$D33,FO$2&lt;=$E33),1,"")))</f>
        <v/>
      </c>
      <c r="FP33" s="55" t="str">
        <f aca="false">IF(OR(FP$2="",$D33=""),"",IF(IF(ISNUMBER($F33),AND(FP$2&gt;=$F33,FP$2&lt;=IF(ISNUMBER($G33),$G33,$F33+$E33-$D33)),FALSE()),2,IF(AND(FP$2&gt;=$D33,FP$2&lt;=$E33),1,"")))</f>
        <v/>
      </c>
      <c r="FQ33" s="55" t="str">
        <f aca="false">IF(OR(FQ$2="",$D33=""),"",IF(IF(ISNUMBER($F33),AND(FQ$2&gt;=$F33,FQ$2&lt;=IF(ISNUMBER($G33),$G33,$F33+$E33-$D33)),FALSE()),2,IF(AND(FQ$2&gt;=$D33,FQ$2&lt;=$E33),1,"")))</f>
        <v/>
      </c>
      <c r="FR33" s="55" t="str">
        <f aca="false">IF(OR(FR$2="",$D33=""),"",IF(IF(ISNUMBER($F33),AND(FR$2&gt;=$F33,FR$2&lt;=IF(ISNUMBER($G33),$G33,$F33+$E33-$D33)),FALSE()),2,IF(AND(FR$2&gt;=$D33,FR$2&lt;=$E33),1,"")))</f>
        <v/>
      </c>
      <c r="FS33" s="55" t="str">
        <f aca="false">IF(OR(FS$2="",$D33=""),"",IF(IF(ISNUMBER($F33),AND(FS$2&gt;=$F33,FS$2&lt;=IF(ISNUMBER($G33),$G33,$F33+$E33-$D33)),FALSE()),2,IF(AND(FS$2&gt;=$D33,FS$2&lt;=$E33),1,"")))</f>
        <v/>
      </c>
      <c r="FT33" s="55" t="str">
        <f aca="false">IF(OR(FT$2="",$D33=""),"",IF(IF(ISNUMBER($F33),AND(FT$2&gt;=$F33,FT$2&lt;=IF(ISNUMBER($G33),$G33,$F33+$E33-$D33)),FALSE()),2,IF(AND(FT$2&gt;=$D33,FT$2&lt;=$E33),1,"")))</f>
        <v/>
      </c>
      <c r="FU33" s="55" t="str">
        <f aca="false">IF(OR(FU$2="",$D33=""),"",IF(IF(ISNUMBER($F33),AND(FU$2&gt;=$F33,FU$2&lt;=IF(ISNUMBER($G33),$G33,$F33+$E33-$D33)),FALSE()),2,IF(AND(FU$2&gt;=$D33,FU$2&lt;=$E33),1,"")))</f>
        <v/>
      </c>
      <c r="FV33" s="55" t="str">
        <f aca="false">IF(OR(FV$2="",$D33=""),"",IF(IF(ISNUMBER($F33),AND(FV$2&gt;=$F33,FV$2&lt;=IF(ISNUMBER($G33),$G33,$F33+$E33-$D33)),FALSE()),2,IF(AND(FV$2&gt;=$D33,FV$2&lt;=$E33),1,"")))</f>
        <v/>
      </c>
      <c r="FW33" s="55" t="str">
        <f aca="false">IF(OR(FW$2="",$D33=""),"",IF(IF(ISNUMBER($F33),AND(FW$2&gt;=$F33,FW$2&lt;=IF(ISNUMBER($G33),$G33,$F33+$E33-$D33)),FALSE()),2,IF(AND(FW$2&gt;=$D33,FW$2&lt;=$E33),1,"")))</f>
        <v/>
      </c>
      <c r="FX33" s="55" t="str">
        <f aca="false">IF(OR(FX$2="",$D33=""),"",IF(IF(ISNUMBER($F33),AND(FX$2&gt;=$F33,FX$2&lt;=IF(ISNUMBER($G33),$G33,$F33+$E33-$D33)),FALSE()),2,IF(AND(FX$2&gt;=$D33,FX$2&lt;=$E33),1,"")))</f>
        <v/>
      </c>
      <c r="FY33" s="55" t="str">
        <f aca="false">IF(OR(FY$2="",$D33=""),"",IF(IF(ISNUMBER($F33),AND(FY$2&gt;=$F33,FY$2&lt;=IF(ISNUMBER($G33),$G33,$F33+$E33-$D33)),FALSE()),2,IF(AND(FY$2&gt;=$D33,FY$2&lt;=$E33),1,"")))</f>
        <v/>
      </c>
      <c r="FZ33" s="55" t="str">
        <f aca="false">IF(OR(FZ$2="",$D33=""),"",IF(IF(ISNUMBER($F33),AND(FZ$2&gt;=$F33,FZ$2&lt;=IF(ISNUMBER($G33),$G33,$F33+$E33-$D33)),FALSE()),2,IF(AND(FZ$2&gt;=$D33,FZ$2&lt;=$E33),1,"")))</f>
        <v/>
      </c>
      <c r="GA33" s="55" t="str">
        <f aca="false">IF(OR(GA$2="",$D33=""),"",IF(IF(ISNUMBER($F33),AND(GA$2&gt;=$F33,GA$2&lt;=IF(ISNUMBER($G33),$G33,$F33+$E33-$D33)),FALSE()),2,IF(AND(GA$2&gt;=$D33,GA$2&lt;=$E33),1,"")))</f>
        <v/>
      </c>
      <c r="GB33" s="55" t="str">
        <f aca="false">IF(OR(GB$2="",$D33=""),"",IF(IF(ISNUMBER($F33),AND(GB$2&gt;=$F33,GB$2&lt;=IF(ISNUMBER($G33),$G33,$F33+$E33-$D33)),FALSE()),2,IF(AND(GB$2&gt;=$D33,GB$2&lt;=$E33),1,"")))</f>
        <v/>
      </c>
      <c r="GC33" s="55" t="str">
        <f aca="false">IF(OR(GC$2="",$D33=""),"",IF(IF(ISNUMBER($F33),AND(GC$2&gt;=$F33,GC$2&lt;=IF(ISNUMBER($G33),$G33,$F33+$E33-$D33)),FALSE()),2,IF(AND(GC$2&gt;=$D33,GC$2&lt;=$E33),1,"")))</f>
        <v/>
      </c>
      <c r="GD33" s="55" t="str">
        <f aca="false">IF(OR(GD$2="",$D33=""),"",IF(IF(ISNUMBER($F33),AND(GD$2&gt;=$F33,GD$2&lt;=IF(ISNUMBER($G33),$G33,$F33+$E33-$D33)),FALSE()),2,IF(AND(GD$2&gt;=$D33,GD$2&lt;=$E33),1,"")))</f>
        <v/>
      </c>
      <c r="GE33" s="55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false" outlineLevel="0" collapsed="false">
      <c r="A34" s="54" t="s">
        <v>399</v>
      </c>
      <c r="B34" s="21" t="s">
        <v>370</v>
      </c>
      <c r="C34" s="21" t="s">
        <v>328</v>
      </c>
      <c r="D34" s="51" t="n">
        <f aca="false">IF(D11="","",D11)</f>
        <v>46068</v>
      </c>
      <c r="E34" s="51" t="n">
        <f aca="false">IF(D11="","",D11+cfg_10)</f>
        <v>46076</v>
      </c>
      <c r="F34" s="51" t="str">
        <f aca="false">IF(_xlfn.MINIFS(2_Daily_input!$D$1:$FQ$1,2_Daily_input!$D$73:$FQ$73,"Pitan start")+_xlfn.MINIFS(2_Daily_input!$D$1:$FQ$1,2_Daily_input!$D$74:$FQ$74,"Pitan start")=0,"",IF(_xlfn.MINIFS(2_Daily_input!$D$1:$FQ$1,2_Daily_input!$D$73:$FQ$73,"Pitan start")=0,_xlfn.MINIFS(2_Daily_input!$D$1:$FQ$1,2_Daily_input!$D$74:$FQ$74,"Pitan start"),IF(_xlfn.MINIFS(2_Daily_input!$D$1:$FQ$1,2_Daily_input!$D$74:$FQ$74,"Pitan start")=0,_xlfn.MINIFS(2_Daily_input!$D$1:$FQ$1,2_Daily_input!$D$73:$FQ$73,"Pitan start"),MIN(_xlfn.MINIFS(2_Daily_input!$D$1:$FQ$1,2_Daily_input!$D$73:$FQ$73,"Pitan start"),_xlfn.MINIFS(2_Daily_input!$D$1:$FQ$1,2_Daily_input!$D$74:$FQ$74,"Pitan start")))))</f>
        <v/>
      </c>
      <c r="G34" s="51" t="str">
        <f aca="false">IF(_xlfn.MINIFS(2_Daily_input!$D$1:$FQ$1,2_Daily_input!$D$73:$FQ$73,"Pitan end")+_xlfn.MINIFS(2_Daily_input!$D$1:$FQ$1,2_Daily_input!$D$74:$FQ$74,"Pitan end")=0,"",IF(_xlfn.MINIFS(2_Daily_input!$D$1:$FQ$1,2_Daily_input!$D$73:$FQ$73,"Pitan end")=0,_xlfn.MINIFS(2_Daily_input!$D$1:$FQ$1,2_Daily_input!$D$74:$FQ$74,"Pitan end"),IF(_xlfn.MINIFS(2_Daily_input!$D$1:$FQ$1,2_Daily_input!$D$74:$FQ$74,"Pitan end")=0,_xlfn.MINIFS(2_Daily_input!$D$1:$FQ$1,2_Daily_input!$D$73:$FQ$73,"Pitan end"),MIN(_xlfn.MINIFS(2_Daily_input!$D$1:$FQ$1,2_Daily_input!$D$73:$FQ$73,"Pitan end"),_xlfn.MINIFS(2_Daily_input!$D$1:$FQ$1,2_Daily_input!$D$74:$FQ$74,"Pitan end")))))</f>
        <v/>
      </c>
      <c r="H34" s="50" t="str">
        <f aca="true">IF(D34="","no plan",IF(F34&lt;&gt;"",IF(F34-D34&gt;=2,"LATE","OK"),IF(TODAY()&gt;D34+2,"OVERDUE","upcoming")))</f>
        <v>OVERDUE</v>
      </c>
      <c r="I34" s="50" t="str">
        <f aca="false">IF(AND(D34&lt;&gt;"",F34&lt;&gt;""),F34-D34,"")</f>
        <v/>
      </c>
      <c r="J34" s="51" t="n">
        <f aca="false">IF(F34&lt;&gt;"",F34,D34)</f>
        <v>46068</v>
      </c>
      <c r="K34" s="51" t="n">
        <f aca="false">IF(G34&lt;&gt;"",G34,IF(AND(F34&lt;&gt;"",E34=D34),F34,E34))</f>
        <v>46076</v>
      </c>
      <c r="L34" s="50" t="str">
        <f aca="true">IF(AND(D34&lt;&gt;"",F34="",D34&gt;=TODAY()),D34+ROW()/1000,"")</f>
        <v/>
      </c>
      <c r="M34" s="55" t="str">
        <f aca="false">IF(OR(M$2="",$D34=""),"",IF(IF(ISNUMBER($F34),AND(M$2&gt;=$F34,M$2&lt;=IF(ISNUMBER($G34),$G34,$F34+$E34-$D34)),FALSE()),2,IF(AND(M$2&gt;=$D34,M$2&lt;=$E34),1,"")))</f>
        <v/>
      </c>
      <c r="N34" s="55" t="str">
        <f aca="false">IF(OR(N$2="",$D34=""),"",IF(IF(ISNUMBER($F34),AND(N$2&gt;=$F34,N$2&lt;=IF(ISNUMBER($G34),$G34,$F34+$E34-$D34)),FALSE()),2,IF(AND(N$2&gt;=$D34,N$2&lt;=$E34),1,"")))</f>
        <v/>
      </c>
      <c r="O34" s="55" t="str">
        <f aca="false">IF(OR(O$2="",$D34=""),"",IF(IF(ISNUMBER($F34),AND(O$2&gt;=$F34,O$2&lt;=IF(ISNUMBER($G34),$G34,$F34+$E34-$D34)),FALSE()),2,IF(AND(O$2&gt;=$D34,O$2&lt;=$E34),1,"")))</f>
        <v/>
      </c>
      <c r="P34" s="55" t="str">
        <f aca="false">IF(OR(P$2="",$D34=""),"",IF(IF(ISNUMBER($F34),AND(P$2&gt;=$F34,P$2&lt;=IF(ISNUMBER($G34),$G34,$F34+$E34-$D34)),FALSE()),2,IF(AND(P$2&gt;=$D34,P$2&lt;=$E34),1,"")))</f>
        <v/>
      </c>
      <c r="Q34" s="55" t="str">
        <f aca="false">IF(OR(Q$2="",$D34=""),"",IF(IF(ISNUMBER($F34),AND(Q$2&gt;=$F34,Q$2&lt;=IF(ISNUMBER($G34),$G34,$F34+$E34-$D34)),FALSE()),2,IF(AND(Q$2&gt;=$D34,Q$2&lt;=$E34),1,"")))</f>
        <v/>
      </c>
      <c r="R34" s="55" t="str">
        <f aca="false">IF(OR(R$2="",$D34=""),"",IF(IF(ISNUMBER($F34),AND(R$2&gt;=$F34,R$2&lt;=IF(ISNUMBER($G34),$G34,$F34+$E34-$D34)),FALSE()),2,IF(AND(R$2&gt;=$D34,R$2&lt;=$E34),1,"")))</f>
        <v/>
      </c>
      <c r="S34" s="55" t="str">
        <f aca="false">IF(OR(S$2="",$D34=""),"",IF(IF(ISNUMBER($F34),AND(S$2&gt;=$F34,S$2&lt;=IF(ISNUMBER($G34),$G34,$F34+$E34-$D34)),FALSE()),2,IF(AND(S$2&gt;=$D34,S$2&lt;=$E34),1,"")))</f>
        <v/>
      </c>
      <c r="T34" s="55" t="str">
        <f aca="false">IF(OR(T$2="",$D34=""),"",IF(IF(ISNUMBER($F34),AND(T$2&gt;=$F34,T$2&lt;=IF(ISNUMBER($G34),$G34,$F34+$E34-$D34)),FALSE()),2,IF(AND(T$2&gt;=$D34,T$2&lt;=$E34),1,"")))</f>
        <v/>
      </c>
      <c r="U34" s="55" t="str">
        <f aca="false">IF(OR(U$2="",$D34=""),"",IF(IF(ISNUMBER($F34),AND(U$2&gt;=$F34,U$2&lt;=IF(ISNUMBER($G34),$G34,$F34+$E34-$D34)),FALSE()),2,IF(AND(U$2&gt;=$D34,U$2&lt;=$E34),1,"")))</f>
        <v/>
      </c>
      <c r="V34" s="55" t="str">
        <f aca="false">IF(OR(V$2="",$D34=""),"",IF(IF(ISNUMBER($F34),AND(V$2&gt;=$F34,V$2&lt;=IF(ISNUMBER($G34),$G34,$F34+$E34-$D34)),FALSE()),2,IF(AND(V$2&gt;=$D34,V$2&lt;=$E34),1,"")))</f>
        <v/>
      </c>
      <c r="W34" s="55" t="str">
        <f aca="false">IF(OR(W$2="",$D34=""),"",IF(IF(ISNUMBER($F34),AND(W$2&gt;=$F34,W$2&lt;=IF(ISNUMBER($G34),$G34,$F34+$E34-$D34)),FALSE()),2,IF(AND(W$2&gt;=$D34,W$2&lt;=$E34),1,"")))</f>
        <v/>
      </c>
      <c r="X34" s="55" t="str">
        <f aca="false">IF(OR(X$2="",$D34=""),"",IF(IF(ISNUMBER($F34),AND(X$2&gt;=$F34,X$2&lt;=IF(ISNUMBER($G34),$G34,$F34+$E34-$D34)),FALSE()),2,IF(AND(X$2&gt;=$D34,X$2&lt;=$E34),1,"")))</f>
        <v/>
      </c>
      <c r="Y34" s="55" t="str">
        <f aca="false">IF(OR(Y$2="",$D34=""),"",IF(IF(ISNUMBER($F34),AND(Y$2&gt;=$F34,Y$2&lt;=IF(ISNUMBER($G34),$G34,$F34+$E34-$D34)),FALSE()),2,IF(AND(Y$2&gt;=$D34,Y$2&lt;=$E34),1,"")))</f>
        <v/>
      </c>
      <c r="Z34" s="55" t="str">
        <f aca="false">IF(OR(Z$2="",$D34=""),"",IF(IF(ISNUMBER($F34),AND(Z$2&gt;=$F34,Z$2&lt;=IF(ISNUMBER($G34),$G34,$F34+$E34-$D34)),FALSE()),2,IF(AND(Z$2&gt;=$D34,Z$2&lt;=$E34),1,"")))</f>
        <v/>
      </c>
      <c r="AA34" s="55" t="str">
        <f aca="false">IF(OR(AA$2="",$D34=""),"",IF(IF(ISNUMBER($F34),AND(AA$2&gt;=$F34,AA$2&lt;=IF(ISNUMBER($G34),$G34,$F34+$E34-$D34)),FALSE()),2,IF(AND(AA$2&gt;=$D34,AA$2&lt;=$E34),1,"")))</f>
        <v/>
      </c>
      <c r="AB34" s="55" t="str">
        <f aca="false">IF(OR(AB$2="",$D34=""),"",IF(IF(ISNUMBER($F34),AND(AB$2&gt;=$F34,AB$2&lt;=IF(ISNUMBER($G34),$G34,$F34+$E34-$D34)),FALSE()),2,IF(AND(AB$2&gt;=$D34,AB$2&lt;=$E34),1,"")))</f>
        <v/>
      </c>
      <c r="AC34" s="55" t="str">
        <f aca="false">IF(OR(AC$2="",$D34=""),"",IF(IF(ISNUMBER($F34),AND(AC$2&gt;=$F34,AC$2&lt;=IF(ISNUMBER($G34),$G34,$F34+$E34-$D34)),FALSE()),2,IF(AND(AC$2&gt;=$D34,AC$2&lt;=$E34),1,"")))</f>
        <v/>
      </c>
      <c r="AD34" s="55" t="str">
        <f aca="false">IF(OR(AD$2="",$D34=""),"",IF(IF(ISNUMBER($F34),AND(AD$2&gt;=$F34,AD$2&lt;=IF(ISNUMBER($G34),$G34,$F34+$E34-$D34)),FALSE()),2,IF(AND(AD$2&gt;=$D34,AD$2&lt;=$E34),1,"")))</f>
        <v/>
      </c>
      <c r="AE34" s="55" t="str">
        <f aca="false">IF(OR(AE$2="",$D34=""),"",IF(IF(ISNUMBER($F34),AND(AE$2&gt;=$F34,AE$2&lt;=IF(ISNUMBER($G34),$G34,$F34+$E34-$D34)),FALSE()),2,IF(AND(AE$2&gt;=$D34,AE$2&lt;=$E34),1,"")))</f>
        <v/>
      </c>
      <c r="AF34" s="55" t="str">
        <f aca="false">IF(OR(AF$2="",$D34=""),"",IF(IF(ISNUMBER($F34),AND(AF$2&gt;=$F34,AF$2&lt;=IF(ISNUMBER($G34),$G34,$F34+$E34-$D34)),FALSE()),2,IF(AND(AF$2&gt;=$D34,AF$2&lt;=$E34),1,"")))</f>
        <v/>
      </c>
      <c r="AG34" s="55" t="str">
        <f aca="false">IF(OR(AG$2="",$D34=""),"",IF(IF(ISNUMBER($F34),AND(AG$2&gt;=$F34,AG$2&lt;=IF(ISNUMBER($G34),$G34,$F34+$E34-$D34)),FALSE()),2,IF(AND(AG$2&gt;=$D34,AG$2&lt;=$E34),1,"")))</f>
        <v/>
      </c>
      <c r="AH34" s="55" t="str">
        <f aca="false">IF(OR(AH$2="",$D34=""),"",IF(IF(ISNUMBER($F34),AND(AH$2&gt;=$F34,AH$2&lt;=IF(ISNUMBER($G34),$G34,$F34+$E34-$D34)),FALSE()),2,IF(AND(AH$2&gt;=$D34,AH$2&lt;=$E34),1,"")))</f>
        <v/>
      </c>
      <c r="AI34" s="55" t="str">
        <f aca="false">IF(OR(AI$2="",$D34=""),"",IF(IF(ISNUMBER($F34),AND(AI$2&gt;=$F34,AI$2&lt;=IF(ISNUMBER($G34),$G34,$F34+$E34-$D34)),FALSE()),2,IF(AND(AI$2&gt;=$D34,AI$2&lt;=$E34),1,"")))</f>
        <v/>
      </c>
      <c r="AJ34" s="55" t="str">
        <f aca="false">IF(OR(AJ$2="",$D34=""),"",IF(IF(ISNUMBER($F34),AND(AJ$2&gt;=$F34,AJ$2&lt;=IF(ISNUMBER($G34),$G34,$F34+$E34-$D34)),FALSE()),2,IF(AND(AJ$2&gt;=$D34,AJ$2&lt;=$E34),1,"")))</f>
        <v/>
      </c>
      <c r="AK34" s="55" t="str">
        <f aca="false">IF(OR(AK$2="",$D34=""),"",IF(IF(ISNUMBER($F34),AND(AK$2&gt;=$F34,AK$2&lt;=IF(ISNUMBER($G34),$G34,$F34+$E34-$D34)),FALSE()),2,IF(AND(AK$2&gt;=$D34,AK$2&lt;=$E34),1,"")))</f>
        <v/>
      </c>
      <c r="AL34" s="55" t="str">
        <f aca="false">IF(OR(AL$2="",$D34=""),"",IF(IF(ISNUMBER($F34),AND(AL$2&gt;=$F34,AL$2&lt;=IF(ISNUMBER($G34),$G34,$F34+$E34-$D34)),FALSE()),2,IF(AND(AL$2&gt;=$D34,AL$2&lt;=$E34),1,"")))</f>
        <v/>
      </c>
      <c r="AM34" s="55" t="str">
        <f aca="false">IF(OR(AM$2="",$D34=""),"",IF(IF(ISNUMBER($F34),AND(AM$2&gt;=$F34,AM$2&lt;=IF(ISNUMBER($G34),$G34,$F34+$E34-$D34)),FALSE()),2,IF(AND(AM$2&gt;=$D34,AM$2&lt;=$E34),1,"")))</f>
        <v/>
      </c>
      <c r="AN34" s="55" t="str">
        <f aca="false">IF(OR(AN$2="",$D34=""),"",IF(IF(ISNUMBER($F34),AND(AN$2&gt;=$F34,AN$2&lt;=IF(ISNUMBER($G34),$G34,$F34+$E34-$D34)),FALSE()),2,IF(AND(AN$2&gt;=$D34,AN$2&lt;=$E34),1,"")))</f>
        <v/>
      </c>
      <c r="AO34" s="55" t="str">
        <f aca="false">IF(OR(AO$2="",$D34=""),"",IF(IF(ISNUMBER($F34),AND(AO$2&gt;=$F34,AO$2&lt;=IF(ISNUMBER($G34),$G34,$F34+$E34-$D34)),FALSE()),2,IF(AND(AO$2&gt;=$D34,AO$2&lt;=$E34),1,"")))</f>
        <v/>
      </c>
      <c r="AP34" s="55" t="str">
        <f aca="false">IF(OR(AP$2="",$D34=""),"",IF(IF(ISNUMBER($F34),AND(AP$2&gt;=$F34,AP$2&lt;=IF(ISNUMBER($G34),$G34,$F34+$E34-$D34)),FALSE()),2,IF(AND(AP$2&gt;=$D34,AP$2&lt;=$E34),1,"")))</f>
        <v/>
      </c>
      <c r="AQ34" s="55" t="str">
        <f aca="false">IF(OR(AQ$2="",$D34=""),"",IF(IF(ISNUMBER($F34),AND(AQ$2&gt;=$F34,AQ$2&lt;=IF(ISNUMBER($G34),$G34,$F34+$E34-$D34)),FALSE()),2,IF(AND(AQ$2&gt;=$D34,AQ$2&lt;=$E34),1,"")))</f>
        <v/>
      </c>
      <c r="AR34" s="55" t="str">
        <f aca="false">IF(OR(AR$2="",$D34=""),"",IF(IF(ISNUMBER($F34),AND(AR$2&gt;=$F34,AR$2&lt;=IF(ISNUMBER($G34),$G34,$F34+$E34-$D34)),FALSE()),2,IF(AND(AR$2&gt;=$D34,AR$2&lt;=$E34),1,"")))</f>
        <v/>
      </c>
      <c r="AS34" s="55" t="str">
        <f aca="false">IF(OR(AS$2="",$D34=""),"",IF(IF(ISNUMBER($F34),AND(AS$2&gt;=$F34,AS$2&lt;=IF(ISNUMBER($G34),$G34,$F34+$E34-$D34)),FALSE()),2,IF(AND(AS$2&gt;=$D34,AS$2&lt;=$E34),1,"")))</f>
        <v/>
      </c>
      <c r="AT34" s="55" t="str">
        <f aca="false">IF(OR(AT$2="",$D34=""),"",IF(IF(ISNUMBER($F34),AND(AT$2&gt;=$F34,AT$2&lt;=IF(ISNUMBER($G34),$G34,$F34+$E34-$D34)),FALSE()),2,IF(AND(AT$2&gt;=$D34,AT$2&lt;=$E34),1,"")))</f>
        <v/>
      </c>
      <c r="AU34" s="55" t="str">
        <f aca="false">IF(OR(AU$2="",$D34=""),"",IF(IF(ISNUMBER($F34),AND(AU$2&gt;=$F34,AU$2&lt;=IF(ISNUMBER($G34),$G34,$F34+$E34-$D34)),FALSE()),2,IF(AND(AU$2&gt;=$D34,AU$2&lt;=$E34),1,"")))</f>
        <v/>
      </c>
      <c r="AV34" s="55" t="str">
        <f aca="false">IF(OR(AV$2="",$D34=""),"",IF(IF(ISNUMBER($F34),AND(AV$2&gt;=$F34,AV$2&lt;=IF(ISNUMBER($G34),$G34,$F34+$E34-$D34)),FALSE()),2,IF(AND(AV$2&gt;=$D34,AV$2&lt;=$E34),1,"")))</f>
        <v/>
      </c>
      <c r="AW34" s="55" t="str">
        <f aca="false">IF(OR(AW$2="",$D34=""),"",IF(IF(ISNUMBER($F34),AND(AW$2&gt;=$F34,AW$2&lt;=IF(ISNUMBER($G34),$G34,$F34+$E34-$D34)),FALSE()),2,IF(AND(AW$2&gt;=$D34,AW$2&lt;=$E34),1,"")))</f>
        <v/>
      </c>
      <c r="AX34" s="55" t="str">
        <f aca="false">IF(OR(AX$2="",$D34=""),"",IF(IF(ISNUMBER($F34),AND(AX$2&gt;=$F34,AX$2&lt;=IF(ISNUMBER($G34),$G34,$F34+$E34-$D34)),FALSE()),2,IF(AND(AX$2&gt;=$D34,AX$2&lt;=$E34),1,"")))</f>
        <v/>
      </c>
      <c r="AY34" s="55" t="str">
        <f aca="false">IF(OR(AY$2="",$D34=""),"",IF(IF(ISNUMBER($F34),AND(AY$2&gt;=$F34,AY$2&lt;=IF(ISNUMBER($G34),$G34,$F34+$E34-$D34)),FALSE()),2,IF(AND(AY$2&gt;=$D34,AY$2&lt;=$E34),1,"")))</f>
        <v/>
      </c>
      <c r="AZ34" s="55" t="str">
        <f aca="false">IF(OR(AZ$2="",$D34=""),"",IF(IF(ISNUMBER($F34),AND(AZ$2&gt;=$F34,AZ$2&lt;=IF(ISNUMBER($G34),$G34,$F34+$E34-$D34)),FALSE()),2,IF(AND(AZ$2&gt;=$D34,AZ$2&lt;=$E34),1,"")))</f>
        <v/>
      </c>
      <c r="BA34" s="55" t="str">
        <f aca="false">IF(OR(BA$2="",$D34=""),"",IF(IF(ISNUMBER($F34),AND(BA$2&gt;=$F34,BA$2&lt;=IF(ISNUMBER($G34),$G34,$F34+$E34-$D34)),FALSE()),2,IF(AND(BA$2&gt;=$D34,BA$2&lt;=$E34),1,"")))</f>
        <v/>
      </c>
      <c r="BB34" s="55" t="str">
        <f aca="false">IF(OR(BB$2="",$D34=""),"",IF(IF(ISNUMBER($F34),AND(BB$2&gt;=$F34,BB$2&lt;=IF(ISNUMBER($G34),$G34,$F34+$E34-$D34)),FALSE()),2,IF(AND(BB$2&gt;=$D34,BB$2&lt;=$E34),1,"")))</f>
        <v/>
      </c>
      <c r="BC34" s="55" t="str">
        <f aca="false">IF(OR(BC$2="",$D34=""),"",IF(IF(ISNUMBER($F34),AND(BC$2&gt;=$F34,BC$2&lt;=IF(ISNUMBER($G34),$G34,$F34+$E34-$D34)),FALSE()),2,IF(AND(BC$2&gt;=$D34,BC$2&lt;=$E34),1,"")))</f>
        <v/>
      </c>
      <c r="BD34" s="55" t="str">
        <f aca="false">IF(OR(BD$2="",$D34=""),"",IF(IF(ISNUMBER($F34),AND(BD$2&gt;=$F34,BD$2&lt;=IF(ISNUMBER($G34),$G34,$F34+$E34-$D34)),FALSE()),2,IF(AND(BD$2&gt;=$D34,BD$2&lt;=$E34),1,"")))</f>
        <v/>
      </c>
      <c r="BE34" s="55" t="str">
        <f aca="false">IF(OR(BE$2="",$D34=""),"",IF(IF(ISNUMBER($F34),AND(BE$2&gt;=$F34,BE$2&lt;=IF(ISNUMBER($G34),$G34,$F34+$E34-$D34)),FALSE()),2,IF(AND(BE$2&gt;=$D34,BE$2&lt;=$E34),1,"")))</f>
        <v/>
      </c>
      <c r="BF34" s="55" t="str">
        <f aca="false">IF(OR(BF$2="",$D34=""),"",IF(IF(ISNUMBER($F34),AND(BF$2&gt;=$F34,BF$2&lt;=IF(ISNUMBER($G34),$G34,$F34+$E34-$D34)),FALSE()),2,IF(AND(BF$2&gt;=$D34,BF$2&lt;=$E34),1,"")))</f>
        <v/>
      </c>
      <c r="BG34" s="55" t="str">
        <f aca="false">IF(OR(BG$2="",$D34=""),"",IF(IF(ISNUMBER($F34),AND(BG$2&gt;=$F34,BG$2&lt;=IF(ISNUMBER($G34),$G34,$F34+$E34-$D34)),FALSE()),2,IF(AND(BG$2&gt;=$D34,BG$2&lt;=$E34),1,"")))</f>
        <v/>
      </c>
      <c r="BH34" s="55" t="str">
        <f aca="false">IF(OR(BH$2="",$D34=""),"",IF(IF(ISNUMBER($F34),AND(BH$2&gt;=$F34,BH$2&lt;=IF(ISNUMBER($G34),$G34,$F34+$E34-$D34)),FALSE()),2,IF(AND(BH$2&gt;=$D34,BH$2&lt;=$E34),1,"")))</f>
        <v/>
      </c>
      <c r="BI34" s="55" t="str">
        <f aca="false">IF(OR(BI$2="",$D34=""),"",IF(IF(ISNUMBER($F34),AND(BI$2&gt;=$F34,BI$2&lt;=IF(ISNUMBER($G34),$G34,$F34+$E34-$D34)),FALSE()),2,IF(AND(BI$2&gt;=$D34,BI$2&lt;=$E34),1,"")))</f>
        <v/>
      </c>
      <c r="BJ34" s="55" t="str">
        <f aca="false">IF(OR(BJ$2="",$D34=""),"",IF(IF(ISNUMBER($F34),AND(BJ$2&gt;=$F34,BJ$2&lt;=IF(ISNUMBER($G34),$G34,$F34+$E34-$D34)),FALSE()),2,IF(AND(BJ$2&gt;=$D34,BJ$2&lt;=$E34),1,"")))</f>
        <v/>
      </c>
      <c r="BK34" s="55" t="str">
        <f aca="false">IF(OR(BK$2="",$D34=""),"",IF(IF(ISNUMBER($F34),AND(BK$2&gt;=$F34,BK$2&lt;=IF(ISNUMBER($G34),$G34,$F34+$E34-$D34)),FALSE()),2,IF(AND(BK$2&gt;=$D34,BK$2&lt;=$E34),1,"")))</f>
        <v/>
      </c>
      <c r="BL34" s="55" t="str">
        <f aca="false">IF(OR(BL$2="",$D34=""),"",IF(IF(ISNUMBER($F34),AND(BL$2&gt;=$F34,BL$2&lt;=IF(ISNUMBER($G34),$G34,$F34+$E34-$D34)),FALSE()),2,IF(AND(BL$2&gt;=$D34,BL$2&lt;=$E34),1,"")))</f>
        <v/>
      </c>
      <c r="BM34" s="55" t="str">
        <f aca="false">IF(OR(BM$2="",$D34=""),"",IF(IF(ISNUMBER($F34),AND(BM$2&gt;=$F34,BM$2&lt;=IF(ISNUMBER($G34),$G34,$F34+$E34-$D34)),FALSE()),2,IF(AND(BM$2&gt;=$D34,BM$2&lt;=$E34),1,"")))</f>
        <v/>
      </c>
      <c r="BN34" s="55" t="str">
        <f aca="false">IF(OR(BN$2="",$D34=""),"",IF(IF(ISNUMBER($F34),AND(BN$2&gt;=$F34,BN$2&lt;=IF(ISNUMBER($G34),$G34,$F34+$E34-$D34)),FALSE()),2,IF(AND(BN$2&gt;=$D34,BN$2&lt;=$E34),1,"")))</f>
        <v/>
      </c>
      <c r="BO34" s="55" t="str">
        <f aca="false">IF(OR(BO$2="",$D34=""),"",IF(IF(ISNUMBER($F34),AND(BO$2&gt;=$F34,BO$2&lt;=IF(ISNUMBER($G34),$G34,$F34+$E34-$D34)),FALSE()),2,IF(AND(BO$2&gt;=$D34,BO$2&lt;=$E34),1,"")))</f>
        <v/>
      </c>
      <c r="BP34" s="55" t="str">
        <f aca="false">IF(OR(BP$2="",$D34=""),"",IF(IF(ISNUMBER($F34),AND(BP$2&gt;=$F34,BP$2&lt;=IF(ISNUMBER($G34),$G34,$F34+$E34-$D34)),FALSE()),2,IF(AND(BP$2&gt;=$D34,BP$2&lt;=$E34),1,"")))</f>
        <v/>
      </c>
      <c r="BQ34" s="55" t="str">
        <f aca="false">IF(OR(BQ$2="",$D34=""),"",IF(IF(ISNUMBER($F34),AND(BQ$2&gt;=$F34,BQ$2&lt;=IF(ISNUMBER($G34),$G34,$F34+$E34-$D34)),FALSE()),2,IF(AND(BQ$2&gt;=$D34,BQ$2&lt;=$E34),1,"")))</f>
        <v/>
      </c>
      <c r="BR34" s="55" t="str">
        <f aca="false">IF(OR(BR$2="",$D34=""),"",IF(IF(ISNUMBER($F34),AND(BR$2&gt;=$F34,BR$2&lt;=IF(ISNUMBER($G34),$G34,$F34+$E34-$D34)),FALSE()),2,IF(AND(BR$2&gt;=$D34,BR$2&lt;=$E34),1,"")))</f>
        <v/>
      </c>
      <c r="BS34" s="55" t="str">
        <f aca="false">IF(OR(BS$2="",$D34=""),"",IF(IF(ISNUMBER($F34),AND(BS$2&gt;=$F34,BS$2&lt;=IF(ISNUMBER($G34),$G34,$F34+$E34-$D34)),FALSE()),2,IF(AND(BS$2&gt;=$D34,BS$2&lt;=$E34),1,"")))</f>
        <v/>
      </c>
      <c r="BT34" s="55" t="str">
        <f aca="false">IF(OR(BT$2="",$D34=""),"",IF(IF(ISNUMBER($F34),AND(BT$2&gt;=$F34,BT$2&lt;=IF(ISNUMBER($G34),$G34,$F34+$E34-$D34)),FALSE()),2,IF(AND(BT$2&gt;=$D34,BT$2&lt;=$E34),1,"")))</f>
        <v/>
      </c>
      <c r="BU34" s="55" t="str">
        <f aca="false">IF(OR(BU$2="",$D34=""),"",IF(IF(ISNUMBER($F34),AND(BU$2&gt;=$F34,BU$2&lt;=IF(ISNUMBER($G34),$G34,$F34+$E34-$D34)),FALSE()),2,IF(AND(BU$2&gt;=$D34,BU$2&lt;=$E34),1,"")))</f>
        <v/>
      </c>
      <c r="BV34" s="55" t="str">
        <f aca="false">IF(OR(BV$2="",$D34=""),"",IF(IF(ISNUMBER($F34),AND(BV$2&gt;=$F34,BV$2&lt;=IF(ISNUMBER($G34),$G34,$F34+$E34-$D34)),FALSE()),2,IF(AND(BV$2&gt;=$D34,BV$2&lt;=$E34),1,"")))</f>
        <v/>
      </c>
      <c r="BW34" s="55" t="str">
        <f aca="false">IF(OR(BW$2="",$D34=""),"",IF(IF(ISNUMBER($F34),AND(BW$2&gt;=$F34,BW$2&lt;=IF(ISNUMBER($G34),$G34,$F34+$E34-$D34)),FALSE()),2,IF(AND(BW$2&gt;=$D34,BW$2&lt;=$E34),1,"")))</f>
        <v/>
      </c>
      <c r="BX34" s="55" t="str">
        <f aca="false">IF(OR(BX$2="",$D34=""),"",IF(IF(ISNUMBER($F34),AND(BX$2&gt;=$F34,BX$2&lt;=IF(ISNUMBER($G34),$G34,$F34+$E34-$D34)),FALSE()),2,IF(AND(BX$2&gt;=$D34,BX$2&lt;=$E34),1,"")))</f>
        <v/>
      </c>
      <c r="BY34" s="55" t="str">
        <f aca="false">IF(OR(BY$2="",$D34=""),"",IF(IF(ISNUMBER($F34),AND(BY$2&gt;=$F34,BY$2&lt;=IF(ISNUMBER($G34),$G34,$F34+$E34-$D34)),FALSE()),2,IF(AND(BY$2&gt;=$D34,BY$2&lt;=$E34),1,"")))</f>
        <v/>
      </c>
      <c r="BZ34" s="55" t="str">
        <f aca="false">IF(OR(BZ$2="",$D34=""),"",IF(IF(ISNUMBER($F34),AND(BZ$2&gt;=$F34,BZ$2&lt;=IF(ISNUMBER($G34),$G34,$F34+$E34-$D34)),FALSE()),2,IF(AND(BZ$2&gt;=$D34,BZ$2&lt;=$E34),1,"")))</f>
        <v/>
      </c>
      <c r="CA34" s="55" t="str">
        <f aca="false">IF(OR(CA$2="",$D34=""),"",IF(IF(ISNUMBER($F34),AND(CA$2&gt;=$F34,CA$2&lt;=IF(ISNUMBER($G34),$G34,$F34+$E34-$D34)),FALSE()),2,IF(AND(CA$2&gt;=$D34,CA$2&lt;=$E34),1,"")))</f>
        <v/>
      </c>
      <c r="CB34" s="55" t="str">
        <f aca="false">IF(OR(CB$2="",$D34=""),"",IF(IF(ISNUMBER($F34),AND(CB$2&gt;=$F34,CB$2&lt;=IF(ISNUMBER($G34),$G34,$F34+$E34-$D34)),FALSE()),2,IF(AND(CB$2&gt;=$D34,CB$2&lt;=$E34),1,"")))</f>
        <v/>
      </c>
      <c r="CC34" s="55" t="str">
        <f aca="false">IF(OR(CC$2="",$D34=""),"",IF(IF(ISNUMBER($F34),AND(CC$2&gt;=$F34,CC$2&lt;=IF(ISNUMBER($G34),$G34,$F34+$E34-$D34)),FALSE()),2,IF(AND(CC$2&gt;=$D34,CC$2&lt;=$E34),1,"")))</f>
        <v/>
      </c>
      <c r="CD34" s="55" t="str">
        <f aca="false">IF(OR(CD$2="",$D34=""),"",IF(IF(ISNUMBER($F34),AND(CD$2&gt;=$F34,CD$2&lt;=IF(ISNUMBER($G34),$G34,$F34+$E34-$D34)),FALSE()),2,IF(AND(CD$2&gt;=$D34,CD$2&lt;=$E34),1,"")))</f>
        <v/>
      </c>
      <c r="CE34" s="55" t="str">
        <f aca="false">IF(OR(CE$2="",$D34=""),"",IF(IF(ISNUMBER($F34),AND(CE$2&gt;=$F34,CE$2&lt;=IF(ISNUMBER($G34),$G34,$F34+$E34-$D34)),FALSE()),2,IF(AND(CE$2&gt;=$D34,CE$2&lt;=$E34),1,"")))</f>
        <v/>
      </c>
      <c r="CF34" s="55" t="str">
        <f aca="false">IF(OR(CF$2="",$D34=""),"",IF(IF(ISNUMBER($F34),AND(CF$2&gt;=$F34,CF$2&lt;=IF(ISNUMBER($G34),$G34,$F34+$E34-$D34)),FALSE()),2,IF(AND(CF$2&gt;=$D34,CF$2&lt;=$E34),1,"")))</f>
        <v/>
      </c>
      <c r="CG34" s="55" t="str">
        <f aca="false">IF(OR(CG$2="",$D34=""),"",IF(IF(ISNUMBER($F34),AND(CG$2&gt;=$F34,CG$2&lt;=IF(ISNUMBER($G34),$G34,$F34+$E34-$D34)),FALSE()),2,IF(AND(CG$2&gt;=$D34,CG$2&lt;=$E34),1,"")))</f>
        <v/>
      </c>
      <c r="CH34" s="55" t="str">
        <f aca="false">IF(OR(CH$2="",$D34=""),"",IF(IF(ISNUMBER($F34),AND(CH$2&gt;=$F34,CH$2&lt;=IF(ISNUMBER($G34),$G34,$F34+$E34-$D34)),FALSE()),2,IF(AND(CH$2&gt;=$D34,CH$2&lt;=$E34),1,"")))</f>
        <v/>
      </c>
      <c r="CI34" s="55" t="str">
        <f aca="false">IF(OR(CI$2="",$D34=""),"",IF(IF(ISNUMBER($F34),AND(CI$2&gt;=$F34,CI$2&lt;=IF(ISNUMBER($G34),$G34,$F34+$E34-$D34)),FALSE()),2,IF(AND(CI$2&gt;=$D34,CI$2&lt;=$E34),1,"")))</f>
        <v/>
      </c>
      <c r="CJ34" s="55" t="str">
        <f aca="false">IF(OR(CJ$2="",$D34=""),"",IF(IF(ISNUMBER($F34),AND(CJ$2&gt;=$F34,CJ$2&lt;=IF(ISNUMBER($G34),$G34,$F34+$E34-$D34)),FALSE()),2,IF(AND(CJ$2&gt;=$D34,CJ$2&lt;=$E34),1,"")))</f>
        <v/>
      </c>
      <c r="CK34" s="55" t="str">
        <f aca="false">IF(OR(CK$2="",$D34=""),"",IF(IF(ISNUMBER($F34),AND(CK$2&gt;=$F34,CK$2&lt;=IF(ISNUMBER($G34),$G34,$F34+$E34-$D34)),FALSE()),2,IF(AND(CK$2&gt;=$D34,CK$2&lt;=$E34),1,"")))</f>
        <v/>
      </c>
      <c r="CL34" s="55" t="str">
        <f aca="false">IF(OR(CL$2="",$D34=""),"",IF(IF(ISNUMBER($F34),AND(CL$2&gt;=$F34,CL$2&lt;=IF(ISNUMBER($G34),$G34,$F34+$E34-$D34)),FALSE()),2,IF(AND(CL$2&gt;=$D34,CL$2&lt;=$E34),1,"")))</f>
        <v/>
      </c>
      <c r="CM34" s="55" t="str">
        <f aca="false">IF(OR(CM$2="",$D34=""),"",IF(IF(ISNUMBER($F34),AND(CM$2&gt;=$F34,CM$2&lt;=IF(ISNUMBER($G34),$G34,$F34+$E34-$D34)),FALSE()),2,IF(AND(CM$2&gt;=$D34,CM$2&lt;=$E34),1,"")))</f>
        <v/>
      </c>
      <c r="CN34" s="55" t="str">
        <f aca="false">IF(OR(CN$2="",$D34=""),"",IF(IF(ISNUMBER($F34),AND(CN$2&gt;=$F34,CN$2&lt;=IF(ISNUMBER($G34),$G34,$F34+$E34-$D34)),FALSE()),2,IF(AND(CN$2&gt;=$D34,CN$2&lt;=$E34),1,"")))</f>
        <v/>
      </c>
      <c r="CO34" s="55" t="str">
        <f aca="false">IF(OR(CO$2="",$D34=""),"",IF(IF(ISNUMBER($F34),AND(CO$2&gt;=$F34,CO$2&lt;=IF(ISNUMBER($G34),$G34,$F34+$E34-$D34)),FALSE()),2,IF(AND(CO$2&gt;=$D34,CO$2&lt;=$E34),1,"")))</f>
        <v/>
      </c>
      <c r="CP34" s="55" t="str">
        <f aca="false">IF(OR(CP$2="",$D34=""),"",IF(IF(ISNUMBER($F34),AND(CP$2&gt;=$F34,CP$2&lt;=IF(ISNUMBER($G34),$G34,$F34+$E34-$D34)),FALSE()),2,IF(AND(CP$2&gt;=$D34,CP$2&lt;=$E34),1,"")))</f>
        <v/>
      </c>
      <c r="CQ34" s="55" t="n">
        <f aca="false">IF(OR(CQ$2="",$D34=""),"",IF(IF(ISNUMBER($F34),AND(CQ$2&gt;=$F34,CQ$2&lt;=IF(ISNUMBER($G34),$G34,$F34+$E34-$D34)),FALSE()),2,IF(AND(CQ$2&gt;=$D34,CQ$2&lt;=$E34),1,"")))</f>
        <v>1</v>
      </c>
      <c r="CR34" s="55" t="n">
        <f aca="false">IF(OR(CR$2="",$D34=""),"",IF(IF(ISNUMBER($F34),AND(CR$2&gt;=$F34,CR$2&lt;=IF(ISNUMBER($G34),$G34,$F34+$E34-$D34)),FALSE()),2,IF(AND(CR$2&gt;=$D34,CR$2&lt;=$E34),1,"")))</f>
        <v>1</v>
      </c>
      <c r="CS34" s="55" t="n">
        <f aca="false">IF(OR(CS$2="",$D34=""),"",IF(IF(ISNUMBER($F34),AND(CS$2&gt;=$F34,CS$2&lt;=IF(ISNUMBER($G34),$G34,$F34+$E34-$D34)),FALSE()),2,IF(AND(CS$2&gt;=$D34,CS$2&lt;=$E34),1,"")))</f>
        <v>1</v>
      </c>
      <c r="CT34" s="55" t="n">
        <f aca="false">IF(OR(CT$2="",$D34=""),"",IF(IF(ISNUMBER($F34),AND(CT$2&gt;=$F34,CT$2&lt;=IF(ISNUMBER($G34),$G34,$F34+$E34-$D34)),FALSE()),2,IF(AND(CT$2&gt;=$D34,CT$2&lt;=$E34),1,"")))</f>
        <v>1</v>
      </c>
      <c r="CU34" s="55" t="n">
        <f aca="false">IF(OR(CU$2="",$D34=""),"",IF(IF(ISNUMBER($F34),AND(CU$2&gt;=$F34,CU$2&lt;=IF(ISNUMBER($G34),$G34,$F34+$E34-$D34)),FALSE()),2,IF(AND(CU$2&gt;=$D34,CU$2&lt;=$E34),1,"")))</f>
        <v>1</v>
      </c>
      <c r="CV34" s="55" t="n">
        <f aca="false">IF(OR(CV$2="",$D34=""),"",IF(IF(ISNUMBER($F34),AND(CV$2&gt;=$F34,CV$2&lt;=IF(ISNUMBER($G34),$G34,$F34+$E34-$D34)),FALSE()),2,IF(AND(CV$2&gt;=$D34,CV$2&lt;=$E34),1,"")))</f>
        <v>1</v>
      </c>
      <c r="CW34" s="55" t="n">
        <f aca="false">IF(OR(CW$2="",$D34=""),"",IF(IF(ISNUMBER($F34),AND(CW$2&gt;=$F34,CW$2&lt;=IF(ISNUMBER($G34),$G34,$F34+$E34-$D34)),FALSE()),2,IF(AND(CW$2&gt;=$D34,CW$2&lt;=$E34),1,"")))</f>
        <v>1</v>
      </c>
      <c r="CX34" s="55" t="n">
        <f aca="false">IF(OR(CX$2="",$D34=""),"",IF(IF(ISNUMBER($F34),AND(CX$2&gt;=$F34,CX$2&lt;=IF(ISNUMBER($G34),$G34,$F34+$E34-$D34)),FALSE()),2,IF(AND(CX$2&gt;=$D34,CX$2&lt;=$E34),1,"")))</f>
        <v>1</v>
      </c>
      <c r="CY34" s="55" t="n">
        <f aca="false">IF(OR(CY$2="",$D34=""),"",IF(IF(ISNUMBER($F34),AND(CY$2&gt;=$F34,CY$2&lt;=IF(ISNUMBER($G34),$G34,$F34+$E34-$D34)),FALSE()),2,IF(AND(CY$2&gt;=$D34,CY$2&lt;=$E34),1,"")))</f>
        <v>1</v>
      </c>
      <c r="CZ34" s="55" t="str">
        <f aca="false">IF(OR(CZ$2="",$D34=""),"",IF(IF(ISNUMBER($F34),AND(CZ$2&gt;=$F34,CZ$2&lt;=IF(ISNUMBER($G34),$G34,$F34+$E34-$D34)),FALSE()),2,IF(AND(CZ$2&gt;=$D34,CZ$2&lt;=$E34),1,"")))</f>
        <v/>
      </c>
      <c r="DA34" s="55" t="str">
        <f aca="false">IF(OR(DA$2="",$D34=""),"",IF(IF(ISNUMBER($F34),AND(DA$2&gt;=$F34,DA$2&lt;=IF(ISNUMBER($G34),$G34,$F34+$E34-$D34)),FALSE()),2,IF(AND(DA$2&gt;=$D34,DA$2&lt;=$E34),1,"")))</f>
        <v/>
      </c>
      <c r="DB34" s="55" t="str">
        <f aca="false">IF(OR(DB$2="",$D34=""),"",IF(IF(ISNUMBER($F34),AND(DB$2&gt;=$F34,DB$2&lt;=IF(ISNUMBER($G34),$G34,$F34+$E34-$D34)),FALSE()),2,IF(AND(DB$2&gt;=$D34,DB$2&lt;=$E34),1,"")))</f>
        <v/>
      </c>
      <c r="DC34" s="55" t="str">
        <f aca="false">IF(OR(DC$2="",$D34=""),"",IF(IF(ISNUMBER($F34),AND(DC$2&gt;=$F34,DC$2&lt;=IF(ISNUMBER($G34),$G34,$F34+$E34-$D34)),FALSE()),2,IF(AND(DC$2&gt;=$D34,DC$2&lt;=$E34),1,"")))</f>
        <v/>
      </c>
      <c r="DD34" s="55" t="str">
        <f aca="false">IF(OR(DD$2="",$D34=""),"",IF(IF(ISNUMBER($F34),AND(DD$2&gt;=$F34,DD$2&lt;=IF(ISNUMBER($G34),$G34,$F34+$E34-$D34)),FALSE()),2,IF(AND(DD$2&gt;=$D34,DD$2&lt;=$E34),1,"")))</f>
        <v/>
      </c>
      <c r="DE34" s="55" t="str">
        <f aca="false">IF(OR(DE$2="",$D34=""),"",IF(IF(ISNUMBER($F34),AND(DE$2&gt;=$F34,DE$2&lt;=IF(ISNUMBER($G34),$G34,$F34+$E34-$D34)),FALSE()),2,IF(AND(DE$2&gt;=$D34,DE$2&lt;=$E34),1,"")))</f>
        <v/>
      </c>
      <c r="DF34" s="55" t="str">
        <f aca="false">IF(OR(DF$2="",$D34=""),"",IF(IF(ISNUMBER($F34),AND(DF$2&gt;=$F34,DF$2&lt;=IF(ISNUMBER($G34),$G34,$F34+$E34-$D34)),FALSE()),2,IF(AND(DF$2&gt;=$D34,DF$2&lt;=$E34),1,"")))</f>
        <v/>
      </c>
      <c r="DG34" s="55" t="str">
        <f aca="false">IF(OR(DG$2="",$D34=""),"",IF(IF(ISNUMBER($F34),AND(DG$2&gt;=$F34,DG$2&lt;=IF(ISNUMBER($G34),$G34,$F34+$E34-$D34)),FALSE()),2,IF(AND(DG$2&gt;=$D34,DG$2&lt;=$E34),1,"")))</f>
        <v/>
      </c>
      <c r="DH34" s="55" t="str">
        <f aca="false">IF(OR(DH$2="",$D34=""),"",IF(IF(ISNUMBER($F34),AND(DH$2&gt;=$F34,DH$2&lt;=IF(ISNUMBER($G34),$G34,$F34+$E34-$D34)),FALSE()),2,IF(AND(DH$2&gt;=$D34,DH$2&lt;=$E34),1,"")))</f>
        <v/>
      </c>
      <c r="DI34" s="55" t="str">
        <f aca="false">IF(OR(DI$2="",$D34=""),"",IF(IF(ISNUMBER($F34),AND(DI$2&gt;=$F34,DI$2&lt;=IF(ISNUMBER($G34),$G34,$F34+$E34-$D34)),FALSE()),2,IF(AND(DI$2&gt;=$D34,DI$2&lt;=$E34),1,"")))</f>
        <v/>
      </c>
      <c r="DJ34" s="55" t="str">
        <f aca="false">IF(OR(DJ$2="",$D34=""),"",IF(IF(ISNUMBER($F34),AND(DJ$2&gt;=$F34,DJ$2&lt;=IF(ISNUMBER($G34),$G34,$F34+$E34-$D34)),FALSE()),2,IF(AND(DJ$2&gt;=$D34,DJ$2&lt;=$E34),1,"")))</f>
        <v/>
      </c>
      <c r="DK34" s="55" t="str">
        <f aca="false">IF(OR(DK$2="",$D34=""),"",IF(IF(ISNUMBER($F34),AND(DK$2&gt;=$F34,DK$2&lt;=IF(ISNUMBER($G34),$G34,$F34+$E34-$D34)),FALSE()),2,IF(AND(DK$2&gt;=$D34,DK$2&lt;=$E34),1,"")))</f>
        <v/>
      </c>
      <c r="DL34" s="55" t="str">
        <f aca="false">IF(OR(DL$2="",$D34=""),"",IF(IF(ISNUMBER($F34),AND(DL$2&gt;=$F34,DL$2&lt;=IF(ISNUMBER($G34),$G34,$F34+$E34-$D34)),FALSE()),2,IF(AND(DL$2&gt;=$D34,DL$2&lt;=$E34),1,"")))</f>
        <v/>
      </c>
      <c r="DM34" s="55" t="str">
        <f aca="false">IF(OR(DM$2="",$D34=""),"",IF(IF(ISNUMBER($F34),AND(DM$2&gt;=$F34,DM$2&lt;=IF(ISNUMBER($G34),$G34,$F34+$E34-$D34)),FALSE()),2,IF(AND(DM$2&gt;=$D34,DM$2&lt;=$E34),1,"")))</f>
        <v/>
      </c>
      <c r="DN34" s="55" t="str">
        <f aca="false">IF(OR(DN$2="",$D34=""),"",IF(IF(ISNUMBER($F34),AND(DN$2&gt;=$F34,DN$2&lt;=IF(ISNUMBER($G34),$G34,$F34+$E34-$D34)),FALSE()),2,IF(AND(DN$2&gt;=$D34,DN$2&lt;=$E34),1,"")))</f>
        <v/>
      </c>
      <c r="DO34" s="55" t="str">
        <f aca="false">IF(OR(DO$2="",$D34=""),"",IF(IF(ISNUMBER($F34),AND(DO$2&gt;=$F34,DO$2&lt;=IF(ISNUMBER($G34),$G34,$F34+$E34-$D34)),FALSE()),2,IF(AND(DO$2&gt;=$D34,DO$2&lt;=$E34),1,"")))</f>
        <v/>
      </c>
      <c r="DP34" s="55" t="str">
        <f aca="false">IF(OR(DP$2="",$D34=""),"",IF(IF(ISNUMBER($F34),AND(DP$2&gt;=$F34,DP$2&lt;=IF(ISNUMBER($G34),$G34,$F34+$E34-$D34)),FALSE()),2,IF(AND(DP$2&gt;=$D34,DP$2&lt;=$E34),1,"")))</f>
        <v/>
      </c>
      <c r="DQ34" s="55" t="str">
        <f aca="false">IF(OR(DQ$2="",$D34=""),"",IF(IF(ISNUMBER($F34),AND(DQ$2&gt;=$F34,DQ$2&lt;=IF(ISNUMBER($G34),$G34,$F34+$E34-$D34)),FALSE()),2,IF(AND(DQ$2&gt;=$D34,DQ$2&lt;=$E34),1,"")))</f>
        <v/>
      </c>
      <c r="DR34" s="55" t="str">
        <f aca="false">IF(OR(DR$2="",$D34=""),"",IF(IF(ISNUMBER($F34),AND(DR$2&gt;=$F34,DR$2&lt;=IF(ISNUMBER($G34),$G34,$F34+$E34-$D34)),FALSE()),2,IF(AND(DR$2&gt;=$D34,DR$2&lt;=$E34),1,"")))</f>
        <v/>
      </c>
      <c r="DS34" s="55" t="str">
        <f aca="false">IF(OR(DS$2="",$D34=""),"",IF(IF(ISNUMBER($F34),AND(DS$2&gt;=$F34,DS$2&lt;=IF(ISNUMBER($G34),$G34,$F34+$E34-$D34)),FALSE()),2,IF(AND(DS$2&gt;=$D34,DS$2&lt;=$E34),1,"")))</f>
        <v/>
      </c>
      <c r="DT34" s="55" t="str">
        <f aca="false">IF(OR(DT$2="",$D34=""),"",IF(IF(ISNUMBER($F34),AND(DT$2&gt;=$F34,DT$2&lt;=IF(ISNUMBER($G34),$G34,$F34+$E34-$D34)),FALSE()),2,IF(AND(DT$2&gt;=$D34,DT$2&lt;=$E34),1,"")))</f>
        <v/>
      </c>
      <c r="DU34" s="55" t="str">
        <f aca="false">IF(OR(DU$2="",$D34=""),"",IF(IF(ISNUMBER($F34),AND(DU$2&gt;=$F34,DU$2&lt;=IF(ISNUMBER($G34),$G34,$F34+$E34-$D34)),FALSE()),2,IF(AND(DU$2&gt;=$D34,DU$2&lt;=$E34),1,"")))</f>
        <v/>
      </c>
      <c r="DV34" s="55" t="str">
        <f aca="false">IF(OR(DV$2="",$D34=""),"",IF(IF(ISNUMBER($F34),AND(DV$2&gt;=$F34,DV$2&lt;=IF(ISNUMBER($G34),$G34,$F34+$E34-$D34)),FALSE()),2,IF(AND(DV$2&gt;=$D34,DV$2&lt;=$E34),1,"")))</f>
        <v/>
      </c>
      <c r="DW34" s="55" t="str">
        <f aca="false">IF(OR(DW$2="",$D34=""),"",IF(IF(ISNUMBER($F34),AND(DW$2&gt;=$F34,DW$2&lt;=IF(ISNUMBER($G34),$G34,$F34+$E34-$D34)),FALSE()),2,IF(AND(DW$2&gt;=$D34,DW$2&lt;=$E34),1,"")))</f>
        <v/>
      </c>
      <c r="DX34" s="55" t="str">
        <f aca="false">IF(OR(DX$2="",$D34=""),"",IF(IF(ISNUMBER($F34),AND(DX$2&gt;=$F34,DX$2&lt;=IF(ISNUMBER($G34),$G34,$F34+$E34-$D34)),FALSE()),2,IF(AND(DX$2&gt;=$D34,DX$2&lt;=$E34),1,"")))</f>
        <v/>
      </c>
      <c r="DY34" s="55" t="str">
        <f aca="false">IF(OR(DY$2="",$D34=""),"",IF(IF(ISNUMBER($F34),AND(DY$2&gt;=$F34,DY$2&lt;=IF(ISNUMBER($G34),$G34,$F34+$E34-$D34)),FALSE()),2,IF(AND(DY$2&gt;=$D34,DY$2&lt;=$E34),1,"")))</f>
        <v/>
      </c>
      <c r="DZ34" s="55" t="str">
        <f aca="false">IF(OR(DZ$2="",$D34=""),"",IF(IF(ISNUMBER($F34),AND(DZ$2&gt;=$F34,DZ$2&lt;=IF(ISNUMBER($G34),$G34,$F34+$E34-$D34)),FALSE()),2,IF(AND(DZ$2&gt;=$D34,DZ$2&lt;=$E34),1,"")))</f>
        <v/>
      </c>
      <c r="EA34" s="55" t="str">
        <f aca="false">IF(OR(EA$2="",$D34=""),"",IF(IF(ISNUMBER($F34),AND(EA$2&gt;=$F34,EA$2&lt;=IF(ISNUMBER($G34),$G34,$F34+$E34-$D34)),FALSE()),2,IF(AND(EA$2&gt;=$D34,EA$2&lt;=$E34),1,"")))</f>
        <v/>
      </c>
      <c r="EB34" s="55" t="str">
        <f aca="false">IF(OR(EB$2="",$D34=""),"",IF(IF(ISNUMBER($F34),AND(EB$2&gt;=$F34,EB$2&lt;=IF(ISNUMBER($G34),$G34,$F34+$E34-$D34)),FALSE()),2,IF(AND(EB$2&gt;=$D34,EB$2&lt;=$E34),1,"")))</f>
        <v/>
      </c>
      <c r="EC34" s="55" t="str">
        <f aca="false">IF(OR(EC$2="",$D34=""),"",IF(IF(ISNUMBER($F34),AND(EC$2&gt;=$F34,EC$2&lt;=IF(ISNUMBER($G34),$G34,$F34+$E34-$D34)),FALSE()),2,IF(AND(EC$2&gt;=$D34,EC$2&lt;=$E34),1,"")))</f>
        <v/>
      </c>
      <c r="ED34" s="55" t="str">
        <f aca="false">IF(OR(ED$2="",$D34=""),"",IF(IF(ISNUMBER($F34),AND(ED$2&gt;=$F34,ED$2&lt;=IF(ISNUMBER($G34),$G34,$F34+$E34-$D34)),FALSE()),2,IF(AND(ED$2&gt;=$D34,ED$2&lt;=$E34),1,"")))</f>
        <v/>
      </c>
      <c r="EE34" s="55" t="str">
        <f aca="false">IF(OR(EE$2="",$D34=""),"",IF(IF(ISNUMBER($F34),AND(EE$2&gt;=$F34,EE$2&lt;=IF(ISNUMBER($G34),$G34,$F34+$E34-$D34)),FALSE()),2,IF(AND(EE$2&gt;=$D34,EE$2&lt;=$E34),1,"")))</f>
        <v/>
      </c>
      <c r="EF34" s="55" t="str">
        <f aca="false">IF(OR(EF$2="",$D34=""),"",IF(IF(ISNUMBER($F34),AND(EF$2&gt;=$F34,EF$2&lt;=IF(ISNUMBER($G34),$G34,$F34+$E34-$D34)),FALSE()),2,IF(AND(EF$2&gt;=$D34,EF$2&lt;=$E34),1,"")))</f>
        <v/>
      </c>
      <c r="EG34" s="55" t="str">
        <f aca="false">IF(OR(EG$2="",$D34=""),"",IF(IF(ISNUMBER($F34),AND(EG$2&gt;=$F34,EG$2&lt;=IF(ISNUMBER($G34),$G34,$F34+$E34-$D34)),FALSE()),2,IF(AND(EG$2&gt;=$D34,EG$2&lt;=$E34),1,"")))</f>
        <v/>
      </c>
      <c r="EH34" s="55" t="str">
        <f aca="false">IF(OR(EH$2="",$D34=""),"",IF(IF(ISNUMBER($F34),AND(EH$2&gt;=$F34,EH$2&lt;=IF(ISNUMBER($G34),$G34,$F34+$E34-$D34)),FALSE()),2,IF(AND(EH$2&gt;=$D34,EH$2&lt;=$E34),1,"")))</f>
        <v/>
      </c>
      <c r="EI34" s="55" t="str">
        <f aca="false">IF(OR(EI$2="",$D34=""),"",IF(IF(ISNUMBER($F34),AND(EI$2&gt;=$F34,EI$2&lt;=IF(ISNUMBER($G34),$G34,$F34+$E34-$D34)),FALSE()),2,IF(AND(EI$2&gt;=$D34,EI$2&lt;=$E34),1,"")))</f>
        <v/>
      </c>
      <c r="EJ34" s="55" t="str">
        <f aca="false">IF(OR(EJ$2="",$D34=""),"",IF(IF(ISNUMBER($F34),AND(EJ$2&gt;=$F34,EJ$2&lt;=IF(ISNUMBER($G34),$G34,$F34+$E34-$D34)),FALSE()),2,IF(AND(EJ$2&gt;=$D34,EJ$2&lt;=$E34),1,"")))</f>
        <v/>
      </c>
      <c r="EK34" s="55" t="str">
        <f aca="false">IF(OR(EK$2="",$D34=""),"",IF(IF(ISNUMBER($F34),AND(EK$2&gt;=$F34,EK$2&lt;=IF(ISNUMBER($G34),$G34,$F34+$E34-$D34)),FALSE()),2,IF(AND(EK$2&gt;=$D34,EK$2&lt;=$E34),1,"")))</f>
        <v/>
      </c>
      <c r="EL34" s="55" t="str">
        <f aca="false">IF(OR(EL$2="",$D34=""),"",IF(IF(ISNUMBER($F34),AND(EL$2&gt;=$F34,EL$2&lt;=IF(ISNUMBER($G34),$G34,$F34+$E34-$D34)),FALSE()),2,IF(AND(EL$2&gt;=$D34,EL$2&lt;=$E34),1,"")))</f>
        <v/>
      </c>
      <c r="EM34" s="55" t="str">
        <f aca="false">IF(OR(EM$2="",$D34=""),"",IF(IF(ISNUMBER($F34),AND(EM$2&gt;=$F34,EM$2&lt;=IF(ISNUMBER($G34),$G34,$F34+$E34-$D34)),FALSE()),2,IF(AND(EM$2&gt;=$D34,EM$2&lt;=$E34),1,"")))</f>
        <v/>
      </c>
      <c r="EN34" s="55" t="str">
        <f aca="false">IF(OR(EN$2="",$D34=""),"",IF(IF(ISNUMBER($F34),AND(EN$2&gt;=$F34,EN$2&lt;=IF(ISNUMBER($G34),$G34,$F34+$E34-$D34)),FALSE()),2,IF(AND(EN$2&gt;=$D34,EN$2&lt;=$E34),1,"")))</f>
        <v/>
      </c>
      <c r="EO34" s="55" t="str">
        <f aca="false">IF(OR(EO$2="",$D34=""),"",IF(IF(ISNUMBER($F34),AND(EO$2&gt;=$F34,EO$2&lt;=IF(ISNUMBER($G34),$G34,$F34+$E34-$D34)),FALSE()),2,IF(AND(EO$2&gt;=$D34,EO$2&lt;=$E34),1,"")))</f>
        <v/>
      </c>
      <c r="EP34" s="55" t="str">
        <f aca="false">IF(OR(EP$2="",$D34=""),"",IF(IF(ISNUMBER($F34),AND(EP$2&gt;=$F34,EP$2&lt;=IF(ISNUMBER($G34),$G34,$F34+$E34-$D34)),FALSE()),2,IF(AND(EP$2&gt;=$D34,EP$2&lt;=$E34),1,"")))</f>
        <v/>
      </c>
      <c r="EQ34" s="55" t="str">
        <f aca="false">IF(OR(EQ$2="",$D34=""),"",IF(IF(ISNUMBER($F34),AND(EQ$2&gt;=$F34,EQ$2&lt;=IF(ISNUMBER($G34),$G34,$F34+$E34-$D34)),FALSE()),2,IF(AND(EQ$2&gt;=$D34,EQ$2&lt;=$E34),1,"")))</f>
        <v/>
      </c>
      <c r="ER34" s="55" t="str">
        <f aca="false">IF(OR(ER$2="",$D34=""),"",IF(IF(ISNUMBER($F34),AND(ER$2&gt;=$F34,ER$2&lt;=IF(ISNUMBER($G34),$G34,$F34+$E34-$D34)),FALSE()),2,IF(AND(ER$2&gt;=$D34,ER$2&lt;=$E34),1,"")))</f>
        <v/>
      </c>
      <c r="ES34" s="55" t="str">
        <f aca="false">IF(OR(ES$2="",$D34=""),"",IF(IF(ISNUMBER($F34),AND(ES$2&gt;=$F34,ES$2&lt;=IF(ISNUMBER($G34),$G34,$F34+$E34-$D34)),FALSE()),2,IF(AND(ES$2&gt;=$D34,ES$2&lt;=$E34),1,"")))</f>
        <v/>
      </c>
      <c r="ET34" s="55" t="str">
        <f aca="false">IF(OR(ET$2="",$D34=""),"",IF(IF(ISNUMBER($F34),AND(ET$2&gt;=$F34,ET$2&lt;=IF(ISNUMBER($G34),$G34,$F34+$E34-$D34)),FALSE()),2,IF(AND(ET$2&gt;=$D34,ET$2&lt;=$E34),1,"")))</f>
        <v/>
      </c>
      <c r="EU34" s="55" t="str">
        <f aca="false">IF(OR(EU$2="",$D34=""),"",IF(IF(ISNUMBER($F34),AND(EU$2&gt;=$F34,EU$2&lt;=IF(ISNUMBER($G34),$G34,$F34+$E34-$D34)),FALSE()),2,IF(AND(EU$2&gt;=$D34,EU$2&lt;=$E34),1,"")))</f>
        <v/>
      </c>
      <c r="EV34" s="55" t="str">
        <f aca="false">IF(OR(EV$2="",$D34=""),"",IF(IF(ISNUMBER($F34),AND(EV$2&gt;=$F34,EV$2&lt;=IF(ISNUMBER($G34),$G34,$F34+$E34-$D34)),FALSE()),2,IF(AND(EV$2&gt;=$D34,EV$2&lt;=$E34),1,"")))</f>
        <v/>
      </c>
      <c r="EW34" s="55" t="str">
        <f aca="false">IF(OR(EW$2="",$D34=""),"",IF(IF(ISNUMBER($F34),AND(EW$2&gt;=$F34,EW$2&lt;=IF(ISNUMBER($G34),$G34,$F34+$E34-$D34)),FALSE()),2,IF(AND(EW$2&gt;=$D34,EW$2&lt;=$E34),1,"")))</f>
        <v/>
      </c>
      <c r="EX34" s="55" t="str">
        <f aca="false">IF(OR(EX$2="",$D34=""),"",IF(IF(ISNUMBER($F34),AND(EX$2&gt;=$F34,EX$2&lt;=IF(ISNUMBER($G34),$G34,$F34+$E34-$D34)),FALSE()),2,IF(AND(EX$2&gt;=$D34,EX$2&lt;=$E34),1,"")))</f>
        <v/>
      </c>
      <c r="EY34" s="55" t="str">
        <f aca="false">IF(OR(EY$2="",$D34=""),"",IF(IF(ISNUMBER($F34),AND(EY$2&gt;=$F34,EY$2&lt;=IF(ISNUMBER($G34),$G34,$F34+$E34-$D34)),FALSE()),2,IF(AND(EY$2&gt;=$D34,EY$2&lt;=$E34),1,"")))</f>
        <v/>
      </c>
      <c r="EZ34" s="55" t="str">
        <f aca="false">IF(OR(EZ$2="",$D34=""),"",IF(IF(ISNUMBER($F34),AND(EZ$2&gt;=$F34,EZ$2&lt;=IF(ISNUMBER($G34),$G34,$F34+$E34-$D34)),FALSE()),2,IF(AND(EZ$2&gt;=$D34,EZ$2&lt;=$E34),1,"")))</f>
        <v/>
      </c>
      <c r="FA34" s="55" t="str">
        <f aca="false">IF(OR(FA$2="",$D34=""),"",IF(IF(ISNUMBER($F34),AND(FA$2&gt;=$F34,FA$2&lt;=IF(ISNUMBER($G34),$G34,$F34+$E34-$D34)),FALSE()),2,IF(AND(FA$2&gt;=$D34,FA$2&lt;=$E34),1,"")))</f>
        <v/>
      </c>
      <c r="FB34" s="55" t="str">
        <f aca="false">IF(OR(FB$2="",$D34=""),"",IF(IF(ISNUMBER($F34),AND(FB$2&gt;=$F34,FB$2&lt;=IF(ISNUMBER($G34),$G34,$F34+$E34-$D34)),FALSE()),2,IF(AND(FB$2&gt;=$D34,FB$2&lt;=$E34),1,"")))</f>
        <v/>
      </c>
      <c r="FC34" s="55" t="str">
        <f aca="false">IF(OR(FC$2="",$D34=""),"",IF(IF(ISNUMBER($F34),AND(FC$2&gt;=$F34,FC$2&lt;=IF(ISNUMBER($G34),$G34,$F34+$E34-$D34)),FALSE()),2,IF(AND(FC$2&gt;=$D34,FC$2&lt;=$E34),1,"")))</f>
        <v/>
      </c>
      <c r="FD34" s="55" t="str">
        <f aca="false">IF(OR(FD$2="",$D34=""),"",IF(IF(ISNUMBER($F34),AND(FD$2&gt;=$F34,FD$2&lt;=IF(ISNUMBER($G34),$G34,$F34+$E34-$D34)),FALSE()),2,IF(AND(FD$2&gt;=$D34,FD$2&lt;=$E34),1,"")))</f>
        <v/>
      </c>
      <c r="FE34" s="55" t="str">
        <f aca="false">IF(OR(FE$2="",$D34=""),"",IF(IF(ISNUMBER($F34),AND(FE$2&gt;=$F34,FE$2&lt;=IF(ISNUMBER($G34),$G34,$F34+$E34-$D34)),FALSE()),2,IF(AND(FE$2&gt;=$D34,FE$2&lt;=$E34),1,"")))</f>
        <v/>
      </c>
      <c r="FF34" s="55" t="str">
        <f aca="false">IF(OR(FF$2="",$D34=""),"",IF(IF(ISNUMBER($F34),AND(FF$2&gt;=$F34,FF$2&lt;=IF(ISNUMBER($G34),$G34,$F34+$E34-$D34)),FALSE()),2,IF(AND(FF$2&gt;=$D34,FF$2&lt;=$E34),1,"")))</f>
        <v/>
      </c>
      <c r="FG34" s="55" t="str">
        <f aca="false">IF(OR(FG$2="",$D34=""),"",IF(IF(ISNUMBER($F34),AND(FG$2&gt;=$F34,FG$2&lt;=IF(ISNUMBER($G34),$G34,$F34+$E34-$D34)),FALSE()),2,IF(AND(FG$2&gt;=$D34,FG$2&lt;=$E34),1,"")))</f>
        <v/>
      </c>
      <c r="FH34" s="55" t="str">
        <f aca="false">IF(OR(FH$2="",$D34=""),"",IF(IF(ISNUMBER($F34),AND(FH$2&gt;=$F34,FH$2&lt;=IF(ISNUMBER($G34),$G34,$F34+$E34-$D34)),FALSE()),2,IF(AND(FH$2&gt;=$D34,FH$2&lt;=$E34),1,"")))</f>
        <v/>
      </c>
      <c r="FI34" s="55" t="str">
        <f aca="false">IF(OR(FI$2="",$D34=""),"",IF(IF(ISNUMBER($F34),AND(FI$2&gt;=$F34,FI$2&lt;=IF(ISNUMBER($G34),$G34,$F34+$E34-$D34)),FALSE()),2,IF(AND(FI$2&gt;=$D34,FI$2&lt;=$E34),1,"")))</f>
        <v/>
      </c>
      <c r="FJ34" s="55" t="str">
        <f aca="false">IF(OR(FJ$2="",$D34=""),"",IF(IF(ISNUMBER($F34),AND(FJ$2&gt;=$F34,FJ$2&lt;=IF(ISNUMBER($G34),$G34,$F34+$E34-$D34)),FALSE()),2,IF(AND(FJ$2&gt;=$D34,FJ$2&lt;=$E34),1,"")))</f>
        <v/>
      </c>
      <c r="FK34" s="55" t="str">
        <f aca="false">IF(OR(FK$2="",$D34=""),"",IF(IF(ISNUMBER($F34),AND(FK$2&gt;=$F34,FK$2&lt;=IF(ISNUMBER($G34),$G34,$F34+$E34-$D34)),FALSE()),2,IF(AND(FK$2&gt;=$D34,FK$2&lt;=$E34),1,"")))</f>
        <v/>
      </c>
      <c r="FL34" s="55" t="str">
        <f aca="false">IF(OR(FL$2="",$D34=""),"",IF(IF(ISNUMBER($F34),AND(FL$2&gt;=$F34,FL$2&lt;=IF(ISNUMBER($G34),$G34,$F34+$E34-$D34)),FALSE()),2,IF(AND(FL$2&gt;=$D34,FL$2&lt;=$E34),1,"")))</f>
        <v/>
      </c>
      <c r="FM34" s="55" t="str">
        <f aca="false">IF(OR(FM$2="",$D34=""),"",IF(IF(ISNUMBER($F34),AND(FM$2&gt;=$F34,FM$2&lt;=IF(ISNUMBER($G34),$G34,$F34+$E34-$D34)),FALSE()),2,IF(AND(FM$2&gt;=$D34,FM$2&lt;=$E34),1,"")))</f>
        <v/>
      </c>
      <c r="FN34" s="55" t="str">
        <f aca="false">IF(OR(FN$2="",$D34=""),"",IF(IF(ISNUMBER($F34),AND(FN$2&gt;=$F34,FN$2&lt;=IF(ISNUMBER($G34),$G34,$F34+$E34-$D34)),FALSE()),2,IF(AND(FN$2&gt;=$D34,FN$2&lt;=$E34),1,"")))</f>
        <v/>
      </c>
      <c r="FO34" s="55" t="str">
        <f aca="false">IF(OR(FO$2="",$D34=""),"",IF(IF(ISNUMBER($F34),AND(FO$2&gt;=$F34,FO$2&lt;=IF(ISNUMBER($G34),$G34,$F34+$E34-$D34)),FALSE()),2,IF(AND(FO$2&gt;=$D34,FO$2&lt;=$E34),1,"")))</f>
        <v/>
      </c>
      <c r="FP34" s="55" t="str">
        <f aca="false">IF(OR(FP$2="",$D34=""),"",IF(IF(ISNUMBER($F34),AND(FP$2&gt;=$F34,FP$2&lt;=IF(ISNUMBER($G34),$G34,$F34+$E34-$D34)),FALSE()),2,IF(AND(FP$2&gt;=$D34,FP$2&lt;=$E34),1,"")))</f>
        <v/>
      </c>
      <c r="FQ34" s="55" t="str">
        <f aca="false">IF(OR(FQ$2="",$D34=""),"",IF(IF(ISNUMBER($F34),AND(FQ$2&gt;=$F34,FQ$2&lt;=IF(ISNUMBER($G34),$G34,$F34+$E34-$D34)),FALSE()),2,IF(AND(FQ$2&gt;=$D34,FQ$2&lt;=$E34),1,"")))</f>
        <v/>
      </c>
      <c r="FR34" s="55" t="str">
        <f aca="false">IF(OR(FR$2="",$D34=""),"",IF(IF(ISNUMBER($F34),AND(FR$2&gt;=$F34,FR$2&lt;=IF(ISNUMBER($G34),$G34,$F34+$E34-$D34)),FALSE()),2,IF(AND(FR$2&gt;=$D34,FR$2&lt;=$E34),1,"")))</f>
        <v/>
      </c>
      <c r="FS34" s="55" t="str">
        <f aca="false">IF(OR(FS$2="",$D34=""),"",IF(IF(ISNUMBER($F34),AND(FS$2&gt;=$F34,FS$2&lt;=IF(ISNUMBER($G34),$G34,$F34+$E34-$D34)),FALSE()),2,IF(AND(FS$2&gt;=$D34,FS$2&lt;=$E34),1,"")))</f>
        <v/>
      </c>
      <c r="FT34" s="55" t="str">
        <f aca="false">IF(OR(FT$2="",$D34=""),"",IF(IF(ISNUMBER($F34),AND(FT$2&gt;=$F34,FT$2&lt;=IF(ISNUMBER($G34),$G34,$F34+$E34-$D34)),FALSE()),2,IF(AND(FT$2&gt;=$D34,FT$2&lt;=$E34),1,"")))</f>
        <v/>
      </c>
      <c r="FU34" s="55" t="str">
        <f aca="false">IF(OR(FU$2="",$D34=""),"",IF(IF(ISNUMBER($F34),AND(FU$2&gt;=$F34,FU$2&lt;=IF(ISNUMBER($G34),$G34,$F34+$E34-$D34)),FALSE()),2,IF(AND(FU$2&gt;=$D34,FU$2&lt;=$E34),1,"")))</f>
        <v/>
      </c>
      <c r="FV34" s="55" t="str">
        <f aca="false">IF(OR(FV$2="",$D34=""),"",IF(IF(ISNUMBER($F34),AND(FV$2&gt;=$F34,FV$2&lt;=IF(ISNUMBER($G34),$G34,$F34+$E34-$D34)),FALSE()),2,IF(AND(FV$2&gt;=$D34,FV$2&lt;=$E34),1,"")))</f>
        <v/>
      </c>
      <c r="FW34" s="55" t="str">
        <f aca="false">IF(OR(FW$2="",$D34=""),"",IF(IF(ISNUMBER($F34),AND(FW$2&gt;=$F34,FW$2&lt;=IF(ISNUMBER($G34),$G34,$F34+$E34-$D34)),FALSE()),2,IF(AND(FW$2&gt;=$D34,FW$2&lt;=$E34),1,"")))</f>
        <v/>
      </c>
      <c r="FX34" s="55" t="str">
        <f aca="false">IF(OR(FX$2="",$D34=""),"",IF(IF(ISNUMBER($F34),AND(FX$2&gt;=$F34,FX$2&lt;=IF(ISNUMBER($G34),$G34,$F34+$E34-$D34)),FALSE()),2,IF(AND(FX$2&gt;=$D34,FX$2&lt;=$E34),1,"")))</f>
        <v/>
      </c>
      <c r="FY34" s="55" t="str">
        <f aca="false">IF(OR(FY$2="",$D34=""),"",IF(IF(ISNUMBER($F34),AND(FY$2&gt;=$F34,FY$2&lt;=IF(ISNUMBER($G34),$G34,$F34+$E34-$D34)),FALSE()),2,IF(AND(FY$2&gt;=$D34,FY$2&lt;=$E34),1,"")))</f>
        <v/>
      </c>
      <c r="FZ34" s="55" t="str">
        <f aca="false">IF(OR(FZ$2="",$D34=""),"",IF(IF(ISNUMBER($F34),AND(FZ$2&gt;=$F34,FZ$2&lt;=IF(ISNUMBER($G34),$G34,$F34+$E34-$D34)),FALSE()),2,IF(AND(FZ$2&gt;=$D34,FZ$2&lt;=$E34),1,"")))</f>
        <v/>
      </c>
      <c r="GA34" s="55" t="str">
        <f aca="false">IF(OR(GA$2="",$D34=""),"",IF(IF(ISNUMBER($F34),AND(GA$2&gt;=$F34,GA$2&lt;=IF(ISNUMBER($G34),$G34,$F34+$E34-$D34)),FALSE()),2,IF(AND(GA$2&gt;=$D34,GA$2&lt;=$E34),1,"")))</f>
        <v/>
      </c>
      <c r="GB34" s="55" t="str">
        <f aca="false">IF(OR(GB$2="",$D34=""),"",IF(IF(ISNUMBER($F34),AND(GB$2&gt;=$F34,GB$2&lt;=IF(ISNUMBER($G34),$G34,$F34+$E34-$D34)),FALSE()),2,IF(AND(GB$2&gt;=$D34,GB$2&lt;=$E34),1,"")))</f>
        <v/>
      </c>
      <c r="GC34" s="55" t="str">
        <f aca="false">IF(OR(GC$2="",$D34=""),"",IF(IF(ISNUMBER($F34),AND(GC$2&gt;=$F34,GC$2&lt;=IF(ISNUMBER($G34),$G34,$F34+$E34-$D34)),FALSE()),2,IF(AND(GC$2&gt;=$D34,GC$2&lt;=$E34),1,"")))</f>
        <v/>
      </c>
      <c r="GD34" s="55" t="str">
        <f aca="false">IF(OR(GD$2="",$D34=""),"",IF(IF(ISNUMBER($F34),AND(GD$2&gt;=$F34,GD$2&lt;=IF(ISNUMBER($G34),$G34,$F34+$E34-$D34)),FALSE()),2,IF(AND(GD$2&gt;=$D34,GD$2&lt;=$E34),1,"")))</f>
        <v/>
      </c>
      <c r="GE34" s="55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false" outlineLevel="0" collapsed="false">
      <c r="A35" s="54" t="s">
        <v>400</v>
      </c>
      <c r="B35" s="21" t="s">
        <v>378</v>
      </c>
      <c r="C35" s="21" t="s">
        <v>328</v>
      </c>
      <c r="D35" s="51" t="n">
        <f aca="false">IF(D11="","",D11+cfg_10)</f>
        <v>46076</v>
      </c>
      <c r="E35" s="51" t="n">
        <f aca="false">IF(D35="","",D35)</f>
        <v>46076</v>
      </c>
      <c r="F35" s="51" t="str">
        <f aca="false">IF(_xlfn.MINIFS(2_Daily_input!$D$1:$FQ$1,2_Daily_input!$D$73:$FQ$73,"Flooding after Pitan")+_xlfn.MINIFS(2_Daily_input!$D$1:$FQ$1,2_Daily_input!$D$74:$FQ$74,"Flooding after Pitan")=0,"",IF(_xlfn.MINIFS(2_Daily_input!$D$1:$FQ$1,2_Daily_input!$D$73:$FQ$73,"Flooding after Pitan")=0,_xlfn.MINIFS(2_Daily_input!$D$1:$FQ$1,2_Daily_input!$D$74:$FQ$74,"Flooding after Pitan"),IF(_xlfn.MINIFS(2_Daily_input!$D$1:$FQ$1,2_Daily_input!$D$74:$FQ$74,"Flooding after Pitan")=0,_xlfn.MINIFS(2_Daily_input!$D$1:$FQ$1,2_Daily_input!$D$73:$FQ$73,"Flooding after Pitan"),MIN(_xlfn.MINIFS(2_Daily_input!$D$1:$FQ$1,2_Daily_input!$D$73:$FQ$73,"Flooding after Pitan"),_xlfn.MINIFS(2_Daily_input!$D$1:$FQ$1,2_Daily_input!$D$74:$FQ$74,"Flooding after Pitan")))))</f>
        <v/>
      </c>
      <c r="G35" s="51" t="str">
        <f aca="false">""</f>
        <v/>
      </c>
      <c r="H35" s="50" t="str">
        <f aca="true">IF(D35="","no plan",IF(F35&lt;&gt;"",IF(F35-D35&gt;=2,"LATE","OK"),IF(TODAY()&gt;D35+2,"OVERDUE","upcoming")))</f>
        <v>OVERDUE</v>
      </c>
      <c r="I35" s="50" t="str">
        <f aca="false">IF(AND(D35&lt;&gt;"",F35&lt;&gt;""),F35-D35,"")</f>
        <v/>
      </c>
      <c r="J35" s="51" t="n">
        <f aca="false">IF(F35&lt;&gt;"",F35,D35)</f>
        <v>46076</v>
      </c>
      <c r="K35" s="51" t="n">
        <f aca="false">IF(G35&lt;&gt;"",G35,IF(AND(F35&lt;&gt;"",E35=D35),F35,E35))</f>
        <v>46076</v>
      </c>
      <c r="L35" s="50" t="str">
        <f aca="true">IF(AND(D35&lt;&gt;"",F35="",D35&gt;=TODAY()),D35+ROW()/1000,"")</f>
        <v/>
      </c>
      <c r="M35" s="55" t="str">
        <f aca="false">IF(OR(M$2="",$D35=""),"",IF(IF(ISNUMBER($F35),AND(M$2&gt;=$F35,M$2&lt;=IF(ISNUMBER($G35),$G35,$F35+$E35-$D35)),FALSE()),2,IF(AND(M$2&gt;=$D35,M$2&lt;=$E35),1,"")))</f>
        <v/>
      </c>
      <c r="N35" s="55" t="str">
        <f aca="false">IF(OR(N$2="",$D35=""),"",IF(IF(ISNUMBER($F35),AND(N$2&gt;=$F35,N$2&lt;=IF(ISNUMBER($G35),$G35,$F35+$E35-$D35)),FALSE()),2,IF(AND(N$2&gt;=$D35,N$2&lt;=$E35),1,"")))</f>
        <v/>
      </c>
      <c r="O35" s="55" t="str">
        <f aca="false">IF(OR(O$2="",$D35=""),"",IF(IF(ISNUMBER($F35),AND(O$2&gt;=$F35,O$2&lt;=IF(ISNUMBER($G35),$G35,$F35+$E35-$D35)),FALSE()),2,IF(AND(O$2&gt;=$D35,O$2&lt;=$E35),1,"")))</f>
        <v/>
      </c>
      <c r="P35" s="55" t="str">
        <f aca="false">IF(OR(P$2="",$D35=""),"",IF(IF(ISNUMBER($F35),AND(P$2&gt;=$F35,P$2&lt;=IF(ISNUMBER($G35),$G35,$F35+$E35-$D35)),FALSE()),2,IF(AND(P$2&gt;=$D35,P$2&lt;=$E35),1,"")))</f>
        <v/>
      </c>
      <c r="Q35" s="55" t="str">
        <f aca="false">IF(OR(Q$2="",$D35=""),"",IF(IF(ISNUMBER($F35),AND(Q$2&gt;=$F35,Q$2&lt;=IF(ISNUMBER($G35),$G35,$F35+$E35-$D35)),FALSE()),2,IF(AND(Q$2&gt;=$D35,Q$2&lt;=$E35),1,"")))</f>
        <v/>
      </c>
      <c r="R35" s="55" t="str">
        <f aca="false">IF(OR(R$2="",$D35=""),"",IF(IF(ISNUMBER($F35),AND(R$2&gt;=$F35,R$2&lt;=IF(ISNUMBER($G35),$G35,$F35+$E35-$D35)),FALSE()),2,IF(AND(R$2&gt;=$D35,R$2&lt;=$E35),1,"")))</f>
        <v/>
      </c>
      <c r="S35" s="55" t="str">
        <f aca="false">IF(OR(S$2="",$D35=""),"",IF(IF(ISNUMBER($F35),AND(S$2&gt;=$F35,S$2&lt;=IF(ISNUMBER($G35),$G35,$F35+$E35-$D35)),FALSE()),2,IF(AND(S$2&gt;=$D35,S$2&lt;=$E35),1,"")))</f>
        <v/>
      </c>
      <c r="T35" s="55" t="str">
        <f aca="false">IF(OR(T$2="",$D35=""),"",IF(IF(ISNUMBER($F35),AND(T$2&gt;=$F35,T$2&lt;=IF(ISNUMBER($G35),$G35,$F35+$E35-$D35)),FALSE()),2,IF(AND(T$2&gt;=$D35,T$2&lt;=$E35),1,"")))</f>
        <v/>
      </c>
      <c r="U35" s="55" t="str">
        <f aca="false">IF(OR(U$2="",$D35=""),"",IF(IF(ISNUMBER($F35),AND(U$2&gt;=$F35,U$2&lt;=IF(ISNUMBER($G35),$G35,$F35+$E35-$D35)),FALSE()),2,IF(AND(U$2&gt;=$D35,U$2&lt;=$E35),1,"")))</f>
        <v/>
      </c>
      <c r="V35" s="55" t="str">
        <f aca="false">IF(OR(V$2="",$D35=""),"",IF(IF(ISNUMBER($F35),AND(V$2&gt;=$F35,V$2&lt;=IF(ISNUMBER($G35),$G35,$F35+$E35-$D35)),FALSE()),2,IF(AND(V$2&gt;=$D35,V$2&lt;=$E35),1,"")))</f>
        <v/>
      </c>
      <c r="W35" s="55" t="str">
        <f aca="false">IF(OR(W$2="",$D35=""),"",IF(IF(ISNUMBER($F35),AND(W$2&gt;=$F35,W$2&lt;=IF(ISNUMBER($G35),$G35,$F35+$E35-$D35)),FALSE()),2,IF(AND(W$2&gt;=$D35,W$2&lt;=$E35),1,"")))</f>
        <v/>
      </c>
      <c r="X35" s="55" t="str">
        <f aca="false">IF(OR(X$2="",$D35=""),"",IF(IF(ISNUMBER($F35),AND(X$2&gt;=$F35,X$2&lt;=IF(ISNUMBER($G35),$G35,$F35+$E35-$D35)),FALSE()),2,IF(AND(X$2&gt;=$D35,X$2&lt;=$E35),1,"")))</f>
        <v/>
      </c>
      <c r="Y35" s="55" t="str">
        <f aca="false">IF(OR(Y$2="",$D35=""),"",IF(IF(ISNUMBER($F35),AND(Y$2&gt;=$F35,Y$2&lt;=IF(ISNUMBER($G35),$G35,$F35+$E35-$D35)),FALSE()),2,IF(AND(Y$2&gt;=$D35,Y$2&lt;=$E35),1,"")))</f>
        <v/>
      </c>
      <c r="Z35" s="55" t="str">
        <f aca="false">IF(OR(Z$2="",$D35=""),"",IF(IF(ISNUMBER($F35),AND(Z$2&gt;=$F35,Z$2&lt;=IF(ISNUMBER($G35),$G35,$F35+$E35-$D35)),FALSE()),2,IF(AND(Z$2&gt;=$D35,Z$2&lt;=$E35),1,"")))</f>
        <v/>
      </c>
      <c r="AA35" s="55" t="str">
        <f aca="false">IF(OR(AA$2="",$D35=""),"",IF(IF(ISNUMBER($F35),AND(AA$2&gt;=$F35,AA$2&lt;=IF(ISNUMBER($G35),$G35,$F35+$E35-$D35)),FALSE()),2,IF(AND(AA$2&gt;=$D35,AA$2&lt;=$E35),1,"")))</f>
        <v/>
      </c>
      <c r="AB35" s="55" t="str">
        <f aca="false">IF(OR(AB$2="",$D35=""),"",IF(IF(ISNUMBER($F35),AND(AB$2&gt;=$F35,AB$2&lt;=IF(ISNUMBER($G35),$G35,$F35+$E35-$D35)),FALSE()),2,IF(AND(AB$2&gt;=$D35,AB$2&lt;=$E35),1,"")))</f>
        <v/>
      </c>
      <c r="AC35" s="55" t="str">
        <f aca="false">IF(OR(AC$2="",$D35=""),"",IF(IF(ISNUMBER($F35),AND(AC$2&gt;=$F35,AC$2&lt;=IF(ISNUMBER($G35),$G35,$F35+$E35-$D35)),FALSE()),2,IF(AND(AC$2&gt;=$D35,AC$2&lt;=$E35),1,"")))</f>
        <v/>
      </c>
      <c r="AD35" s="55" t="str">
        <f aca="false">IF(OR(AD$2="",$D35=""),"",IF(IF(ISNUMBER($F35),AND(AD$2&gt;=$F35,AD$2&lt;=IF(ISNUMBER($G35),$G35,$F35+$E35-$D35)),FALSE()),2,IF(AND(AD$2&gt;=$D35,AD$2&lt;=$E35),1,"")))</f>
        <v/>
      </c>
      <c r="AE35" s="55" t="str">
        <f aca="false">IF(OR(AE$2="",$D35=""),"",IF(IF(ISNUMBER($F35),AND(AE$2&gt;=$F35,AE$2&lt;=IF(ISNUMBER($G35),$G35,$F35+$E35-$D35)),FALSE()),2,IF(AND(AE$2&gt;=$D35,AE$2&lt;=$E35),1,"")))</f>
        <v/>
      </c>
      <c r="AF35" s="55" t="str">
        <f aca="false">IF(OR(AF$2="",$D35=""),"",IF(IF(ISNUMBER($F35),AND(AF$2&gt;=$F35,AF$2&lt;=IF(ISNUMBER($G35),$G35,$F35+$E35-$D35)),FALSE()),2,IF(AND(AF$2&gt;=$D35,AF$2&lt;=$E35),1,"")))</f>
        <v/>
      </c>
      <c r="AG35" s="55" t="str">
        <f aca="false">IF(OR(AG$2="",$D35=""),"",IF(IF(ISNUMBER($F35),AND(AG$2&gt;=$F35,AG$2&lt;=IF(ISNUMBER($G35),$G35,$F35+$E35-$D35)),FALSE()),2,IF(AND(AG$2&gt;=$D35,AG$2&lt;=$E35),1,"")))</f>
        <v/>
      </c>
      <c r="AH35" s="55" t="str">
        <f aca="false">IF(OR(AH$2="",$D35=""),"",IF(IF(ISNUMBER($F35),AND(AH$2&gt;=$F35,AH$2&lt;=IF(ISNUMBER($G35),$G35,$F35+$E35-$D35)),FALSE()),2,IF(AND(AH$2&gt;=$D35,AH$2&lt;=$E35),1,"")))</f>
        <v/>
      </c>
      <c r="AI35" s="55" t="str">
        <f aca="false">IF(OR(AI$2="",$D35=""),"",IF(IF(ISNUMBER($F35),AND(AI$2&gt;=$F35,AI$2&lt;=IF(ISNUMBER($G35),$G35,$F35+$E35-$D35)),FALSE()),2,IF(AND(AI$2&gt;=$D35,AI$2&lt;=$E35),1,"")))</f>
        <v/>
      </c>
      <c r="AJ35" s="55" t="str">
        <f aca="false">IF(OR(AJ$2="",$D35=""),"",IF(IF(ISNUMBER($F35),AND(AJ$2&gt;=$F35,AJ$2&lt;=IF(ISNUMBER($G35),$G35,$F35+$E35-$D35)),FALSE()),2,IF(AND(AJ$2&gt;=$D35,AJ$2&lt;=$E35),1,"")))</f>
        <v/>
      </c>
      <c r="AK35" s="55" t="str">
        <f aca="false">IF(OR(AK$2="",$D35=""),"",IF(IF(ISNUMBER($F35),AND(AK$2&gt;=$F35,AK$2&lt;=IF(ISNUMBER($G35),$G35,$F35+$E35-$D35)),FALSE()),2,IF(AND(AK$2&gt;=$D35,AK$2&lt;=$E35),1,"")))</f>
        <v/>
      </c>
      <c r="AL35" s="55" t="str">
        <f aca="false">IF(OR(AL$2="",$D35=""),"",IF(IF(ISNUMBER($F35),AND(AL$2&gt;=$F35,AL$2&lt;=IF(ISNUMBER($G35),$G35,$F35+$E35-$D35)),FALSE()),2,IF(AND(AL$2&gt;=$D35,AL$2&lt;=$E35),1,"")))</f>
        <v/>
      </c>
      <c r="AM35" s="55" t="str">
        <f aca="false">IF(OR(AM$2="",$D35=""),"",IF(IF(ISNUMBER($F35),AND(AM$2&gt;=$F35,AM$2&lt;=IF(ISNUMBER($G35),$G35,$F35+$E35-$D35)),FALSE()),2,IF(AND(AM$2&gt;=$D35,AM$2&lt;=$E35),1,"")))</f>
        <v/>
      </c>
      <c r="AN35" s="55" t="str">
        <f aca="false">IF(OR(AN$2="",$D35=""),"",IF(IF(ISNUMBER($F35),AND(AN$2&gt;=$F35,AN$2&lt;=IF(ISNUMBER($G35),$G35,$F35+$E35-$D35)),FALSE()),2,IF(AND(AN$2&gt;=$D35,AN$2&lt;=$E35),1,"")))</f>
        <v/>
      </c>
      <c r="AO35" s="55" t="str">
        <f aca="false">IF(OR(AO$2="",$D35=""),"",IF(IF(ISNUMBER($F35),AND(AO$2&gt;=$F35,AO$2&lt;=IF(ISNUMBER($G35),$G35,$F35+$E35-$D35)),FALSE()),2,IF(AND(AO$2&gt;=$D35,AO$2&lt;=$E35),1,"")))</f>
        <v/>
      </c>
      <c r="AP35" s="55" t="str">
        <f aca="false">IF(OR(AP$2="",$D35=""),"",IF(IF(ISNUMBER($F35),AND(AP$2&gt;=$F35,AP$2&lt;=IF(ISNUMBER($G35),$G35,$F35+$E35-$D35)),FALSE()),2,IF(AND(AP$2&gt;=$D35,AP$2&lt;=$E35),1,"")))</f>
        <v/>
      </c>
      <c r="AQ35" s="55" t="str">
        <f aca="false">IF(OR(AQ$2="",$D35=""),"",IF(IF(ISNUMBER($F35),AND(AQ$2&gt;=$F35,AQ$2&lt;=IF(ISNUMBER($G35),$G35,$F35+$E35-$D35)),FALSE()),2,IF(AND(AQ$2&gt;=$D35,AQ$2&lt;=$E35),1,"")))</f>
        <v/>
      </c>
      <c r="AR35" s="55" t="str">
        <f aca="false">IF(OR(AR$2="",$D35=""),"",IF(IF(ISNUMBER($F35),AND(AR$2&gt;=$F35,AR$2&lt;=IF(ISNUMBER($G35),$G35,$F35+$E35-$D35)),FALSE()),2,IF(AND(AR$2&gt;=$D35,AR$2&lt;=$E35),1,"")))</f>
        <v/>
      </c>
      <c r="AS35" s="55" t="str">
        <f aca="false">IF(OR(AS$2="",$D35=""),"",IF(IF(ISNUMBER($F35),AND(AS$2&gt;=$F35,AS$2&lt;=IF(ISNUMBER($G35),$G35,$F35+$E35-$D35)),FALSE()),2,IF(AND(AS$2&gt;=$D35,AS$2&lt;=$E35),1,"")))</f>
        <v/>
      </c>
      <c r="AT35" s="55" t="str">
        <f aca="false">IF(OR(AT$2="",$D35=""),"",IF(IF(ISNUMBER($F35),AND(AT$2&gt;=$F35,AT$2&lt;=IF(ISNUMBER($G35),$G35,$F35+$E35-$D35)),FALSE()),2,IF(AND(AT$2&gt;=$D35,AT$2&lt;=$E35),1,"")))</f>
        <v/>
      </c>
      <c r="AU35" s="55" t="str">
        <f aca="false">IF(OR(AU$2="",$D35=""),"",IF(IF(ISNUMBER($F35),AND(AU$2&gt;=$F35,AU$2&lt;=IF(ISNUMBER($G35),$G35,$F35+$E35-$D35)),FALSE()),2,IF(AND(AU$2&gt;=$D35,AU$2&lt;=$E35),1,"")))</f>
        <v/>
      </c>
      <c r="AV35" s="55" t="str">
        <f aca="false">IF(OR(AV$2="",$D35=""),"",IF(IF(ISNUMBER($F35),AND(AV$2&gt;=$F35,AV$2&lt;=IF(ISNUMBER($G35),$G35,$F35+$E35-$D35)),FALSE()),2,IF(AND(AV$2&gt;=$D35,AV$2&lt;=$E35),1,"")))</f>
        <v/>
      </c>
      <c r="AW35" s="55" t="str">
        <f aca="false">IF(OR(AW$2="",$D35=""),"",IF(IF(ISNUMBER($F35),AND(AW$2&gt;=$F35,AW$2&lt;=IF(ISNUMBER($G35),$G35,$F35+$E35-$D35)),FALSE()),2,IF(AND(AW$2&gt;=$D35,AW$2&lt;=$E35),1,"")))</f>
        <v/>
      </c>
      <c r="AX35" s="55" t="str">
        <f aca="false">IF(OR(AX$2="",$D35=""),"",IF(IF(ISNUMBER($F35),AND(AX$2&gt;=$F35,AX$2&lt;=IF(ISNUMBER($G35),$G35,$F35+$E35-$D35)),FALSE()),2,IF(AND(AX$2&gt;=$D35,AX$2&lt;=$E35),1,"")))</f>
        <v/>
      </c>
      <c r="AY35" s="55" t="str">
        <f aca="false">IF(OR(AY$2="",$D35=""),"",IF(IF(ISNUMBER($F35),AND(AY$2&gt;=$F35,AY$2&lt;=IF(ISNUMBER($G35),$G35,$F35+$E35-$D35)),FALSE()),2,IF(AND(AY$2&gt;=$D35,AY$2&lt;=$E35),1,"")))</f>
        <v/>
      </c>
      <c r="AZ35" s="55" t="str">
        <f aca="false">IF(OR(AZ$2="",$D35=""),"",IF(IF(ISNUMBER($F35),AND(AZ$2&gt;=$F35,AZ$2&lt;=IF(ISNUMBER($G35),$G35,$F35+$E35-$D35)),FALSE()),2,IF(AND(AZ$2&gt;=$D35,AZ$2&lt;=$E35),1,"")))</f>
        <v/>
      </c>
      <c r="BA35" s="55" t="str">
        <f aca="false">IF(OR(BA$2="",$D35=""),"",IF(IF(ISNUMBER($F35),AND(BA$2&gt;=$F35,BA$2&lt;=IF(ISNUMBER($G35),$G35,$F35+$E35-$D35)),FALSE()),2,IF(AND(BA$2&gt;=$D35,BA$2&lt;=$E35),1,"")))</f>
        <v/>
      </c>
      <c r="BB35" s="55" t="str">
        <f aca="false">IF(OR(BB$2="",$D35=""),"",IF(IF(ISNUMBER($F35),AND(BB$2&gt;=$F35,BB$2&lt;=IF(ISNUMBER($G35),$G35,$F35+$E35-$D35)),FALSE()),2,IF(AND(BB$2&gt;=$D35,BB$2&lt;=$E35),1,"")))</f>
        <v/>
      </c>
      <c r="BC35" s="55" t="str">
        <f aca="false">IF(OR(BC$2="",$D35=""),"",IF(IF(ISNUMBER($F35),AND(BC$2&gt;=$F35,BC$2&lt;=IF(ISNUMBER($G35),$G35,$F35+$E35-$D35)),FALSE()),2,IF(AND(BC$2&gt;=$D35,BC$2&lt;=$E35),1,"")))</f>
        <v/>
      </c>
      <c r="BD35" s="55" t="str">
        <f aca="false">IF(OR(BD$2="",$D35=""),"",IF(IF(ISNUMBER($F35),AND(BD$2&gt;=$F35,BD$2&lt;=IF(ISNUMBER($G35),$G35,$F35+$E35-$D35)),FALSE()),2,IF(AND(BD$2&gt;=$D35,BD$2&lt;=$E35),1,"")))</f>
        <v/>
      </c>
      <c r="BE35" s="55" t="str">
        <f aca="false">IF(OR(BE$2="",$D35=""),"",IF(IF(ISNUMBER($F35),AND(BE$2&gt;=$F35,BE$2&lt;=IF(ISNUMBER($G35),$G35,$F35+$E35-$D35)),FALSE()),2,IF(AND(BE$2&gt;=$D35,BE$2&lt;=$E35),1,"")))</f>
        <v/>
      </c>
      <c r="BF35" s="55" t="str">
        <f aca="false">IF(OR(BF$2="",$D35=""),"",IF(IF(ISNUMBER($F35),AND(BF$2&gt;=$F35,BF$2&lt;=IF(ISNUMBER($G35),$G35,$F35+$E35-$D35)),FALSE()),2,IF(AND(BF$2&gt;=$D35,BF$2&lt;=$E35),1,"")))</f>
        <v/>
      </c>
      <c r="BG35" s="55" t="str">
        <f aca="false">IF(OR(BG$2="",$D35=""),"",IF(IF(ISNUMBER($F35),AND(BG$2&gt;=$F35,BG$2&lt;=IF(ISNUMBER($G35),$G35,$F35+$E35-$D35)),FALSE()),2,IF(AND(BG$2&gt;=$D35,BG$2&lt;=$E35),1,"")))</f>
        <v/>
      </c>
      <c r="BH35" s="55" t="str">
        <f aca="false">IF(OR(BH$2="",$D35=""),"",IF(IF(ISNUMBER($F35),AND(BH$2&gt;=$F35,BH$2&lt;=IF(ISNUMBER($G35),$G35,$F35+$E35-$D35)),FALSE()),2,IF(AND(BH$2&gt;=$D35,BH$2&lt;=$E35),1,"")))</f>
        <v/>
      </c>
      <c r="BI35" s="55" t="str">
        <f aca="false">IF(OR(BI$2="",$D35=""),"",IF(IF(ISNUMBER($F35),AND(BI$2&gt;=$F35,BI$2&lt;=IF(ISNUMBER($G35),$G35,$F35+$E35-$D35)),FALSE()),2,IF(AND(BI$2&gt;=$D35,BI$2&lt;=$E35),1,"")))</f>
        <v/>
      </c>
      <c r="BJ35" s="55" t="str">
        <f aca="false">IF(OR(BJ$2="",$D35=""),"",IF(IF(ISNUMBER($F35),AND(BJ$2&gt;=$F35,BJ$2&lt;=IF(ISNUMBER($G35),$G35,$F35+$E35-$D35)),FALSE()),2,IF(AND(BJ$2&gt;=$D35,BJ$2&lt;=$E35),1,"")))</f>
        <v/>
      </c>
      <c r="BK35" s="55" t="str">
        <f aca="false">IF(OR(BK$2="",$D35=""),"",IF(IF(ISNUMBER($F35),AND(BK$2&gt;=$F35,BK$2&lt;=IF(ISNUMBER($G35),$G35,$F35+$E35-$D35)),FALSE()),2,IF(AND(BK$2&gt;=$D35,BK$2&lt;=$E35),1,"")))</f>
        <v/>
      </c>
      <c r="BL35" s="55" t="str">
        <f aca="false">IF(OR(BL$2="",$D35=""),"",IF(IF(ISNUMBER($F35),AND(BL$2&gt;=$F35,BL$2&lt;=IF(ISNUMBER($G35),$G35,$F35+$E35-$D35)),FALSE()),2,IF(AND(BL$2&gt;=$D35,BL$2&lt;=$E35),1,"")))</f>
        <v/>
      </c>
      <c r="BM35" s="55" t="str">
        <f aca="false">IF(OR(BM$2="",$D35=""),"",IF(IF(ISNUMBER($F35),AND(BM$2&gt;=$F35,BM$2&lt;=IF(ISNUMBER($G35),$G35,$F35+$E35-$D35)),FALSE()),2,IF(AND(BM$2&gt;=$D35,BM$2&lt;=$E35),1,"")))</f>
        <v/>
      </c>
      <c r="BN35" s="55" t="str">
        <f aca="false">IF(OR(BN$2="",$D35=""),"",IF(IF(ISNUMBER($F35),AND(BN$2&gt;=$F35,BN$2&lt;=IF(ISNUMBER($G35),$G35,$F35+$E35-$D35)),FALSE()),2,IF(AND(BN$2&gt;=$D35,BN$2&lt;=$E35),1,"")))</f>
        <v/>
      </c>
      <c r="BO35" s="55" t="str">
        <f aca="false">IF(OR(BO$2="",$D35=""),"",IF(IF(ISNUMBER($F35),AND(BO$2&gt;=$F35,BO$2&lt;=IF(ISNUMBER($G35),$G35,$F35+$E35-$D35)),FALSE()),2,IF(AND(BO$2&gt;=$D35,BO$2&lt;=$E35),1,"")))</f>
        <v/>
      </c>
      <c r="BP35" s="55" t="str">
        <f aca="false">IF(OR(BP$2="",$D35=""),"",IF(IF(ISNUMBER($F35),AND(BP$2&gt;=$F35,BP$2&lt;=IF(ISNUMBER($G35),$G35,$F35+$E35-$D35)),FALSE()),2,IF(AND(BP$2&gt;=$D35,BP$2&lt;=$E35),1,"")))</f>
        <v/>
      </c>
      <c r="BQ35" s="55" t="str">
        <f aca="false">IF(OR(BQ$2="",$D35=""),"",IF(IF(ISNUMBER($F35),AND(BQ$2&gt;=$F35,BQ$2&lt;=IF(ISNUMBER($G35),$G35,$F35+$E35-$D35)),FALSE()),2,IF(AND(BQ$2&gt;=$D35,BQ$2&lt;=$E35),1,"")))</f>
        <v/>
      </c>
      <c r="BR35" s="55" t="str">
        <f aca="false">IF(OR(BR$2="",$D35=""),"",IF(IF(ISNUMBER($F35),AND(BR$2&gt;=$F35,BR$2&lt;=IF(ISNUMBER($G35),$G35,$F35+$E35-$D35)),FALSE()),2,IF(AND(BR$2&gt;=$D35,BR$2&lt;=$E35),1,"")))</f>
        <v/>
      </c>
      <c r="BS35" s="55" t="str">
        <f aca="false">IF(OR(BS$2="",$D35=""),"",IF(IF(ISNUMBER($F35),AND(BS$2&gt;=$F35,BS$2&lt;=IF(ISNUMBER($G35),$G35,$F35+$E35-$D35)),FALSE()),2,IF(AND(BS$2&gt;=$D35,BS$2&lt;=$E35),1,"")))</f>
        <v/>
      </c>
      <c r="BT35" s="55" t="str">
        <f aca="false">IF(OR(BT$2="",$D35=""),"",IF(IF(ISNUMBER($F35),AND(BT$2&gt;=$F35,BT$2&lt;=IF(ISNUMBER($G35),$G35,$F35+$E35-$D35)),FALSE()),2,IF(AND(BT$2&gt;=$D35,BT$2&lt;=$E35),1,"")))</f>
        <v/>
      </c>
      <c r="BU35" s="55" t="str">
        <f aca="false">IF(OR(BU$2="",$D35=""),"",IF(IF(ISNUMBER($F35),AND(BU$2&gt;=$F35,BU$2&lt;=IF(ISNUMBER($G35),$G35,$F35+$E35-$D35)),FALSE()),2,IF(AND(BU$2&gt;=$D35,BU$2&lt;=$E35),1,"")))</f>
        <v/>
      </c>
      <c r="BV35" s="55" t="str">
        <f aca="false">IF(OR(BV$2="",$D35=""),"",IF(IF(ISNUMBER($F35),AND(BV$2&gt;=$F35,BV$2&lt;=IF(ISNUMBER($G35),$G35,$F35+$E35-$D35)),FALSE()),2,IF(AND(BV$2&gt;=$D35,BV$2&lt;=$E35),1,"")))</f>
        <v/>
      </c>
      <c r="BW35" s="55" t="str">
        <f aca="false">IF(OR(BW$2="",$D35=""),"",IF(IF(ISNUMBER($F35),AND(BW$2&gt;=$F35,BW$2&lt;=IF(ISNUMBER($G35),$G35,$F35+$E35-$D35)),FALSE()),2,IF(AND(BW$2&gt;=$D35,BW$2&lt;=$E35),1,"")))</f>
        <v/>
      </c>
      <c r="BX35" s="55" t="str">
        <f aca="false">IF(OR(BX$2="",$D35=""),"",IF(IF(ISNUMBER($F35),AND(BX$2&gt;=$F35,BX$2&lt;=IF(ISNUMBER($G35),$G35,$F35+$E35-$D35)),FALSE()),2,IF(AND(BX$2&gt;=$D35,BX$2&lt;=$E35),1,"")))</f>
        <v/>
      </c>
      <c r="BY35" s="55" t="str">
        <f aca="false">IF(OR(BY$2="",$D35=""),"",IF(IF(ISNUMBER($F35),AND(BY$2&gt;=$F35,BY$2&lt;=IF(ISNUMBER($G35),$G35,$F35+$E35-$D35)),FALSE()),2,IF(AND(BY$2&gt;=$D35,BY$2&lt;=$E35),1,"")))</f>
        <v/>
      </c>
      <c r="BZ35" s="55" t="str">
        <f aca="false">IF(OR(BZ$2="",$D35=""),"",IF(IF(ISNUMBER($F35),AND(BZ$2&gt;=$F35,BZ$2&lt;=IF(ISNUMBER($G35),$G35,$F35+$E35-$D35)),FALSE()),2,IF(AND(BZ$2&gt;=$D35,BZ$2&lt;=$E35),1,"")))</f>
        <v/>
      </c>
      <c r="CA35" s="55" t="str">
        <f aca="false">IF(OR(CA$2="",$D35=""),"",IF(IF(ISNUMBER($F35),AND(CA$2&gt;=$F35,CA$2&lt;=IF(ISNUMBER($G35),$G35,$F35+$E35-$D35)),FALSE()),2,IF(AND(CA$2&gt;=$D35,CA$2&lt;=$E35),1,"")))</f>
        <v/>
      </c>
      <c r="CB35" s="55" t="str">
        <f aca="false">IF(OR(CB$2="",$D35=""),"",IF(IF(ISNUMBER($F35),AND(CB$2&gt;=$F35,CB$2&lt;=IF(ISNUMBER($G35),$G35,$F35+$E35-$D35)),FALSE()),2,IF(AND(CB$2&gt;=$D35,CB$2&lt;=$E35),1,"")))</f>
        <v/>
      </c>
      <c r="CC35" s="55" t="str">
        <f aca="false">IF(OR(CC$2="",$D35=""),"",IF(IF(ISNUMBER($F35),AND(CC$2&gt;=$F35,CC$2&lt;=IF(ISNUMBER($G35),$G35,$F35+$E35-$D35)),FALSE()),2,IF(AND(CC$2&gt;=$D35,CC$2&lt;=$E35),1,"")))</f>
        <v/>
      </c>
      <c r="CD35" s="55" t="str">
        <f aca="false">IF(OR(CD$2="",$D35=""),"",IF(IF(ISNUMBER($F35),AND(CD$2&gt;=$F35,CD$2&lt;=IF(ISNUMBER($G35),$G35,$F35+$E35-$D35)),FALSE()),2,IF(AND(CD$2&gt;=$D35,CD$2&lt;=$E35),1,"")))</f>
        <v/>
      </c>
      <c r="CE35" s="55" t="str">
        <f aca="false">IF(OR(CE$2="",$D35=""),"",IF(IF(ISNUMBER($F35),AND(CE$2&gt;=$F35,CE$2&lt;=IF(ISNUMBER($G35),$G35,$F35+$E35-$D35)),FALSE()),2,IF(AND(CE$2&gt;=$D35,CE$2&lt;=$E35),1,"")))</f>
        <v/>
      </c>
      <c r="CF35" s="55" t="str">
        <f aca="false">IF(OR(CF$2="",$D35=""),"",IF(IF(ISNUMBER($F35),AND(CF$2&gt;=$F35,CF$2&lt;=IF(ISNUMBER($G35),$G35,$F35+$E35-$D35)),FALSE()),2,IF(AND(CF$2&gt;=$D35,CF$2&lt;=$E35),1,"")))</f>
        <v/>
      </c>
      <c r="CG35" s="55" t="str">
        <f aca="false">IF(OR(CG$2="",$D35=""),"",IF(IF(ISNUMBER($F35),AND(CG$2&gt;=$F35,CG$2&lt;=IF(ISNUMBER($G35),$G35,$F35+$E35-$D35)),FALSE()),2,IF(AND(CG$2&gt;=$D35,CG$2&lt;=$E35),1,"")))</f>
        <v/>
      </c>
      <c r="CH35" s="55" t="str">
        <f aca="false">IF(OR(CH$2="",$D35=""),"",IF(IF(ISNUMBER($F35),AND(CH$2&gt;=$F35,CH$2&lt;=IF(ISNUMBER($G35),$G35,$F35+$E35-$D35)),FALSE()),2,IF(AND(CH$2&gt;=$D35,CH$2&lt;=$E35),1,"")))</f>
        <v/>
      </c>
      <c r="CI35" s="55" t="str">
        <f aca="false">IF(OR(CI$2="",$D35=""),"",IF(IF(ISNUMBER($F35),AND(CI$2&gt;=$F35,CI$2&lt;=IF(ISNUMBER($G35),$G35,$F35+$E35-$D35)),FALSE()),2,IF(AND(CI$2&gt;=$D35,CI$2&lt;=$E35),1,"")))</f>
        <v/>
      </c>
      <c r="CJ35" s="55" t="str">
        <f aca="false">IF(OR(CJ$2="",$D35=""),"",IF(IF(ISNUMBER($F35),AND(CJ$2&gt;=$F35,CJ$2&lt;=IF(ISNUMBER($G35),$G35,$F35+$E35-$D35)),FALSE()),2,IF(AND(CJ$2&gt;=$D35,CJ$2&lt;=$E35),1,"")))</f>
        <v/>
      </c>
      <c r="CK35" s="55" t="str">
        <f aca="false">IF(OR(CK$2="",$D35=""),"",IF(IF(ISNUMBER($F35),AND(CK$2&gt;=$F35,CK$2&lt;=IF(ISNUMBER($G35),$G35,$F35+$E35-$D35)),FALSE()),2,IF(AND(CK$2&gt;=$D35,CK$2&lt;=$E35),1,"")))</f>
        <v/>
      </c>
      <c r="CL35" s="55" t="str">
        <f aca="false">IF(OR(CL$2="",$D35=""),"",IF(IF(ISNUMBER($F35),AND(CL$2&gt;=$F35,CL$2&lt;=IF(ISNUMBER($G35),$G35,$F35+$E35-$D35)),FALSE()),2,IF(AND(CL$2&gt;=$D35,CL$2&lt;=$E35),1,"")))</f>
        <v/>
      </c>
      <c r="CM35" s="55" t="str">
        <f aca="false">IF(OR(CM$2="",$D35=""),"",IF(IF(ISNUMBER($F35),AND(CM$2&gt;=$F35,CM$2&lt;=IF(ISNUMBER($G35),$G35,$F35+$E35-$D35)),FALSE()),2,IF(AND(CM$2&gt;=$D35,CM$2&lt;=$E35),1,"")))</f>
        <v/>
      </c>
      <c r="CN35" s="55" t="str">
        <f aca="false">IF(OR(CN$2="",$D35=""),"",IF(IF(ISNUMBER($F35),AND(CN$2&gt;=$F35,CN$2&lt;=IF(ISNUMBER($G35),$G35,$F35+$E35-$D35)),FALSE()),2,IF(AND(CN$2&gt;=$D35,CN$2&lt;=$E35),1,"")))</f>
        <v/>
      </c>
      <c r="CO35" s="55" t="str">
        <f aca="false">IF(OR(CO$2="",$D35=""),"",IF(IF(ISNUMBER($F35),AND(CO$2&gt;=$F35,CO$2&lt;=IF(ISNUMBER($G35),$G35,$F35+$E35-$D35)),FALSE()),2,IF(AND(CO$2&gt;=$D35,CO$2&lt;=$E35),1,"")))</f>
        <v/>
      </c>
      <c r="CP35" s="55" t="str">
        <f aca="false">IF(OR(CP$2="",$D35=""),"",IF(IF(ISNUMBER($F35),AND(CP$2&gt;=$F35,CP$2&lt;=IF(ISNUMBER($G35),$G35,$F35+$E35-$D35)),FALSE()),2,IF(AND(CP$2&gt;=$D35,CP$2&lt;=$E35),1,"")))</f>
        <v/>
      </c>
      <c r="CQ35" s="55" t="str">
        <f aca="false">IF(OR(CQ$2="",$D35=""),"",IF(IF(ISNUMBER($F35),AND(CQ$2&gt;=$F35,CQ$2&lt;=IF(ISNUMBER($G35),$G35,$F35+$E35-$D35)),FALSE()),2,IF(AND(CQ$2&gt;=$D35,CQ$2&lt;=$E35),1,"")))</f>
        <v/>
      </c>
      <c r="CR35" s="55" t="str">
        <f aca="false">IF(OR(CR$2="",$D35=""),"",IF(IF(ISNUMBER($F35),AND(CR$2&gt;=$F35,CR$2&lt;=IF(ISNUMBER($G35),$G35,$F35+$E35-$D35)),FALSE()),2,IF(AND(CR$2&gt;=$D35,CR$2&lt;=$E35),1,"")))</f>
        <v/>
      </c>
      <c r="CS35" s="55" t="str">
        <f aca="false">IF(OR(CS$2="",$D35=""),"",IF(IF(ISNUMBER($F35),AND(CS$2&gt;=$F35,CS$2&lt;=IF(ISNUMBER($G35),$G35,$F35+$E35-$D35)),FALSE()),2,IF(AND(CS$2&gt;=$D35,CS$2&lt;=$E35),1,"")))</f>
        <v/>
      </c>
      <c r="CT35" s="55" t="str">
        <f aca="false">IF(OR(CT$2="",$D35=""),"",IF(IF(ISNUMBER($F35),AND(CT$2&gt;=$F35,CT$2&lt;=IF(ISNUMBER($G35),$G35,$F35+$E35-$D35)),FALSE()),2,IF(AND(CT$2&gt;=$D35,CT$2&lt;=$E35),1,"")))</f>
        <v/>
      </c>
      <c r="CU35" s="55" t="str">
        <f aca="false">IF(OR(CU$2="",$D35=""),"",IF(IF(ISNUMBER($F35),AND(CU$2&gt;=$F35,CU$2&lt;=IF(ISNUMBER($G35),$G35,$F35+$E35-$D35)),FALSE()),2,IF(AND(CU$2&gt;=$D35,CU$2&lt;=$E35),1,"")))</f>
        <v/>
      </c>
      <c r="CV35" s="55" t="str">
        <f aca="false">IF(OR(CV$2="",$D35=""),"",IF(IF(ISNUMBER($F35),AND(CV$2&gt;=$F35,CV$2&lt;=IF(ISNUMBER($G35),$G35,$F35+$E35-$D35)),FALSE()),2,IF(AND(CV$2&gt;=$D35,CV$2&lt;=$E35),1,"")))</f>
        <v/>
      </c>
      <c r="CW35" s="55" t="str">
        <f aca="false">IF(OR(CW$2="",$D35=""),"",IF(IF(ISNUMBER($F35),AND(CW$2&gt;=$F35,CW$2&lt;=IF(ISNUMBER($G35),$G35,$F35+$E35-$D35)),FALSE()),2,IF(AND(CW$2&gt;=$D35,CW$2&lt;=$E35),1,"")))</f>
        <v/>
      </c>
      <c r="CX35" s="55" t="str">
        <f aca="false">IF(OR(CX$2="",$D35=""),"",IF(IF(ISNUMBER($F35),AND(CX$2&gt;=$F35,CX$2&lt;=IF(ISNUMBER($G35),$G35,$F35+$E35-$D35)),FALSE()),2,IF(AND(CX$2&gt;=$D35,CX$2&lt;=$E35),1,"")))</f>
        <v/>
      </c>
      <c r="CY35" s="55" t="n">
        <f aca="false">IF(OR(CY$2="",$D35=""),"",IF(IF(ISNUMBER($F35),AND(CY$2&gt;=$F35,CY$2&lt;=IF(ISNUMBER($G35),$G35,$F35+$E35-$D35)),FALSE()),2,IF(AND(CY$2&gt;=$D35,CY$2&lt;=$E35),1,"")))</f>
        <v>1</v>
      </c>
      <c r="CZ35" s="55" t="str">
        <f aca="false">IF(OR(CZ$2="",$D35=""),"",IF(IF(ISNUMBER($F35),AND(CZ$2&gt;=$F35,CZ$2&lt;=IF(ISNUMBER($G35),$G35,$F35+$E35-$D35)),FALSE()),2,IF(AND(CZ$2&gt;=$D35,CZ$2&lt;=$E35),1,"")))</f>
        <v/>
      </c>
      <c r="DA35" s="55" t="str">
        <f aca="false">IF(OR(DA$2="",$D35=""),"",IF(IF(ISNUMBER($F35),AND(DA$2&gt;=$F35,DA$2&lt;=IF(ISNUMBER($G35),$G35,$F35+$E35-$D35)),FALSE()),2,IF(AND(DA$2&gt;=$D35,DA$2&lt;=$E35),1,"")))</f>
        <v/>
      </c>
      <c r="DB35" s="55" t="str">
        <f aca="false">IF(OR(DB$2="",$D35=""),"",IF(IF(ISNUMBER($F35),AND(DB$2&gt;=$F35,DB$2&lt;=IF(ISNUMBER($G35),$G35,$F35+$E35-$D35)),FALSE()),2,IF(AND(DB$2&gt;=$D35,DB$2&lt;=$E35),1,"")))</f>
        <v/>
      </c>
      <c r="DC35" s="55" t="str">
        <f aca="false">IF(OR(DC$2="",$D35=""),"",IF(IF(ISNUMBER($F35),AND(DC$2&gt;=$F35,DC$2&lt;=IF(ISNUMBER($G35),$G35,$F35+$E35-$D35)),FALSE()),2,IF(AND(DC$2&gt;=$D35,DC$2&lt;=$E35),1,"")))</f>
        <v/>
      </c>
      <c r="DD35" s="55" t="str">
        <f aca="false">IF(OR(DD$2="",$D35=""),"",IF(IF(ISNUMBER($F35),AND(DD$2&gt;=$F35,DD$2&lt;=IF(ISNUMBER($G35),$G35,$F35+$E35-$D35)),FALSE()),2,IF(AND(DD$2&gt;=$D35,DD$2&lt;=$E35),1,"")))</f>
        <v/>
      </c>
      <c r="DE35" s="55" t="str">
        <f aca="false">IF(OR(DE$2="",$D35=""),"",IF(IF(ISNUMBER($F35),AND(DE$2&gt;=$F35,DE$2&lt;=IF(ISNUMBER($G35),$G35,$F35+$E35-$D35)),FALSE()),2,IF(AND(DE$2&gt;=$D35,DE$2&lt;=$E35),1,"")))</f>
        <v/>
      </c>
      <c r="DF35" s="55" t="str">
        <f aca="false">IF(OR(DF$2="",$D35=""),"",IF(IF(ISNUMBER($F35),AND(DF$2&gt;=$F35,DF$2&lt;=IF(ISNUMBER($G35),$G35,$F35+$E35-$D35)),FALSE()),2,IF(AND(DF$2&gt;=$D35,DF$2&lt;=$E35),1,"")))</f>
        <v/>
      </c>
      <c r="DG35" s="55" t="str">
        <f aca="false">IF(OR(DG$2="",$D35=""),"",IF(IF(ISNUMBER($F35),AND(DG$2&gt;=$F35,DG$2&lt;=IF(ISNUMBER($G35),$G35,$F35+$E35-$D35)),FALSE()),2,IF(AND(DG$2&gt;=$D35,DG$2&lt;=$E35),1,"")))</f>
        <v/>
      </c>
      <c r="DH35" s="55" t="str">
        <f aca="false">IF(OR(DH$2="",$D35=""),"",IF(IF(ISNUMBER($F35),AND(DH$2&gt;=$F35,DH$2&lt;=IF(ISNUMBER($G35),$G35,$F35+$E35-$D35)),FALSE()),2,IF(AND(DH$2&gt;=$D35,DH$2&lt;=$E35),1,"")))</f>
        <v/>
      </c>
      <c r="DI35" s="55" t="str">
        <f aca="false">IF(OR(DI$2="",$D35=""),"",IF(IF(ISNUMBER($F35),AND(DI$2&gt;=$F35,DI$2&lt;=IF(ISNUMBER($G35),$G35,$F35+$E35-$D35)),FALSE()),2,IF(AND(DI$2&gt;=$D35,DI$2&lt;=$E35),1,"")))</f>
        <v/>
      </c>
      <c r="DJ35" s="55" t="str">
        <f aca="false">IF(OR(DJ$2="",$D35=""),"",IF(IF(ISNUMBER($F35),AND(DJ$2&gt;=$F35,DJ$2&lt;=IF(ISNUMBER($G35),$G35,$F35+$E35-$D35)),FALSE()),2,IF(AND(DJ$2&gt;=$D35,DJ$2&lt;=$E35),1,"")))</f>
        <v/>
      </c>
      <c r="DK35" s="55" t="str">
        <f aca="false">IF(OR(DK$2="",$D35=""),"",IF(IF(ISNUMBER($F35),AND(DK$2&gt;=$F35,DK$2&lt;=IF(ISNUMBER($G35),$G35,$F35+$E35-$D35)),FALSE()),2,IF(AND(DK$2&gt;=$D35,DK$2&lt;=$E35),1,"")))</f>
        <v/>
      </c>
      <c r="DL35" s="55" t="str">
        <f aca="false">IF(OR(DL$2="",$D35=""),"",IF(IF(ISNUMBER($F35),AND(DL$2&gt;=$F35,DL$2&lt;=IF(ISNUMBER($G35),$G35,$F35+$E35-$D35)),FALSE()),2,IF(AND(DL$2&gt;=$D35,DL$2&lt;=$E35),1,"")))</f>
        <v/>
      </c>
      <c r="DM35" s="55" t="str">
        <f aca="false">IF(OR(DM$2="",$D35=""),"",IF(IF(ISNUMBER($F35),AND(DM$2&gt;=$F35,DM$2&lt;=IF(ISNUMBER($G35),$G35,$F35+$E35-$D35)),FALSE()),2,IF(AND(DM$2&gt;=$D35,DM$2&lt;=$E35),1,"")))</f>
        <v/>
      </c>
      <c r="DN35" s="55" t="str">
        <f aca="false">IF(OR(DN$2="",$D35=""),"",IF(IF(ISNUMBER($F35),AND(DN$2&gt;=$F35,DN$2&lt;=IF(ISNUMBER($G35),$G35,$F35+$E35-$D35)),FALSE()),2,IF(AND(DN$2&gt;=$D35,DN$2&lt;=$E35),1,"")))</f>
        <v/>
      </c>
      <c r="DO35" s="55" t="str">
        <f aca="false">IF(OR(DO$2="",$D35=""),"",IF(IF(ISNUMBER($F35),AND(DO$2&gt;=$F35,DO$2&lt;=IF(ISNUMBER($G35),$G35,$F35+$E35-$D35)),FALSE()),2,IF(AND(DO$2&gt;=$D35,DO$2&lt;=$E35),1,"")))</f>
        <v/>
      </c>
      <c r="DP35" s="55" t="str">
        <f aca="false">IF(OR(DP$2="",$D35=""),"",IF(IF(ISNUMBER($F35),AND(DP$2&gt;=$F35,DP$2&lt;=IF(ISNUMBER($G35),$G35,$F35+$E35-$D35)),FALSE()),2,IF(AND(DP$2&gt;=$D35,DP$2&lt;=$E35),1,"")))</f>
        <v/>
      </c>
      <c r="DQ35" s="55" t="str">
        <f aca="false">IF(OR(DQ$2="",$D35=""),"",IF(IF(ISNUMBER($F35),AND(DQ$2&gt;=$F35,DQ$2&lt;=IF(ISNUMBER($G35),$G35,$F35+$E35-$D35)),FALSE()),2,IF(AND(DQ$2&gt;=$D35,DQ$2&lt;=$E35),1,"")))</f>
        <v/>
      </c>
      <c r="DR35" s="55" t="str">
        <f aca="false">IF(OR(DR$2="",$D35=""),"",IF(IF(ISNUMBER($F35),AND(DR$2&gt;=$F35,DR$2&lt;=IF(ISNUMBER($G35),$G35,$F35+$E35-$D35)),FALSE()),2,IF(AND(DR$2&gt;=$D35,DR$2&lt;=$E35),1,"")))</f>
        <v/>
      </c>
      <c r="DS35" s="55" t="str">
        <f aca="false">IF(OR(DS$2="",$D35=""),"",IF(IF(ISNUMBER($F35),AND(DS$2&gt;=$F35,DS$2&lt;=IF(ISNUMBER($G35),$G35,$F35+$E35-$D35)),FALSE()),2,IF(AND(DS$2&gt;=$D35,DS$2&lt;=$E35),1,"")))</f>
        <v/>
      </c>
      <c r="DT35" s="55" t="str">
        <f aca="false">IF(OR(DT$2="",$D35=""),"",IF(IF(ISNUMBER($F35),AND(DT$2&gt;=$F35,DT$2&lt;=IF(ISNUMBER($G35),$G35,$F35+$E35-$D35)),FALSE()),2,IF(AND(DT$2&gt;=$D35,DT$2&lt;=$E35),1,"")))</f>
        <v/>
      </c>
      <c r="DU35" s="55" t="str">
        <f aca="false">IF(OR(DU$2="",$D35=""),"",IF(IF(ISNUMBER($F35),AND(DU$2&gt;=$F35,DU$2&lt;=IF(ISNUMBER($G35),$G35,$F35+$E35-$D35)),FALSE()),2,IF(AND(DU$2&gt;=$D35,DU$2&lt;=$E35),1,"")))</f>
        <v/>
      </c>
      <c r="DV35" s="55" t="str">
        <f aca="false">IF(OR(DV$2="",$D35=""),"",IF(IF(ISNUMBER($F35),AND(DV$2&gt;=$F35,DV$2&lt;=IF(ISNUMBER($G35),$G35,$F35+$E35-$D35)),FALSE()),2,IF(AND(DV$2&gt;=$D35,DV$2&lt;=$E35),1,"")))</f>
        <v/>
      </c>
      <c r="DW35" s="55" t="str">
        <f aca="false">IF(OR(DW$2="",$D35=""),"",IF(IF(ISNUMBER($F35),AND(DW$2&gt;=$F35,DW$2&lt;=IF(ISNUMBER($G35),$G35,$F35+$E35-$D35)),FALSE()),2,IF(AND(DW$2&gt;=$D35,DW$2&lt;=$E35),1,"")))</f>
        <v/>
      </c>
      <c r="DX35" s="55" t="str">
        <f aca="false">IF(OR(DX$2="",$D35=""),"",IF(IF(ISNUMBER($F35),AND(DX$2&gt;=$F35,DX$2&lt;=IF(ISNUMBER($G35),$G35,$F35+$E35-$D35)),FALSE()),2,IF(AND(DX$2&gt;=$D35,DX$2&lt;=$E35),1,"")))</f>
        <v/>
      </c>
      <c r="DY35" s="55" t="str">
        <f aca="false">IF(OR(DY$2="",$D35=""),"",IF(IF(ISNUMBER($F35),AND(DY$2&gt;=$F35,DY$2&lt;=IF(ISNUMBER($G35),$G35,$F35+$E35-$D35)),FALSE()),2,IF(AND(DY$2&gt;=$D35,DY$2&lt;=$E35),1,"")))</f>
        <v/>
      </c>
      <c r="DZ35" s="55" t="str">
        <f aca="false">IF(OR(DZ$2="",$D35=""),"",IF(IF(ISNUMBER($F35),AND(DZ$2&gt;=$F35,DZ$2&lt;=IF(ISNUMBER($G35),$G35,$F35+$E35-$D35)),FALSE()),2,IF(AND(DZ$2&gt;=$D35,DZ$2&lt;=$E35),1,"")))</f>
        <v/>
      </c>
      <c r="EA35" s="55" t="str">
        <f aca="false">IF(OR(EA$2="",$D35=""),"",IF(IF(ISNUMBER($F35),AND(EA$2&gt;=$F35,EA$2&lt;=IF(ISNUMBER($G35),$G35,$F35+$E35-$D35)),FALSE()),2,IF(AND(EA$2&gt;=$D35,EA$2&lt;=$E35),1,"")))</f>
        <v/>
      </c>
      <c r="EB35" s="55" t="str">
        <f aca="false">IF(OR(EB$2="",$D35=""),"",IF(IF(ISNUMBER($F35),AND(EB$2&gt;=$F35,EB$2&lt;=IF(ISNUMBER($G35),$G35,$F35+$E35-$D35)),FALSE()),2,IF(AND(EB$2&gt;=$D35,EB$2&lt;=$E35),1,"")))</f>
        <v/>
      </c>
      <c r="EC35" s="55" t="str">
        <f aca="false">IF(OR(EC$2="",$D35=""),"",IF(IF(ISNUMBER($F35),AND(EC$2&gt;=$F35,EC$2&lt;=IF(ISNUMBER($G35),$G35,$F35+$E35-$D35)),FALSE()),2,IF(AND(EC$2&gt;=$D35,EC$2&lt;=$E35),1,"")))</f>
        <v/>
      </c>
      <c r="ED35" s="55" t="str">
        <f aca="false">IF(OR(ED$2="",$D35=""),"",IF(IF(ISNUMBER($F35),AND(ED$2&gt;=$F35,ED$2&lt;=IF(ISNUMBER($G35),$G35,$F35+$E35-$D35)),FALSE()),2,IF(AND(ED$2&gt;=$D35,ED$2&lt;=$E35),1,"")))</f>
        <v/>
      </c>
      <c r="EE35" s="55" t="str">
        <f aca="false">IF(OR(EE$2="",$D35=""),"",IF(IF(ISNUMBER($F35),AND(EE$2&gt;=$F35,EE$2&lt;=IF(ISNUMBER($G35),$G35,$F35+$E35-$D35)),FALSE()),2,IF(AND(EE$2&gt;=$D35,EE$2&lt;=$E35),1,"")))</f>
        <v/>
      </c>
      <c r="EF35" s="55" t="str">
        <f aca="false">IF(OR(EF$2="",$D35=""),"",IF(IF(ISNUMBER($F35),AND(EF$2&gt;=$F35,EF$2&lt;=IF(ISNUMBER($G35),$G35,$F35+$E35-$D35)),FALSE()),2,IF(AND(EF$2&gt;=$D35,EF$2&lt;=$E35),1,"")))</f>
        <v/>
      </c>
      <c r="EG35" s="55" t="str">
        <f aca="false">IF(OR(EG$2="",$D35=""),"",IF(IF(ISNUMBER($F35),AND(EG$2&gt;=$F35,EG$2&lt;=IF(ISNUMBER($G35),$G35,$F35+$E35-$D35)),FALSE()),2,IF(AND(EG$2&gt;=$D35,EG$2&lt;=$E35),1,"")))</f>
        <v/>
      </c>
      <c r="EH35" s="55" t="str">
        <f aca="false">IF(OR(EH$2="",$D35=""),"",IF(IF(ISNUMBER($F35),AND(EH$2&gt;=$F35,EH$2&lt;=IF(ISNUMBER($G35),$G35,$F35+$E35-$D35)),FALSE()),2,IF(AND(EH$2&gt;=$D35,EH$2&lt;=$E35),1,"")))</f>
        <v/>
      </c>
      <c r="EI35" s="55" t="str">
        <f aca="false">IF(OR(EI$2="",$D35=""),"",IF(IF(ISNUMBER($F35),AND(EI$2&gt;=$F35,EI$2&lt;=IF(ISNUMBER($G35),$G35,$F35+$E35-$D35)),FALSE()),2,IF(AND(EI$2&gt;=$D35,EI$2&lt;=$E35),1,"")))</f>
        <v/>
      </c>
      <c r="EJ35" s="55" t="str">
        <f aca="false">IF(OR(EJ$2="",$D35=""),"",IF(IF(ISNUMBER($F35),AND(EJ$2&gt;=$F35,EJ$2&lt;=IF(ISNUMBER($G35),$G35,$F35+$E35-$D35)),FALSE()),2,IF(AND(EJ$2&gt;=$D35,EJ$2&lt;=$E35),1,"")))</f>
        <v/>
      </c>
      <c r="EK35" s="55" t="str">
        <f aca="false">IF(OR(EK$2="",$D35=""),"",IF(IF(ISNUMBER($F35),AND(EK$2&gt;=$F35,EK$2&lt;=IF(ISNUMBER($G35),$G35,$F35+$E35-$D35)),FALSE()),2,IF(AND(EK$2&gt;=$D35,EK$2&lt;=$E35),1,"")))</f>
        <v/>
      </c>
      <c r="EL35" s="55" t="str">
        <f aca="false">IF(OR(EL$2="",$D35=""),"",IF(IF(ISNUMBER($F35),AND(EL$2&gt;=$F35,EL$2&lt;=IF(ISNUMBER($G35),$G35,$F35+$E35-$D35)),FALSE()),2,IF(AND(EL$2&gt;=$D35,EL$2&lt;=$E35),1,"")))</f>
        <v/>
      </c>
      <c r="EM35" s="55" t="str">
        <f aca="false">IF(OR(EM$2="",$D35=""),"",IF(IF(ISNUMBER($F35),AND(EM$2&gt;=$F35,EM$2&lt;=IF(ISNUMBER($G35),$G35,$F35+$E35-$D35)),FALSE()),2,IF(AND(EM$2&gt;=$D35,EM$2&lt;=$E35),1,"")))</f>
        <v/>
      </c>
      <c r="EN35" s="55" t="str">
        <f aca="false">IF(OR(EN$2="",$D35=""),"",IF(IF(ISNUMBER($F35),AND(EN$2&gt;=$F35,EN$2&lt;=IF(ISNUMBER($G35),$G35,$F35+$E35-$D35)),FALSE()),2,IF(AND(EN$2&gt;=$D35,EN$2&lt;=$E35),1,"")))</f>
        <v/>
      </c>
      <c r="EO35" s="55" t="str">
        <f aca="false">IF(OR(EO$2="",$D35=""),"",IF(IF(ISNUMBER($F35),AND(EO$2&gt;=$F35,EO$2&lt;=IF(ISNUMBER($G35),$G35,$F35+$E35-$D35)),FALSE()),2,IF(AND(EO$2&gt;=$D35,EO$2&lt;=$E35),1,"")))</f>
        <v/>
      </c>
      <c r="EP35" s="55" t="str">
        <f aca="false">IF(OR(EP$2="",$D35=""),"",IF(IF(ISNUMBER($F35),AND(EP$2&gt;=$F35,EP$2&lt;=IF(ISNUMBER($G35),$G35,$F35+$E35-$D35)),FALSE()),2,IF(AND(EP$2&gt;=$D35,EP$2&lt;=$E35),1,"")))</f>
        <v/>
      </c>
      <c r="EQ35" s="55" t="str">
        <f aca="false">IF(OR(EQ$2="",$D35=""),"",IF(IF(ISNUMBER($F35),AND(EQ$2&gt;=$F35,EQ$2&lt;=IF(ISNUMBER($G35),$G35,$F35+$E35-$D35)),FALSE()),2,IF(AND(EQ$2&gt;=$D35,EQ$2&lt;=$E35),1,"")))</f>
        <v/>
      </c>
      <c r="ER35" s="55" t="str">
        <f aca="false">IF(OR(ER$2="",$D35=""),"",IF(IF(ISNUMBER($F35),AND(ER$2&gt;=$F35,ER$2&lt;=IF(ISNUMBER($G35),$G35,$F35+$E35-$D35)),FALSE()),2,IF(AND(ER$2&gt;=$D35,ER$2&lt;=$E35),1,"")))</f>
        <v/>
      </c>
      <c r="ES35" s="55" t="str">
        <f aca="false">IF(OR(ES$2="",$D35=""),"",IF(IF(ISNUMBER($F35),AND(ES$2&gt;=$F35,ES$2&lt;=IF(ISNUMBER($G35),$G35,$F35+$E35-$D35)),FALSE()),2,IF(AND(ES$2&gt;=$D35,ES$2&lt;=$E35),1,"")))</f>
        <v/>
      </c>
      <c r="ET35" s="55" t="str">
        <f aca="false">IF(OR(ET$2="",$D35=""),"",IF(IF(ISNUMBER($F35),AND(ET$2&gt;=$F35,ET$2&lt;=IF(ISNUMBER($G35),$G35,$F35+$E35-$D35)),FALSE()),2,IF(AND(ET$2&gt;=$D35,ET$2&lt;=$E35),1,"")))</f>
        <v/>
      </c>
      <c r="EU35" s="55" t="str">
        <f aca="false">IF(OR(EU$2="",$D35=""),"",IF(IF(ISNUMBER($F35),AND(EU$2&gt;=$F35,EU$2&lt;=IF(ISNUMBER($G35),$G35,$F35+$E35-$D35)),FALSE()),2,IF(AND(EU$2&gt;=$D35,EU$2&lt;=$E35),1,"")))</f>
        <v/>
      </c>
      <c r="EV35" s="55" t="str">
        <f aca="false">IF(OR(EV$2="",$D35=""),"",IF(IF(ISNUMBER($F35),AND(EV$2&gt;=$F35,EV$2&lt;=IF(ISNUMBER($G35),$G35,$F35+$E35-$D35)),FALSE()),2,IF(AND(EV$2&gt;=$D35,EV$2&lt;=$E35),1,"")))</f>
        <v/>
      </c>
      <c r="EW35" s="55" t="str">
        <f aca="false">IF(OR(EW$2="",$D35=""),"",IF(IF(ISNUMBER($F35),AND(EW$2&gt;=$F35,EW$2&lt;=IF(ISNUMBER($G35),$G35,$F35+$E35-$D35)),FALSE()),2,IF(AND(EW$2&gt;=$D35,EW$2&lt;=$E35),1,"")))</f>
        <v/>
      </c>
      <c r="EX35" s="55" t="str">
        <f aca="false">IF(OR(EX$2="",$D35=""),"",IF(IF(ISNUMBER($F35),AND(EX$2&gt;=$F35,EX$2&lt;=IF(ISNUMBER($G35),$G35,$F35+$E35-$D35)),FALSE()),2,IF(AND(EX$2&gt;=$D35,EX$2&lt;=$E35),1,"")))</f>
        <v/>
      </c>
      <c r="EY35" s="55" t="str">
        <f aca="false">IF(OR(EY$2="",$D35=""),"",IF(IF(ISNUMBER($F35),AND(EY$2&gt;=$F35,EY$2&lt;=IF(ISNUMBER($G35),$G35,$F35+$E35-$D35)),FALSE()),2,IF(AND(EY$2&gt;=$D35,EY$2&lt;=$E35),1,"")))</f>
        <v/>
      </c>
      <c r="EZ35" s="55" t="str">
        <f aca="false">IF(OR(EZ$2="",$D35=""),"",IF(IF(ISNUMBER($F35),AND(EZ$2&gt;=$F35,EZ$2&lt;=IF(ISNUMBER($G35),$G35,$F35+$E35-$D35)),FALSE()),2,IF(AND(EZ$2&gt;=$D35,EZ$2&lt;=$E35),1,"")))</f>
        <v/>
      </c>
      <c r="FA35" s="55" t="str">
        <f aca="false">IF(OR(FA$2="",$D35=""),"",IF(IF(ISNUMBER($F35),AND(FA$2&gt;=$F35,FA$2&lt;=IF(ISNUMBER($G35),$G35,$F35+$E35-$D35)),FALSE()),2,IF(AND(FA$2&gt;=$D35,FA$2&lt;=$E35),1,"")))</f>
        <v/>
      </c>
      <c r="FB35" s="55" t="str">
        <f aca="false">IF(OR(FB$2="",$D35=""),"",IF(IF(ISNUMBER($F35),AND(FB$2&gt;=$F35,FB$2&lt;=IF(ISNUMBER($G35),$G35,$F35+$E35-$D35)),FALSE()),2,IF(AND(FB$2&gt;=$D35,FB$2&lt;=$E35),1,"")))</f>
        <v/>
      </c>
      <c r="FC35" s="55" t="str">
        <f aca="false">IF(OR(FC$2="",$D35=""),"",IF(IF(ISNUMBER($F35),AND(FC$2&gt;=$F35,FC$2&lt;=IF(ISNUMBER($G35),$G35,$F35+$E35-$D35)),FALSE()),2,IF(AND(FC$2&gt;=$D35,FC$2&lt;=$E35),1,"")))</f>
        <v/>
      </c>
      <c r="FD35" s="55" t="str">
        <f aca="false">IF(OR(FD$2="",$D35=""),"",IF(IF(ISNUMBER($F35),AND(FD$2&gt;=$F35,FD$2&lt;=IF(ISNUMBER($G35),$G35,$F35+$E35-$D35)),FALSE()),2,IF(AND(FD$2&gt;=$D35,FD$2&lt;=$E35),1,"")))</f>
        <v/>
      </c>
      <c r="FE35" s="55" t="str">
        <f aca="false">IF(OR(FE$2="",$D35=""),"",IF(IF(ISNUMBER($F35),AND(FE$2&gt;=$F35,FE$2&lt;=IF(ISNUMBER($G35),$G35,$F35+$E35-$D35)),FALSE()),2,IF(AND(FE$2&gt;=$D35,FE$2&lt;=$E35),1,"")))</f>
        <v/>
      </c>
      <c r="FF35" s="55" t="str">
        <f aca="false">IF(OR(FF$2="",$D35=""),"",IF(IF(ISNUMBER($F35),AND(FF$2&gt;=$F35,FF$2&lt;=IF(ISNUMBER($G35),$G35,$F35+$E35-$D35)),FALSE()),2,IF(AND(FF$2&gt;=$D35,FF$2&lt;=$E35),1,"")))</f>
        <v/>
      </c>
      <c r="FG35" s="55" t="str">
        <f aca="false">IF(OR(FG$2="",$D35=""),"",IF(IF(ISNUMBER($F35),AND(FG$2&gt;=$F35,FG$2&lt;=IF(ISNUMBER($G35),$G35,$F35+$E35-$D35)),FALSE()),2,IF(AND(FG$2&gt;=$D35,FG$2&lt;=$E35),1,"")))</f>
        <v/>
      </c>
      <c r="FH35" s="55" t="str">
        <f aca="false">IF(OR(FH$2="",$D35=""),"",IF(IF(ISNUMBER($F35),AND(FH$2&gt;=$F35,FH$2&lt;=IF(ISNUMBER($G35),$G35,$F35+$E35-$D35)),FALSE()),2,IF(AND(FH$2&gt;=$D35,FH$2&lt;=$E35),1,"")))</f>
        <v/>
      </c>
      <c r="FI35" s="55" t="str">
        <f aca="false">IF(OR(FI$2="",$D35=""),"",IF(IF(ISNUMBER($F35),AND(FI$2&gt;=$F35,FI$2&lt;=IF(ISNUMBER($G35),$G35,$F35+$E35-$D35)),FALSE()),2,IF(AND(FI$2&gt;=$D35,FI$2&lt;=$E35),1,"")))</f>
        <v/>
      </c>
      <c r="FJ35" s="55" t="str">
        <f aca="false">IF(OR(FJ$2="",$D35=""),"",IF(IF(ISNUMBER($F35),AND(FJ$2&gt;=$F35,FJ$2&lt;=IF(ISNUMBER($G35),$G35,$F35+$E35-$D35)),FALSE()),2,IF(AND(FJ$2&gt;=$D35,FJ$2&lt;=$E35),1,"")))</f>
        <v/>
      </c>
      <c r="FK35" s="55" t="str">
        <f aca="false">IF(OR(FK$2="",$D35=""),"",IF(IF(ISNUMBER($F35),AND(FK$2&gt;=$F35,FK$2&lt;=IF(ISNUMBER($G35),$G35,$F35+$E35-$D35)),FALSE()),2,IF(AND(FK$2&gt;=$D35,FK$2&lt;=$E35),1,"")))</f>
        <v/>
      </c>
      <c r="FL35" s="55" t="str">
        <f aca="false">IF(OR(FL$2="",$D35=""),"",IF(IF(ISNUMBER($F35),AND(FL$2&gt;=$F35,FL$2&lt;=IF(ISNUMBER($G35),$G35,$F35+$E35-$D35)),FALSE()),2,IF(AND(FL$2&gt;=$D35,FL$2&lt;=$E35),1,"")))</f>
        <v/>
      </c>
      <c r="FM35" s="55" t="str">
        <f aca="false">IF(OR(FM$2="",$D35=""),"",IF(IF(ISNUMBER($F35),AND(FM$2&gt;=$F35,FM$2&lt;=IF(ISNUMBER($G35),$G35,$F35+$E35-$D35)),FALSE()),2,IF(AND(FM$2&gt;=$D35,FM$2&lt;=$E35),1,"")))</f>
        <v/>
      </c>
      <c r="FN35" s="55" t="str">
        <f aca="false">IF(OR(FN$2="",$D35=""),"",IF(IF(ISNUMBER($F35),AND(FN$2&gt;=$F35,FN$2&lt;=IF(ISNUMBER($G35),$G35,$F35+$E35-$D35)),FALSE()),2,IF(AND(FN$2&gt;=$D35,FN$2&lt;=$E35),1,"")))</f>
        <v/>
      </c>
      <c r="FO35" s="55" t="str">
        <f aca="false">IF(OR(FO$2="",$D35=""),"",IF(IF(ISNUMBER($F35),AND(FO$2&gt;=$F35,FO$2&lt;=IF(ISNUMBER($G35),$G35,$F35+$E35-$D35)),FALSE()),2,IF(AND(FO$2&gt;=$D35,FO$2&lt;=$E35),1,"")))</f>
        <v/>
      </c>
      <c r="FP35" s="55" t="str">
        <f aca="false">IF(OR(FP$2="",$D35=""),"",IF(IF(ISNUMBER($F35),AND(FP$2&gt;=$F35,FP$2&lt;=IF(ISNUMBER($G35),$G35,$F35+$E35-$D35)),FALSE()),2,IF(AND(FP$2&gt;=$D35,FP$2&lt;=$E35),1,"")))</f>
        <v/>
      </c>
      <c r="FQ35" s="55" t="str">
        <f aca="false">IF(OR(FQ$2="",$D35=""),"",IF(IF(ISNUMBER($F35),AND(FQ$2&gt;=$F35,FQ$2&lt;=IF(ISNUMBER($G35),$G35,$F35+$E35-$D35)),FALSE()),2,IF(AND(FQ$2&gt;=$D35,FQ$2&lt;=$E35),1,"")))</f>
        <v/>
      </c>
      <c r="FR35" s="55" t="str">
        <f aca="false">IF(OR(FR$2="",$D35=""),"",IF(IF(ISNUMBER($F35),AND(FR$2&gt;=$F35,FR$2&lt;=IF(ISNUMBER($G35),$G35,$F35+$E35-$D35)),FALSE()),2,IF(AND(FR$2&gt;=$D35,FR$2&lt;=$E35),1,"")))</f>
        <v/>
      </c>
      <c r="FS35" s="55" t="str">
        <f aca="false">IF(OR(FS$2="",$D35=""),"",IF(IF(ISNUMBER($F35),AND(FS$2&gt;=$F35,FS$2&lt;=IF(ISNUMBER($G35),$G35,$F35+$E35-$D35)),FALSE()),2,IF(AND(FS$2&gt;=$D35,FS$2&lt;=$E35),1,"")))</f>
        <v/>
      </c>
      <c r="FT35" s="55" t="str">
        <f aca="false">IF(OR(FT$2="",$D35=""),"",IF(IF(ISNUMBER($F35),AND(FT$2&gt;=$F35,FT$2&lt;=IF(ISNUMBER($G35),$G35,$F35+$E35-$D35)),FALSE()),2,IF(AND(FT$2&gt;=$D35,FT$2&lt;=$E35),1,"")))</f>
        <v/>
      </c>
      <c r="FU35" s="55" t="str">
        <f aca="false">IF(OR(FU$2="",$D35=""),"",IF(IF(ISNUMBER($F35),AND(FU$2&gt;=$F35,FU$2&lt;=IF(ISNUMBER($G35),$G35,$F35+$E35-$D35)),FALSE()),2,IF(AND(FU$2&gt;=$D35,FU$2&lt;=$E35),1,"")))</f>
        <v/>
      </c>
      <c r="FV35" s="55" t="str">
        <f aca="false">IF(OR(FV$2="",$D35=""),"",IF(IF(ISNUMBER($F35),AND(FV$2&gt;=$F35,FV$2&lt;=IF(ISNUMBER($G35),$G35,$F35+$E35-$D35)),FALSE()),2,IF(AND(FV$2&gt;=$D35,FV$2&lt;=$E35),1,"")))</f>
        <v/>
      </c>
      <c r="FW35" s="55" t="str">
        <f aca="false">IF(OR(FW$2="",$D35=""),"",IF(IF(ISNUMBER($F35),AND(FW$2&gt;=$F35,FW$2&lt;=IF(ISNUMBER($G35),$G35,$F35+$E35-$D35)),FALSE()),2,IF(AND(FW$2&gt;=$D35,FW$2&lt;=$E35),1,"")))</f>
        <v/>
      </c>
      <c r="FX35" s="55" t="str">
        <f aca="false">IF(OR(FX$2="",$D35=""),"",IF(IF(ISNUMBER($F35),AND(FX$2&gt;=$F35,FX$2&lt;=IF(ISNUMBER($G35),$G35,$F35+$E35-$D35)),FALSE()),2,IF(AND(FX$2&gt;=$D35,FX$2&lt;=$E35),1,"")))</f>
        <v/>
      </c>
      <c r="FY35" s="55" t="str">
        <f aca="false">IF(OR(FY$2="",$D35=""),"",IF(IF(ISNUMBER($F35),AND(FY$2&gt;=$F35,FY$2&lt;=IF(ISNUMBER($G35),$G35,$F35+$E35-$D35)),FALSE()),2,IF(AND(FY$2&gt;=$D35,FY$2&lt;=$E35),1,"")))</f>
        <v/>
      </c>
      <c r="FZ35" s="55" t="str">
        <f aca="false">IF(OR(FZ$2="",$D35=""),"",IF(IF(ISNUMBER($F35),AND(FZ$2&gt;=$F35,FZ$2&lt;=IF(ISNUMBER($G35),$G35,$F35+$E35-$D35)),FALSE()),2,IF(AND(FZ$2&gt;=$D35,FZ$2&lt;=$E35),1,"")))</f>
        <v/>
      </c>
      <c r="GA35" s="55" t="str">
        <f aca="false">IF(OR(GA$2="",$D35=""),"",IF(IF(ISNUMBER($F35),AND(GA$2&gt;=$F35,GA$2&lt;=IF(ISNUMBER($G35),$G35,$F35+$E35-$D35)),FALSE()),2,IF(AND(GA$2&gt;=$D35,GA$2&lt;=$E35),1,"")))</f>
        <v/>
      </c>
      <c r="GB35" s="55" t="str">
        <f aca="false">IF(OR(GB$2="",$D35=""),"",IF(IF(ISNUMBER($F35),AND(GB$2&gt;=$F35,GB$2&lt;=IF(ISNUMBER($G35),$G35,$F35+$E35-$D35)),FALSE()),2,IF(AND(GB$2&gt;=$D35,GB$2&lt;=$E35),1,"")))</f>
        <v/>
      </c>
      <c r="GC35" s="55" t="str">
        <f aca="false">IF(OR(GC$2="",$D35=""),"",IF(IF(ISNUMBER($F35),AND(GC$2&gt;=$F35,GC$2&lt;=IF(ISNUMBER($G35),$G35,$F35+$E35-$D35)),FALSE()),2,IF(AND(GC$2&gt;=$D35,GC$2&lt;=$E35),1,"")))</f>
        <v/>
      </c>
      <c r="GD35" s="55" t="str">
        <f aca="false">IF(OR(GD$2="",$D35=""),"",IF(IF(ISNUMBER($F35),AND(GD$2&gt;=$F35,GD$2&lt;=IF(ISNUMBER($G35),$G35,$F35+$E35-$D35)),FALSE()),2,IF(AND(GD$2&gt;=$D35,GD$2&lt;=$E35),1,"")))</f>
        <v/>
      </c>
      <c r="GE35" s="55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false" outlineLevel="0" collapsed="false">
      <c r="A36" s="54" t="s">
        <v>385</v>
      </c>
      <c r="B36" s="21" t="s">
        <v>386</v>
      </c>
      <c r="C36" s="21" t="s">
        <v>328</v>
      </c>
      <c r="D36" s="51" t="n">
        <f aca="false">IF(D19="","",D19)</f>
        <v>46114</v>
      </c>
      <c r="E36" s="51" t="n">
        <f aca="false">IF(D36="","",D36)</f>
        <v>46114</v>
      </c>
      <c r="F36" s="51" t="str">
        <f aca="false">IF(_xlfn.MINIFS(2_Daily_input!$D$1:$FQ$1,2_Daily_input!$D$73:$FQ$73,"Heading")+_xlfn.MINIFS(2_Daily_input!$D$1:$FQ$1,2_Daily_input!$D$74:$FQ$74,"Heading")=0,"",IF(_xlfn.MINIFS(2_Daily_input!$D$1:$FQ$1,2_Daily_input!$D$73:$FQ$73,"Heading")=0,_xlfn.MINIFS(2_Daily_input!$D$1:$FQ$1,2_Daily_input!$D$74:$FQ$74,"Heading"),IF(_xlfn.MINIFS(2_Daily_input!$D$1:$FQ$1,2_Daily_input!$D$74:$FQ$74,"Heading")=0,_xlfn.MINIFS(2_Daily_input!$D$1:$FQ$1,2_Daily_input!$D$73:$FQ$73,"Heading"),MIN(_xlfn.MINIFS(2_Daily_input!$D$1:$FQ$1,2_Daily_input!$D$73:$FQ$73,"Heading"),_xlfn.MINIFS(2_Daily_input!$D$1:$FQ$1,2_Daily_input!$D$74:$FQ$74,"Heading")))))</f>
        <v/>
      </c>
      <c r="G36" s="51" t="str">
        <f aca="false">""</f>
        <v/>
      </c>
      <c r="H36" s="50" t="str">
        <f aca="true">IF(D36="","no plan",IF(F36&lt;&gt;"",IF(F36-D36&gt;=2,"LATE","OK"),IF(TODAY()&gt;D36+2,"OVERDUE","upcoming")))</f>
        <v>OVERDUE</v>
      </c>
      <c r="I36" s="50" t="str">
        <f aca="false">IF(AND(D36&lt;&gt;"",F36&lt;&gt;""),F36-D36,"")</f>
        <v/>
      </c>
      <c r="J36" s="51" t="n">
        <f aca="false">IF(F36&lt;&gt;"",F36,D36)</f>
        <v>46114</v>
      </c>
      <c r="K36" s="51" t="n">
        <f aca="false">IF(G36&lt;&gt;"",G36,IF(AND(F36&lt;&gt;"",E36=D36),F36,E36))</f>
        <v>46114</v>
      </c>
      <c r="L36" s="50" t="str">
        <f aca="true">IF(AND(D36&lt;&gt;"",F36="",D36&gt;=TODAY()),D36+ROW()/1000,"")</f>
        <v/>
      </c>
      <c r="M36" s="55" t="str">
        <f aca="false">IF(OR(M$2="",$D36=""),"",IF(IF(ISNUMBER($F36),AND(M$2&gt;=$F36,M$2&lt;=IF(ISNUMBER($G36),$G36,$F36+$E36-$D36)),FALSE()),2,IF(AND(M$2&gt;=$D36,M$2&lt;=$E36),1,"")))</f>
        <v/>
      </c>
      <c r="N36" s="55" t="str">
        <f aca="false">IF(OR(N$2="",$D36=""),"",IF(IF(ISNUMBER($F36),AND(N$2&gt;=$F36,N$2&lt;=IF(ISNUMBER($G36),$G36,$F36+$E36-$D36)),FALSE()),2,IF(AND(N$2&gt;=$D36,N$2&lt;=$E36),1,"")))</f>
        <v/>
      </c>
      <c r="O36" s="55" t="str">
        <f aca="false">IF(OR(O$2="",$D36=""),"",IF(IF(ISNUMBER($F36),AND(O$2&gt;=$F36,O$2&lt;=IF(ISNUMBER($G36),$G36,$F36+$E36-$D36)),FALSE()),2,IF(AND(O$2&gt;=$D36,O$2&lt;=$E36),1,"")))</f>
        <v/>
      </c>
      <c r="P36" s="55" t="str">
        <f aca="false">IF(OR(P$2="",$D36=""),"",IF(IF(ISNUMBER($F36),AND(P$2&gt;=$F36,P$2&lt;=IF(ISNUMBER($G36),$G36,$F36+$E36-$D36)),FALSE()),2,IF(AND(P$2&gt;=$D36,P$2&lt;=$E36),1,"")))</f>
        <v/>
      </c>
      <c r="Q36" s="55" t="str">
        <f aca="false">IF(OR(Q$2="",$D36=""),"",IF(IF(ISNUMBER($F36),AND(Q$2&gt;=$F36,Q$2&lt;=IF(ISNUMBER($G36),$G36,$F36+$E36-$D36)),FALSE()),2,IF(AND(Q$2&gt;=$D36,Q$2&lt;=$E36),1,"")))</f>
        <v/>
      </c>
      <c r="R36" s="55" t="str">
        <f aca="false">IF(OR(R$2="",$D36=""),"",IF(IF(ISNUMBER($F36),AND(R$2&gt;=$F36,R$2&lt;=IF(ISNUMBER($G36),$G36,$F36+$E36-$D36)),FALSE()),2,IF(AND(R$2&gt;=$D36,R$2&lt;=$E36),1,"")))</f>
        <v/>
      </c>
      <c r="S36" s="55" t="str">
        <f aca="false">IF(OR(S$2="",$D36=""),"",IF(IF(ISNUMBER($F36),AND(S$2&gt;=$F36,S$2&lt;=IF(ISNUMBER($G36),$G36,$F36+$E36-$D36)),FALSE()),2,IF(AND(S$2&gt;=$D36,S$2&lt;=$E36),1,"")))</f>
        <v/>
      </c>
      <c r="T36" s="55" t="str">
        <f aca="false">IF(OR(T$2="",$D36=""),"",IF(IF(ISNUMBER($F36),AND(T$2&gt;=$F36,T$2&lt;=IF(ISNUMBER($G36),$G36,$F36+$E36-$D36)),FALSE()),2,IF(AND(T$2&gt;=$D36,T$2&lt;=$E36),1,"")))</f>
        <v/>
      </c>
      <c r="U36" s="55" t="str">
        <f aca="false">IF(OR(U$2="",$D36=""),"",IF(IF(ISNUMBER($F36),AND(U$2&gt;=$F36,U$2&lt;=IF(ISNUMBER($G36),$G36,$F36+$E36-$D36)),FALSE()),2,IF(AND(U$2&gt;=$D36,U$2&lt;=$E36),1,"")))</f>
        <v/>
      </c>
      <c r="V36" s="55" t="str">
        <f aca="false">IF(OR(V$2="",$D36=""),"",IF(IF(ISNUMBER($F36),AND(V$2&gt;=$F36,V$2&lt;=IF(ISNUMBER($G36),$G36,$F36+$E36-$D36)),FALSE()),2,IF(AND(V$2&gt;=$D36,V$2&lt;=$E36),1,"")))</f>
        <v/>
      </c>
      <c r="W36" s="55" t="str">
        <f aca="false">IF(OR(W$2="",$D36=""),"",IF(IF(ISNUMBER($F36),AND(W$2&gt;=$F36,W$2&lt;=IF(ISNUMBER($G36),$G36,$F36+$E36-$D36)),FALSE()),2,IF(AND(W$2&gt;=$D36,W$2&lt;=$E36),1,"")))</f>
        <v/>
      </c>
      <c r="X36" s="55" t="str">
        <f aca="false">IF(OR(X$2="",$D36=""),"",IF(IF(ISNUMBER($F36),AND(X$2&gt;=$F36,X$2&lt;=IF(ISNUMBER($G36),$G36,$F36+$E36-$D36)),FALSE()),2,IF(AND(X$2&gt;=$D36,X$2&lt;=$E36),1,"")))</f>
        <v/>
      </c>
      <c r="Y36" s="55" t="str">
        <f aca="false">IF(OR(Y$2="",$D36=""),"",IF(IF(ISNUMBER($F36),AND(Y$2&gt;=$F36,Y$2&lt;=IF(ISNUMBER($G36),$G36,$F36+$E36-$D36)),FALSE()),2,IF(AND(Y$2&gt;=$D36,Y$2&lt;=$E36),1,"")))</f>
        <v/>
      </c>
      <c r="Z36" s="55" t="str">
        <f aca="false">IF(OR(Z$2="",$D36=""),"",IF(IF(ISNUMBER($F36),AND(Z$2&gt;=$F36,Z$2&lt;=IF(ISNUMBER($G36),$G36,$F36+$E36-$D36)),FALSE()),2,IF(AND(Z$2&gt;=$D36,Z$2&lt;=$E36),1,"")))</f>
        <v/>
      </c>
      <c r="AA36" s="55" t="str">
        <f aca="false">IF(OR(AA$2="",$D36=""),"",IF(IF(ISNUMBER($F36),AND(AA$2&gt;=$F36,AA$2&lt;=IF(ISNUMBER($G36),$G36,$F36+$E36-$D36)),FALSE()),2,IF(AND(AA$2&gt;=$D36,AA$2&lt;=$E36),1,"")))</f>
        <v/>
      </c>
      <c r="AB36" s="55" t="str">
        <f aca="false">IF(OR(AB$2="",$D36=""),"",IF(IF(ISNUMBER($F36),AND(AB$2&gt;=$F36,AB$2&lt;=IF(ISNUMBER($G36),$G36,$F36+$E36-$D36)),FALSE()),2,IF(AND(AB$2&gt;=$D36,AB$2&lt;=$E36),1,"")))</f>
        <v/>
      </c>
      <c r="AC36" s="55" t="str">
        <f aca="false">IF(OR(AC$2="",$D36=""),"",IF(IF(ISNUMBER($F36),AND(AC$2&gt;=$F36,AC$2&lt;=IF(ISNUMBER($G36),$G36,$F36+$E36-$D36)),FALSE()),2,IF(AND(AC$2&gt;=$D36,AC$2&lt;=$E36),1,"")))</f>
        <v/>
      </c>
      <c r="AD36" s="55" t="str">
        <f aca="false">IF(OR(AD$2="",$D36=""),"",IF(IF(ISNUMBER($F36),AND(AD$2&gt;=$F36,AD$2&lt;=IF(ISNUMBER($G36),$G36,$F36+$E36-$D36)),FALSE()),2,IF(AND(AD$2&gt;=$D36,AD$2&lt;=$E36),1,"")))</f>
        <v/>
      </c>
      <c r="AE36" s="55" t="str">
        <f aca="false">IF(OR(AE$2="",$D36=""),"",IF(IF(ISNUMBER($F36),AND(AE$2&gt;=$F36,AE$2&lt;=IF(ISNUMBER($G36),$G36,$F36+$E36-$D36)),FALSE()),2,IF(AND(AE$2&gt;=$D36,AE$2&lt;=$E36),1,"")))</f>
        <v/>
      </c>
      <c r="AF36" s="55" t="str">
        <f aca="false">IF(OR(AF$2="",$D36=""),"",IF(IF(ISNUMBER($F36),AND(AF$2&gt;=$F36,AF$2&lt;=IF(ISNUMBER($G36),$G36,$F36+$E36-$D36)),FALSE()),2,IF(AND(AF$2&gt;=$D36,AF$2&lt;=$E36),1,"")))</f>
        <v/>
      </c>
      <c r="AG36" s="55" t="str">
        <f aca="false">IF(OR(AG$2="",$D36=""),"",IF(IF(ISNUMBER($F36),AND(AG$2&gt;=$F36,AG$2&lt;=IF(ISNUMBER($G36),$G36,$F36+$E36-$D36)),FALSE()),2,IF(AND(AG$2&gt;=$D36,AG$2&lt;=$E36),1,"")))</f>
        <v/>
      </c>
      <c r="AH36" s="55" t="str">
        <f aca="false">IF(OR(AH$2="",$D36=""),"",IF(IF(ISNUMBER($F36),AND(AH$2&gt;=$F36,AH$2&lt;=IF(ISNUMBER($G36),$G36,$F36+$E36-$D36)),FALSE()),2,IF(AND(AH$2&gt;=$D36,AH$2&lt;=$E36),1,"")))</f>
        <v/>
      </c>
      <c r="AI36" s="55" t="str">
        <f aca="false">IF(OR(AI$2="",$D36=""),"",IF(IF(ISNUMBER($F36),AND(AI$2&gt;=$F36,AI$2&lt;=IF(ISNUMBER($G36),$G36,$F36+$E36-$D36)),FALSE()),2,IF(AND(AI$2&gt;=$D36,AI$2&lt;=$E36),1,"")))</f>
        <v/>
      </c>
      <c r="AJ36" s="55" t="str">
        <f aca="false">IF(OR(AJ$2="",$D36=""),"",IF(IF(ISNUMBER($F36),AND(AJ$2&gt;=$F36,AJ$2&lt;=IF(ISNUMBER($G36),$G36,$F36+$E36-$D36)),FALSE()),2,IF(AND(AJ$2&gt;=$D36,AJ$2&lt;=$E36),1,"")))</f>
        <v/>
      </c>
      <c r="AK36" s="55" t="str">
        <f aca="false">IF(OR(AK$2="",$D36=""),"",IF(IF(ISNUMBER($F36),AND(AK$2&gt;=$F36,AK$2&lt;=IF(ISNUMBER($G36),$G36,$F36+$E36-$D36)),FALSE()),2,IF(AND(AK$2&gt;=$D36,AK$2&lt;=$E36),1,"")))</f>
        <v/>
      </c>
      <c r="AL36" s="55" t="str">
        <f aca="false">IF(OR(AL$2="",$D36=""),"",IF(IF(ISNUMBER($F36),AND(AL$2&gt;=$F36,AL$2&lt;=IF(ISNUMBER($G36),$G36,$F36+$E36-$D36)),FALSE()),2,IF(AND(AL$2&gt;=$D36,AL$2&lt;=$E36),1,"")))</f>
        <v/>
      </c>
      <c r="AM36" s="55" t="str">
        <f aca="false">IF(OR(AM$2="",$D36=""),"",IF(IF(ISNUMBER($F36),AND(AM$2&gt;=$F36,AM$2&lt;=IF(ISNUMBER($G36),$G36,$F36+$E36-$D36)),FALSE()),2,IF(AND(AM$2&gt;=$D36,AM$2&lt;=$E36),1,"")))</f>
        <v/>
      </c>
      <c r="AN36" s="55" t="str">
        <f aca="false">IF(OR(AN$2="",$D36=""),"",IF(IF(ISNUMBER($F36),AND(AN$2&gt;=$F36,AN$2&lt;=IF(ISNUMBER($G36),$G36,$F36+$E36-$D36)),FALSE()),2,IF(AND(AN$2&gt;=$D36,AN$2&lt;=$E36),1,"")))</f>
        <v/>
      </c>
      <c r="AO36" s="55" t="str">
        <f aca="false">IF(OR(AO$2="",$D36=""),"",IF(IF(ISNUMBER($F36),AND(AO$2&gt;=$F36,AO$2&lt;=IF(ISNUMBER($G36),$G36,$F36+$E36-$D36)),FALSE()),2,IF(AND(AO$2&gt;=$D36,AO$2&lt;=$E36),1,"")))</f>
        <v/>
      </c>
      <c r="AP36" s="55" t="str">
        <f aca="false">IF(OR(AP$2="",$D36=""),"",IF(IF(ISNUMBER($F36),AND(AP$2&gt;=$F36,AP$2&lt;=IF(ISNUMBER($G36),$G36,$F36+$E36-$D36)),FALSE()),2,IF(AND(AP$2&gt;=$D36,AP$2&lt;=$E36),1,"")))</f>
        <v/>
      </c>
      <c r="AQ36" s="55" t="str">
        <f aca="false">IF(OR(AQ$2="",$D36=""),"",IF(IF(ISNUMBER($F36),AND(AQ$2&gt;=$F36,AQ$2&lt;=IF(ISNUMBER($G36),$G36,$F36+$E36-$D36)),FALSE()),2,IF(AND(AQ$2&gt;=$D36,AQ$2&lt;=$E36),1,"")))</f>
        <v/>
      </c>
      <c r="AR36" s="55" t="str">
        <f aca="false">IF(OR(AR$2="",$D36=""),"",IF(IF(ISNUMBER($F36),AND(AR$2&gt;=$F36,AR$2&lt;=IF(ISNUMBER($G36),$G36,$F36+$E36-$D36)),FALSE()),2,IF(AND(AR$2&gt;=$D36,AR$2&lt;=$E36),1,"")))</f>
        <v/>
      </c>
      <c r="AS36" s="55" t="str">
        <f aca="false">IF(OR(AS$2="",$D36=""),"",IF(IF(ISNUMBER($F36),AND(AS$2&gt;=$F36,AS$2&lt;=IF(ISNUMBER($G36),$G36,$F36+$E36-$D36)),FALSE()),2,IF(AND(AS$2&gt;=$D36,AS$2&lt;=$E36),1,"")))</f>
        <v/>
      </c>
      <c r="AT36" s="55" t="str">
        <f aca="false">IF(OR(AT$2="",$D36=""),"",IF(IF(ISNUMBER($F36),AND(AT$2&gt;=$F36,AT$2&lt;=IF(ISNUMBER($G36),$G36,$F36+$E36-$D36)),FALSE()),2,IF(AND(AT$2&gt;=$D36,AT$2&lt;=$E36),1,"")))</f>
        <v/>
      </c>
      <c r="AU36" s="55" t="str">
        <f aca="false">IF(OR(AU$2="",$D36=""),"",IF(IF(ISNUMBER($F36),AND(AU$2&gt;=$F36,AU$2&lt;=IF(ISNUMBER($G36),$G36,$F36+$E36-$D36)),FALSE()),2,IF(AND(AU$2&gt;=$D36,AU$2&lt;=$E36),1,"")))</f>
        <v/>
      </c>
      <c r="AV36" s="55" t="str">
        <f aca="false">IF(OR(AV$2="",$D36=""),"",IF(IF(ISNUMBER($F36),AND(AV$2&gt;=$F36,AV$2&lt;=IF(ISNUMBER($G36),$G36,$F36+$E36-$D36)),FALSE()),2,IF(AND(AV$2&gt;=$D36,AV$2&lt;=$E36),1,"")))</f>
        <v/>
      </c>
      <c r="AW36" s="55" t="str">
        <f aca="false">IF(OR(AW$2="",$D36=""),"",IF(IF(ISNUMBER($F36),AND(AW$2&gt;=$F36,AW$2&lt;=IF(ISNUMBER($G36),$G36,$F36+$E36-$D36)),FALSE()),2,IF(AND(AW$2&gt;=$D36,AW$2&lt;=$E36),1,"")))</f>
        <v/>
      </c>
      <c r="AX36" s="55" t="str">
        <f aca="false">IF(OR(AX$2="",$D36=""),"",IF(IF(ISNUMBER($F36),AND(AX$2&gt;=$F36,AX$2&lt;=IF(ISNUMBER($G36),$G36,$F36+$E36-$D36)),FALSE()),2,IF(AND(AX$2&gt;=$D36,AX$2&lt;=$E36),1,"")))</f>
        <v/>
      </c>
      <c r="AY36" s="55" t="str">
        <f aca="false">IF(OR(AY$2="",$D36=""),"",IF(IF(ISNUMBER($F36),AND(AY$2&gt;=$F36,AY$2&lt;=IF(ISNUMBER($G36),$G36,$F36+$E36-$D36)),FALSE()),2,IF(AND(AY$2&gt;=$D36,AY$2&lt;=$E36),1,"")))</f>
        <v/>
      </c>
      <c r="AZ36" s="55" t="str">
        <f aca="false">IF(OR(AZ$2="",$D36=""),"",IF(IF(ISNUMBER($F36),AND(AZ$2&gt;=$F36,AZ$2&lt;=IF(ISNUMBER($G36),$G36,$F36+$E36-$D36)),FALSE()),2,IF(AND(AZ$2&gt;=$D36,AZ$2&lt;=$E36),1,"")))</f>
        <v/>
      </c>
      <c r="BA36" s="55" t="str">
        <f aca="false">IF(OR(BA$2="",$D36=""),"",IF(IF(ISNUMBER($F36),AND(BA$2&gt;=$F36,BA$2&lt;=IF(ISNUMBER($G36),$G36,$F36+$E36-$D36)),FALSE()),2,IF(AND(BA$2&gt;=$D36,BA$2&lt;=$E36),1,"")))</f>
        <v/>
      </c>
      <c r="BB36" s="55" t="str">
        <f aca="false">IF(OR(BB$2="",$D36=""),"",IF(IF(ISNUMBER($F36),AND(BB$2&gt;=$F36,BB$2&lt;=IF(ISNUMBER($G36),$G36,$F36+$E36-$D36)),FALSE()),2,IF(AND(BB$2&gt;=$D36,BB$2&lt;=$E36),1,"")))</f>
        <v/>
      </c>
      <c r="BC36" s="55" t="str">
        <f aca="false">IF(OR(BC$2="",$D36=""),"",IF(IF(ISNUMBER($F36),AND(BC$2&gt;=$F36,BC$2&lt;=IF(ISNUMBER($G36),$G36,$F36+$E36-$D36)),FALSE()),2,IF(AND(BC$2&gt;=$D36,BC$2&lt;=$E36),1,"")))</f>
        <v/>
      </c>
      <c r="BD36" s="55" t="str">
        <f aca="false">IF(OR(BD$2="",$D36=""),"",IF(IF(ISNUMBER($F36),AND(BD$2&gt;=$F36,BD$2&lt;=IF(ISNUMBER($G36),$G36,$F36+$E36-$D36)),FALSE()),2,IF(AND(BD$2&gt;=$D36,BD$2&lt;=$E36),1,"")))</f>
        <v/>
      </c>
      <c r="BE36" s="55" t="str">
        <f aca="false">IF(OR(BE$2="",$D36=""),"",IF(IF(ISNUMBER($F36),AND(BE$2&gt;=$F36,BE$2&lt;=IF(ISNUMBER($G36),$G36,$F36+$E36-$D36)),FALSE()),2,IF(AND(BE$2&gt;=$D36,BE$2&lt;=$E36),1,"")))</f>
        <v/>
      </c>
      <c r="BF36" s="55" t="str">
        <f aca="false">IF(OR(BF$2="",$D36=""),"",IF(IF(ISNUMBER($F36),AND(BF$2&gt;=$F36,BF$2&lt;=IF(ISNUMBER($G36),$G36,$F36+$E36-$D36)),FALSE()),2,IF(AND(BF$2&gt;=$D36,BF$2&lt;=$E36),1,"")))</f>
        <v/>
      </c>
      <c r="BG36" s="55" t="str">
        <f aca="false">IF(OR(BG$2="",$D36=""),"",IF(IF(ISNUMBER($F36),AND(BG$2&gt;=$F36,BG$2&lt;=IF(ISNUMBER($G36),$G36,$F36+$E36-$D36)),FALSE()),2,IF(AND(BG$2&gt;=$D36,BG$2&lt;=$E36),1,"")))</f>
        <v/>
      </c>
      <c r="BH36" s="55" t="str">
        <f aca="false">IF(OR(BH$2="",$D36=""),"",IF(IF(ISNUMBER($F36),AND(BH$2&gt;=$F36,BH$2&lt;=IF(ISNUMBER($G36),$G36,$F36+$E36-$D36)),FALSE()),2,IF(AND(BH$2&gt;=$D36,BH$2&lt;=$E36),1,"")))</f>
        <v/>
      </c>
      <c r="BI36" s="55" t="str">
        <f aca="false">IF(OR(BI$2="",$D36=""),"",IF(IF(ISNUMBER($F36),AND(BI$2&gt;=$F36,BI$2&lt;=IF(ISNUMBER($G36),$G36,$F36+$E36-$D36)),FALSE()),2,IF(AND(BI$2&gt;=$D36,BI$2&lt;=$E36),1,"")))</f>
        <v/>
      </c>
      <c r="BJ36" s="55" t="str">
        <f aca="false">IF(OR(BJ$2="",$D36=""),"",IF(IF(ISNUMBER($F36),AND(BJ$2&gt;=$F36,BJ$2&lt;=IF(ISNUMBER($G36),$G36,$F36+$E36-$D36)),FALSE()),2,IF(AND(BJ$2&gt;=$D36,BJ$2&lt;=$E36),1,"")))</f>
        <v/>
      </c>
      <c r="BK36" s="55" t="str">
        <f aca="false">IF(OR(BK$2="",$D36=""),"",IF(IF(ISNUMBER($F36),AND(BK$2&gt;=$F36,BK$2&lt;=IF(ISNUMBER($G36),$G36,$F36+$E36-$D36)),FALSE()),2,IF(AND(BK$2&gt;=$D36,BK$2&lt;=$E36),1,"")))</f>
        <v/>
      </c>
      <c r="BL36" s="55" t="str">
        <f aca="false">IF(OR(BL$2="",$D36=""),"",IF(IF(ISNUMBER($F36),AND(BL$2&gt;=$F36,BL$2&lt;=IF(ISNUMBER($G36),$G36,$F36+$E36-$D36)),FALSE()),2,IF(AND(BL$2&gt;=$D36,BL$2&lt;=$E36),1,"")))</f>
        <v/>
      </c>
      <c r="BM36" s="55" t="str">
        <f aca="false">IF(OR(BM$2="",$D36=""),"",IF(IF(ISNUMBER($F36),AND(BM$2&gt;=$F36,BM$2&lt;=IF(ISNUMBER($G36),$G36,$F36+$E36-$D36)),FALSE()),2,IF(AND(BM$2&gt;=$D36,BM$2&lt;=$E36),1,"")))</f>
        <v/>
      </c>
      <c r="BN36" s="55" t="str">
        <f aca="false">IF(OR(BN$2="",$D36=""),"",IF(IF(ISNUMBER($F36),AND(BN$2&gt;=$F36,BN$2&lt;=IF(ISNUMBER($G36),$G36,$F36+$E36-$D36)),FALSE()),2,IF(AND(BN$2&gt;=$D36,BN$2&lt;=$E36),1,"")))</f>
        <v/>
      </c>
      <c r="BO36" s="55" t="str">
        <f aca="false">IF(OR(BO$2="",$D36=""),"",IF(IF(ISNUMBER($F36),AND(BO$2&gt;=$F36,BO$2&lt;=IF(ISNUMBER($G36),$G36,$F36+$E36-$D36)),FALSE()),2,IF(AND(BO$2&gt;=$D36,BO$2&lt;=$E36),1,"")))</f>
        <v/>
      </c>
      <c r="BP36" s="55" t="str">
        <f aca="false">IF(OR(BP$2="",$D36=""),"",IF(IF(ISNUMBER($F36),AND(BP$2&gt;=$F36,BP$2&lt;=IF(ISNUMBER($G36),$G36,$F36+$E36-$D36)),FALSE()),2,IF(AND(BP$2&gt;=$D36,BP$2&lt;=$E36),1,"")))</f>
        <v/>
      </c>
      <c r="BQ36" s="55" t="str">
        <f aca="false">IF(OR(BQ$2="",$D36=""),"",IF(IF(ISNUMBER($F36),AND(BQ$2&gt;=$F36,BQ$2&lt;=IF(ISNUMBER($G36),$G36,$F36+$E36-$D36)),FALSE()),2,IF(AND(BQ$2&gt;=$D36,BQ$2&lt;=$E36),1,"")))</f>
        <v/>
      </c>
      <c r="BR36" s="55" t="str">
        <f aca="false">IF(OR(BR$2="",$D36=""),"",IF(IF(ISNUMBER($F36),AND(BR$2&gt;=$F36,BR$2&lt;=IF(ISNUMBER($G36),$G36,$F36+$E36-$D36)),FALSE()),2,IF(AND(BR$2&gt;=$D36,BR$2&lt;=$E36),1,"")))</f>
        <v/>
      </c>
      <c r="BS36" s="55" t="str">
        <f aca="false">IF(OR(BS$2="",$D36=""),"",IF(IF(ISNUMBER($F36),AND(BS$2&gt;=$F36,BS$2&lt;=IF(ISNUMBER($G36),$G36,$F36+$E36-$D36)),FALSE()),2,IF(AND(BS$2&gt;=$D36,BS$2&lt;=$E36),1,"")))</f>
        <v/>
      </c>
      <c r="BT36" s="55" t="str">
        <f aca="false">IF(OR(BT$2="",$D36=""),"",IF(IF(ISNUMBER($F36),AND(BT$2&gt;=$F36,BT$2&lt;=IF(ISNUMBER($G36),$G36,$F36+$E36-$D36)),FALSE()),2,IF(AND(BT$2&gt;=$D36,BT$2&lt;=$E36),1,"")))</f>
        <v/>
      </c>
      <c r="BU36" s="55" t="str">
        <f aca="false">IF(OR(BU$2="",$D36=""),"",IF(IF(ISNUMBER($F36),AND(BU$2&gt;=$F36,BU$2&lt;=IF(ISNUMBER($G36),$G36,$F36+$E36-$D36)),FALSE()),2,IF(AND(BU$2&gt;=$D36,BU$2&lt;=$E36),1,"")))</f>
        <v/>
      </c>
      <c r="BV36" s="55" t="str">
        <f aca="false">IF(OR(BV$2="",$D36=""),"",IF(IF(ISNUMBER($F36),AND(BV$2&gt;=$F36,BV$2&lt;=IF(ISNUMBER($G36),$G36,$F36+$E36-$D36)),FALSE()),2,IF(AND(BV$2&gt;=$D36,BV$2&lt;=$E36),1,"")))</f>
        <v/>
      </c>
      <c r="BW36" s="55" t="str">
        <f aca="false">IF(OR(BW$2="",$D36=""),"",IF(IF(ISNUMBER($F36),AND(BW$2&gt;=$F36,BW$2&lt;=IF(ISNUMBER($G36),$G36,$F36+$E36-$D36)),FALSE()),2,IF(AND(BW$2&gt;=$D36,BW$2&lt;=$E36),1,"")))</f>
        <v/>
      </c>
      <c r="BX36" s="55" t="str">
        <f aca="false">IF(OR(BX$2="",$D36=""),"",IF(IF(ISNUMBER($F36),AND(BX$2&gt;=$F36,BX$2&lt;=IF(ISNUMBER($G36),$G36,$F36+$E36-$D36)),FALSE()),2,IF(AND(BX$2&gt;=$D36,BX$2&lt;=$E36),1,"")))</f>
        <v/>
      </c>
      <c r="BY36" s="55" t="str">
        <f aca="false">IF(OR(BY$2="",$D36=""),"",IF(IF(ISNUMBER($F36),AND(BY$2&gt;=$F36,BY$2&lt;=IF(ISNUMBER($G36),$G36,$F36+$E36-$D36)),FALSE()),2,IF(AND(BY$2&gt;=$D36,BY$2&lt;=$E36),1,"")))</f>
        <v/>
      </c>
      <c r="BZ36" s="55" t="str">
        <f aca="false">IF(OR(BZ$2="",$D36=""),"",IF(IF(ISNUMBER($F36),AND(BZ$2&gt;=$F36,BZ$2&lt;=IF(ISNUMBER($G36),$G36,$F36+$E36-$D36)),FALSE()),2,IF(AND(BZ$2&gt;=$D36,BZ$2&lt;=$E36),1,"")))</f>
        <v/>
      </c>
      <c r="CA36" s="55" t="str">
        <f aca="false">IF(OR(CA$2="",$D36=""),"",IF(IF(ISNUMBER($F36),AND(CA$2&gt;=$F36,CA$2&lt;=IF(ISNUMBER($G36),$G36,$F36+$E36-$D36)),FALSE()),2,IF(AND(CA$2&gt;=$D36,CA$2&lt;=$E36),1,"")))</f>
        <v/>
      </c>
      <c r="CB36" s="55" t="str">
        <f aca="false">IF(OR(CB$2="",$D36=""),"",IF(IF(ISNUMBER($F36),AND(CB$2&gt;=$F36,CB$2&lt;=IF(ISNUMBER($G36),$G36,$F36+$E36-$D36)),FALSE()),2,IF(AND(CB$2&gt;=$D36,CB$2&lt;=$E36),1,"")))</f>
        <v/>
      </c>
      <c r="CC36" s="55" t="str">
        <f aca="false">IF(OR(CC$2="",$D36=""),"",IF(IF(ISNUMBER($F36),AND(CC$2&gt;=$F36,CC$2&lt;=IF(ISNUMBER($G36),$G36,$F36+$E36-$D36)),FALSE()),2,IF(AND(CC$2&gt;=$D36,CC$2&lt;=$E36),1,"")))</f>
        <v/>
      </c>
      <c r="CD36" s="55" t="str">
        <f aca="false">IF(OR(CD$2="",$D36=""),"",IF(IF(ISNUMBER($F36),AND(CD$2&gt;=$F36,CD$2&lt;=IF(ISNUMBER($G36),$G36,$F36+$E36-$D36)),FALSE()),2,IF(AND(CD$2&gt;=$D36,CD$2&lt;=$E36),1,"")))</f>
        <v/>
      </c>
      <c r="CE36" s="55" t="str">
        <f aca="false">IF(OR(CE$2="",$D36=""),"",IF(IF(ISNUMBER($F36),AND(CE$2&gt;=$F36,CE$2&lt;=IF(ISNUMBER($G36),$G36,$F36+$E36-$D36)),FALSE()),2,IF(AND(CE$2&gt;=$D36,CE$2&lt;=$E36),1,"")))</f>
        <v/>
      </c>
      <c r="CF36" s="55" t="str">
        <f aca="false">IF(OR(CF$2="",$D36=""),"",IF(IF(ISNUMBER($F36),AND(CF$2&gt;=$F36,CF$2&lt;=IF(ISNUMBER($G36),$G36,$F36+$E36-$D36)),FALSE()),2,IF(AND(CF$2&gt;=$D36,CF$2&lt;=$E36),1,"")))</f>
        <v/>
      </c>
      <c r="CG36" s="55" t="str">
        <f aca="false">IF(OR(CG$2="",$D36=""),"",IF(IF(ISNUMBER($F36),AND(CG$2&gt;=$F36,CG$2&lt;=IF(ISNUMBER($G36),$G36,$F36+$E36-$D36)),FALSE()),2,IF(AND(CG$2&gt;=$D36,CG$2&lt;=$E36),1,"")))</f>
        <v/>
      </c>
      <c r="CH36" s="55" t="str">
        <f aca="false">IF(OR(CH$2="",$D36=""),"",IF(IF(ISNUMBER($F36),AND(CH$2&gt;=$F36,CH$2&lt;=IF(ISNUMBER($G36),$G36,$F36+$E36-$D36)),FALSE()),2,IF(AND(CH$2&gt;=$D36,CH$2&lt;=$E36),1,"")))</f>
        <v/>
      </c>
      <c r="CI36" s="55" t="str">
        <f aca="false">IF(OR(CI$2="",$D36=""),"",IF(IF(ISNUMBER($F36),AND(CI$2&gt;=$F36,CI$2&lt;=IF(ISNUMBER($G36),$G36,$F36+$E36-$D36)),FALSE()),2,IF(AND(CI$2&gt;=$D36,CI$2&lt;=$E36),1,"")))</f>
        <v/>
      </c>
      <c r="CJ36" s="55" t="str">
        <f aca="false">IF(OR(CJ$2="",$D36=""),"",IF(IF(ISNUMBER($F36),AND(CJ$2&gt;=$F36,CJ$2&lt;=IF(ISNUMBER($G36),$G36,$F36+$E36-$D36)),FALSE()),2,IF(AND(CJ$2&gt;=$D36,CJ$2&lt;=$E36),1,"")))</f>
        <v/>
      </c>
      <c r="CK36" s="55" t="str">
        <f aca="false">IF(OR(CK$2="",$D36=""),"",IF(IF(ISNUMBER($F36),AND(CK$2&gt;=$F36,CK$2&lt;=IF(ISNUMBER($G36),$G36,$F36+$E36-$D36)),FALSE()),2,IF(AND(CK$2&gt;=$D36,CK$2&lt;=$E36),1,"")))</f>
        <v/>
      </c>
      <c r="CL36" s="55" t="str">
        <f aca="false">IF(OR(CL$2="",$D36=""),"",IF(IF(ISNUMBER($F36),AND(CL$2&gt;=$F36,CL$2&lt;=IF(ISNUMBER($G36),$G36,$F36+$E36-$D36)),FALSE()),2,IF(AND(CL$2&gt;=$D36,CL$2&lt;=$E36),1,"")))</f>
        <v/>
      </c>
      <c r="CM36" s="55" t="str">
        <f aca="false">IF(OR(CM$2="",$D36=""),"",IF(IF(ISNUMBER($F36),AND(CM$2&gt;=$F36,CM$2&lt;=IF(ISNUMBER($G36),$G36,$F36+$E36-$D36)),FALSE()),2,IF(AND(CM$2&gt;=$D36,CM$2&lt;=$E36),1,"")))</f>
        <v/>
      </c>
      <c r="CN36" s="55" t="str">
        <f aca="false">IF(OR(CN$2="",$D36=""),"",IF(IF(ISNUMBER($F36),AND(CN$2&gt;=$F36,CN$2&lt;=IF(ISNUMBER($G36),$G36,$F36+$E36-$D36)),FALSE()),2,IF(AND(CN$2&gt;=$D36,CN$2&lt;=$E36),1,"")))</f>
        <v/>
      </c>
      <c r="CO36" s="55" t="str">
        <f aca="false">IF(OR(CO$2="",$D36=""),"",IF(IF(ISNUMBER($F36),AND(CO$2&gt;=$F36,CO$2&lt;=IF(ISNUMBER($G36),$G36,$F36+$E36-$D36)),FALSE()),2,IF(AND(CO$2&gt;=$D36,CO$2&lt;=$E36),1,"")))</f>
        <v/>
      </c>
      <c r="CP36" s="55" t="str">
        <f aca="false">IF(OR(CP$2="",$D36=""),"",IF(IF(ISNUMBER($F36),AND(CP$2&gt;=$F36,CP$2&lt;=IF(ISNUMBER($G36),$G36,$F36+$E36-$D36)),FALSE()),2,IF(AND(CP$2&gt;=$D36,CP$2&lt;=$E36),1,"")))</f>
        <v/>
      </c>
      <c r="CQ36" s="55" t="str">
        <f aca="false">IF(OR(CQ$2="",$D36=""),"",IF(IF(ISNUMBER($F36),AND(CQ$2&gt;=$F36,CQ$2&lt;=IF(ISNUMBER($G36),$G36,$F36+$E36-$D36)),FALSE()),2,IF(AND(CQ$2&gt;=$D36,CQ$2&lt;=$E36),1,"")))</f>
        <v/>
      </c>
      <c r="CR36" s="55" t="str">
        <f aca="false">IF(OR(CR$2="",$D36=""),"",IF(IF(ISNUMBER($F36),AND(CR$2&gt;=$F36,CR$2&lt;=IF(ISNUMBER($G36),$G36,$F36+$E36-$D36)),FALSE()),2,IF(AND(CR$2&gt;=$D36,CR$2&lt;=$E36),1,"")))</f>
        <v/>
      </c>
      <c r="CS36" s="55" t="str">
        <f aca="false">IF(OR(CS$2="",$D36=""),"",IF(IF(ISNUMBER($F36),AND(CS$2&gt;=$F36,CS$2&lt;=IF(ISNUMBER($G36),$G36,$F36+$E36-$D36)),FALSE()),2,IF(AND(CS$2&gt;=$D36,CS$2&lt;=$E36),1,"")))</f>
        <v/>
      </c>
      <c r="CT36" s="55" t="str">
        <f aca="false">IF(OR(CT$2="",$D36=""),"",IF(IF(ISNUMBER($F36),AND(CT$2&gt;=$F36,CT$2&lt;=IF(ISNUMBER($G36),$G36,$F36+$E36-$D36)),FALSE()),2,IF(AND(CT$2&gt;=$D36,CT$2&lt;=$E36),1,"")))</f>
        <v/>
      </c>
      <c r="CU36" s="55" t="str">
        <f aca="false">IF(OR(CU$2="",$D36=""),"",IF(IF(ISNUMBER($F36),AND(CU$2&gt;=$F36,CU$2&lt;=IF(ISNUMBER($G36),$G36,$F36+$E36-$D36)),FALSE()),2,IF(AND(CU$2&gt;=$D36,CU$2&lt;=$E36),1,"")))</f>
        <v/>
      </c>
      <c r="CV36" s="55" t="str">
        <f aca="false">IF(OR(CV$2="",$D36=""),"",IF(IF(ISNUMBER($F36),AND(CV$2&gt;=$F36,CV$2&lt;=IF(ISNUMBER($G36),$G36,$F36+$E36-$D36)),FALSE()),2,IF(AND(CV$2&gt;=$D36,CV$2&lt;=$E36),1,"")))</f>
        <v/>
      </c>
      <c r="CW36" s="55" t="str">
        <f aca="false">IF(OR(CW$2="",$D36=""),"",IF(IF(ISNUMBER($F36),AND(CW$2&gt;=$F36,CW$2&lt;=IF(ISNUMBER($G36),$G36,$F36+$E36-$D36)),FALSE()),2,IF(AND(CW$2&gt;=$D36,CW$2&lt;=$E36),1,"")))</f>
        <v/>
      </c>
      <c r="CX36" s="55" t="str">
        <f aca="false">IF(OR(CX$2="",$D36=""),"",IF(IF(ISNUMBER($F36),AND(CX$2&gt;=$F36,CX$2&lt;=IF(ISNUMBER($G36),$G36,$F36+$E36-$D36)),FALSE()),2,IF(AND(CX$2&gt;=$D36,CX$2&lt;=$E36),1,"")))</f>
        <v/>
      </c>
      <c r="CY36" s="55" t="str">
        <f aca="false">IF(OR(CY$2="",$D36=""),"",IF(IF(ISNUMBER($F36),AND(CY$2&gt;=$F36,CY$2&lt;=IF(ISNUMBER($G36),$G36,$F36+$E36-$D36)),FALSE()),2,IF(AND(CY$2&gt;=$D36,CY$2&lt;=$E36),1,"")))</f>
        <v/>
      </c>
      <c r="CZ36" s="55" t="str">
        <f aca="false">IF(OR(CZ$2="",$D36=""),"",IF(IF(ISNUMBER($F36),AND(CZ$2&gt;=$F36,CZ$2&lt;=IF(ISNUMBER($G36),$G36,$F36+$E36-$D36)),FALSE()),2,IF(AND(CZ$2&gt;=$D36,CZ$2&lt;=$E36),1,"")))</f>
        <v/>
      </c>
      <c r="DA36" s="55" t="str">
        <f aca="false">IF(OR(DA$2="",$D36=""),"",IF(IF(ISNUMBER($F36),AND(DA$2&gt;=$F36,DA$2&lt;=IF(ISNUMBER($G36),$G36,$F36+$E36-$D36)),FALSE()),2,IF(AND(DA$2&gt;=$D36,DA$2&lt;=$E36),1,"")))</f>
        <v/>
      </c>
      <c r="DB36" s="55" t="str">
        <f aca="false">IF(OR(DB$2="",$D36=""),"",IF(IF(ISNUMBER($F36),AND(DB$2&gt;=$F36,DB$2&lt;=IF(ISNUMBER($G36),$G36,$F36+$E36-$D36)),FALSE()),2,IF(AND(DB$2&gt;=$D36,DB$2&lt;=$E36),1,"")))</f>
        <v/>
      </c>
      <c r="DC36" s="55" t="str">
        <f aca="false">IF(OR(DC$2="",$D36=""),"",IF(IF(ISNUMBER($F36),AND(DC$2&gt;=$F36,DC$2&lt;=IF(ISNUMBER($G36),$G36,$F36+$E36-$D36)),FALSE()),2,IF(AND(DC$2&gt;=$D36,DC$2&lt;=$E36),1,"")))</f>
        <v/>
      </c>
      <c r="DD36" s="55" t="str">
        <f aca="false">IF(OR(DD$2="",$D36=""),"",IF(IF(ISNUMBER($F36),AND(DD$2&gt;=$F36,DD$2&lt;=IF(ISNUMBER($G36),$G36,$F36+$E36-$D36)),FALSE()),2,IF(AND(DD$2&gt;=$D36,DD$2&lt;=$E36),1,"")))</f>
        <v/>
      </c>
      <c r="DE36" s="55" t="str">
        <f aca="false">IF(OR(DE$2="",$D36=""),"",IF(IF(ISNUMBER($F36),AND(DE$2&gt;=$F36,DE$2&lt;=IF(ISNUMBER($G36),$G36,$F36+$E36-$D36)),FALSE()),2,IF(AND(DE$2&gt;=$D36,DE$2&lt;=$E36),1,"")))</f>
        <v/>
      </c>
      <c r="DF36" s="55" t="str">
        <f aca="false">IF(OR(DF$2="",$D36=""),"",IF(IF(ISNUMBER($F36),AND(DF$2&gt;=$F36,DF$2&lt;=IF(ISNUMBER($G36),$G36,$F36+$E36-$D36)),FALSE()),2,IF(AND(DF$2&gt;=$D36,DF$2&lt;=$E36),1,"")))</f>
        <v/>
      </c>
      <c r="DG36" s="55" t="str">
        <f aca="false">IF(OR(DG$2="",$D36=""),"",IF(IF(ISNUMBER($F36),AND(DG$2&gt;=$F36,DG$2&lt;=IF(ISNUMBER($G36),$G36,$F36+$E36-$D36)),FALSE()),2,IF(AND(DG$2&gt;=$D36,DG$2&lt;=$E36),1,"")))</f>
        <v/>
      </c>
      <c r="DH36" s="55" t="str">
        <f aca="false">IF(OR(DH$2="",$D36=""),"",IF(IF(ISNUMBER($F36),AND(DH$2&gt;=$F36,DH$2&lt;=IF(ISNUMBER($G36),$G36,$F36+$E36-$D36)),FALSE()),2,IF(AND(DH$2&gt;=$D36,DH$2&lt;=$E36),1,"")))</f>
        <v/>
      </c>
      <c r="DI36" s="55" t="str">
        <f aca="false">IF(OR(DI$2="",$D36=""),"",IF(IF(ISNUMBER($F36),AND(DI$2&gt;=$F36,DI$2&lt;=IF(ISNUMBER($G36),$G36,$F36+$E36-$D36)),FALSE()),2,IF(AND(DI$2&gt;=$D36,DI$2&lt;=$E36),1,"")))</f>
        <v/>
      </c>
      <c r="DJ36" s="55" t="str">
        <f aca="false">IF(OR(DJ$2="",$D36=""),"",IF(IF(ISNUMBER($F36),AND(DJ$2&gt;=$F36,DJ$2&lt;=IF(ISNUMBER($G36),$G36,$F36+$E36-$D36)),FALSE()),2,IF(AND(DJ$2&gt;=$D36,DJ$2&lt;=$E36),1,"")))</f>
        <v/>
      </c>
      <c r="DK36" s="55" t="str">
        <f aca="false">IF(OR(DK$2="",$D36=""),"",IF(IF(ISNUMBER($F36),AND(DK$2&gt;=$F36,DK$2&lt;=IF(ISNUMBER($G36),$G36,$F36+$E36-$D36)),FALSE()),2,IF(AND(DK$2&gt;=$D36,DK$2&lt;=$E36),1,"")))</f>
        <v/>
      </c>
      <c r="DL36" s="55" t="str">
        <f aca="false">IF(OR(DL$2="",$D36=""),"",IF(IF(ISNUMBER($F36),AND(DL$2&gt;=$F36,DL$2&lt;=IF(ISNUMBER($G36),$G36,$F36+$E36-$D36)),FALSE()),2,IF(AND(DL$2&gt;=$D36,DL$2&lt;=$E36),1,"")))</f>
        <v/>
      </c>
      <c r="DM36" s="55" t="str">
        <f aca="false">IF(OR(DM$2="",$D36=""),"",IF(IF(ISNUMBER($F36),AND(DM$2&gt;=$F36,DM$2&lt;=IF(ISNUMBER($G36),$G36,$F36+$E36-$D36)),FALSE()),2,IF(AND(DM$2&gt;=$D36,DM$2&lt;=$E36),1,"")))</f>
        <v/>
      </c>
      <c r="DN36" s="55" t="str">
        <f aca="false">IF(OR(DN$2="",$D36=""),"",IF(IF(ISNUMBER($F36),AND(DN$2&gt;=$F36,DN$2&lt;=IF(ISNUMBER($G36),$G36,$F36+$E36-$D36)),FALSE()),2,IF(AND(DN$2&gt;=$D36,DN$2&lt;=$E36),1,"")))</f>
        <v/>
      </c>
      <c r="DO36" s="55" t="str">
        <f aca="false">IF(OR(DO$2="",$D36=""),"",IF(IF(ISNUMBER($F36),AND(DO$2&gt;=$F36,DO$2&lt;=IF(ISNUMBER($G36),$G36,$F36+$E36-$D36)),FALSE()),2,IF(AND(DO$2&gt;=$D36,DO$2&lt;=$E36),1,"")))</f>
        <v/>
      </c>
      <c r="DP36" s="55" t="str">
        <f aca="false">IF(OR(DP$2="",$D36=""),"",IF(IF(ISNUMBER($F36),AND(DP$2&gt;=$F36,DP$2&lt;=IF(ISNUMBER($G36),$G36,$F36+$E36-$D36)),FALSE()),2,IF(AND(DP$2&gt;=$D36,DP$2&lt;=$E36),1,"")))</f>
        <v/>
      </c>
      <c r="DQ36" s="55" t="str">
        <f aca="false">IF(OR(DQ$2="",$D36=""),"",IF(IF(ISNUMBER($F36),AND(DQ$2&gt;=$F36,DQ$2&lt;=IF(ISNUMBER($G36),$G36,$F36+$E36-$D36)),FALSE()),2,IF(AND(DQ$2&gt;=$D36,DQ$2&lt;=$E36),1,"")))</f>
        <v/>
      </c>
      <c r="DR36" s="55" t="str">
        <f aca="false">IF(OR(DR$2="",$D36=""),"",IF(IF(ISNUMBER($F36),AND(DR$2&gt;=$F36,DR$2&lt;=IF(ISNUMBER($G36),$G36,$F36+$E36-$D36)),FALSE()),2,IF(AND(DR$2&gt;=$D36,DR$2&lt;=$E36),1,"")))</f>
        <v/>
      </c>
      <c r="DS36" s="55" t="str">
        <f aca="false">IF(OR(DS$2="",$D36=""),"",IF(IF(ISNUMBER($F36),AND(DS$2&gt;=$F36,DS$2&lt;=IF(ISNUMBER($G36),$G36,$F36+$E36-$D36)),FALSE()),2,IF(AND(DS$2&gt;=$D36,DS$2&lt;=$E36),1,"")))</f>
        <v/>
      </c>
      <c r="DT36" s="55" t="str">
        <f aca="false">IF(OR(DT$2="",$D36=""),"",IF(IF(ISNUMBER($F36),AND(DT$2&gt;=$F36,DT$2&lt;=IF(ISNUMBER($G36),$G36,$F36+$E36-$D36)),FALSE()),2,IF(AND(DT$2&gt;=$D36,DT$2&lt;=$E36),1,"")))</f>
        <v/>
      </c>
      <c r="DU36" s="55" t="str">
        <f aca="false">IF(OR(DU$2="",$D36=""),"",IF(IF(ISNUMBER($F36),AND(DU$2&gt;=$F36,DU$2&lt;=IF(ISNUMBER($G36),$G36,$F36+$E36-$D36)),FALSE()),2,IF(AND(DU$2&gt;=$D36,DU$2&lt;=$E36),1,"")))</f>
        <v/>
      </c>
      <c r="DV36" s="55" t="str">
        <f aca="false">IF(OR(DV$2="",$D36=""),"",IF(IF(ISNUMBER($F36),AND(DV$2&gt;=$F36,DV$2&lt;=IF(ISNUMBER($G36),$G36,$F36+$E36-$D36)),FALSE()),2,IF(AND(DV$2&gt;=$D36,DV$2&lt;=$E36),1,"")))</f>
        <v/>
      </c>
      <c r="DW36" s="55" t="str">
        <f aca="false">IF(OR(DW$2="",$D36=""),"",IF(IF(ISNUMBER($F36),AND(DW$2&gt;=$F36,DW$2&lt;=IF(ISNUMBER($G36),$G36,$F36+$E36-$D36)),FALSE()),2,IF(AND(DW$2&gt;=$D36,DW$2&lt;=$E36),1,"")))</f>
        <v/>
      </c>
      <c r="DX36" s="55" t="str">
        <f aca="false">IF(OR(DX$2="",$D36=""),"",IF(IF(ISNUMBER($F36),AND(DX$2&gt;=$F36,DX$2&lt;=IF(ISNUMBER($G36),$G36,$F36+$E36-$D36)),FALSE()),2,IF(AND(DX$2&gt;=$D36,DX$2&lt;=$E36),1,"")))</f>
        <v/>
      </c>
      <c r="DY36" s="55" t="str">
        <f aca="false">IF(OR(DY$2="",$D36=""),"",IF(IF(ISNUMBER($F36),AND(DY$2&gt;=$F36,DY$2&lt;=IF(ISNUMBER($G36),$G36,$F36+$E36-$D36)),FALSE()),2,IF(AND(DY$2&gt;=$D36,DY$2&lt;=$E36),1,"")))</f>
        <v/>
      </c>
      <c r="DZ36" s="55" t="str">
        <f aca="false">IF(OR(DZ$2="",$D36=""),"",IF(IF(ISNUMBER($F36),AND(DZ$2&gt;=$F36,DZ$2&lt;=IF(ISNUMBER($G36),$G36,$F36+$E36-$D36)),FALSE()),2,IF(AND(DZ$2&gt;=$D36,DZ$2&lt;=$E36),1,"")))</f>
        <v/>
      </c>
      <c r="EA36" s="55" t="str">
        <f aca="false">IF(OR(EA$2="",$D36=""),"",IF(IF(ISNUMBER($F36),AND(EA$2&gt;=$F36,EA$2&lt;=IF(ISNUMBER($G36),$G36,$F36+$E36-$D36)),FALSE()),2,IF(AND(EA$2&gt;=$D36,EA$2&lt;=$E36),1,"")))</f>
        <v/>
      </c>
      <c r="EB36" s="55" t="str">
        <f aca="false">IF(OR(EB$2="",$D36=""),"",IF(IF(ISNUMBER($F36),AND(EB$2&gt;=$F36,EB$2&lt;=IF(ISNUMBER($G36),$G36,$F36+$E36-$D36)),FALSE()),2,IF(AND(EB$2&gt;=$D36,EB$2&lt;=$E36),1,"")))</f>
        <v/>
      </c>
      <c r="EC36" s="55" t="str">
        <f aca="false">IF(OR(EC$2="",$D36=""),"",IF(IF(ISNUMBER($F36),AND(EC$2&gt;=$F36,EC$2&lt;=IF(ISNUMBER($G36),$G36,$F36+$E36-$D36)),FALSE()),2,IF(AND(EC$2&gt;=$D36,EC$2&lt;=$E36),1,"")))</f>
        <v/>
      </c>
      <c r="ED36" s="55" t="str">
        <f aca="false">IF(OR(ED$2="",$D36=""),"",IF(IF(ISNUMBER($F36),AND(ED$2&gt;=$F36,ED$2&lt;=IF(ISNUMBER($G36),$G36,$F36+$E36-$D36)),FALSE()),2,IF(AND(ED$2&gt;=$D36,ED$2&lt;=$E36),1,"")))</f>
        <v/>
      </c>
      <c r="EE36" s="55" t="str">
        <f aca="false">IF(OR(EE$2="",$D36=""),"",IF(IF(ISNUMBER($F36),AND(EE$2&gt;=$F36,EE$2&lt;=IF(ISNUMBER($G36),$G36,$F36+$E36-$D36)),FALSE()),2,IF(AND(EE$2&gt;=$D36,EE$2&lt;=$E36),1,"")))</f>
        <v/>
      </c>
      <c r="EF36" s="55" t="str">
        <f aca="false">IF(OR(EF$2="",$D36=""),"",IF(IF(ISNUMBER($F36),AND(EF$2&gt;=$F36,EF$2&lt;=IF(ISNUMBER($G36),$G36,$F36+$E36-$D36)),FALSE()),2,IF(AND(EF$2&gt;=$D36,EF$2&lt;=$E36),1,"")))</f>
        <v/>
      </c>
      <c r="EG36" s="55" t="str">
        <f aca="false">IF(OR(EG$2="",$D36=""),"",IF(IF(ISNUMBER($F36),AND(EG$2&gt;=$F36,EG$2&lt;=IF(ISNUMBER($G36),$G36,$F36+$E36-$D36)),FALSE()),2,IF(AND(EG$2&gt;=$D36,EG$2&lt;=$E36),1,"")))</f>
        <v/>
      </c>
      <c r="EH36" s="55" t="str">
        <f aca="false">IF(OR(EH$2="",$D36=""),"",IF(IF(ISNUMBER($F36),AND(EH$2&gt;=$F36,EH$2&lt;=IF(ISNUMBER($G36),$G36,$F36+$E36-$D36)),FALSE()),2,IF(AND(EH$2&gt;=$D36,EH$2&lt;=$E36),1,"")))</f>
        <v/>
      </c>
      <c r="EI36" s="55" t="str">
        <f aca="false">IF(OR(EI$2="",$D36=""),"",IF(IF(ISNUMBER($F36),AND(EI$2&gt;=$F36,EI$2&lt;=IF(ISNUMBER($G36),$G36,$F36+$E36-$D36)),FALSE()),2,IF(AND(EI$2&gt;=$D36,EI$2&lt;=$E36),1,"")))</f>
        <v/>
      </c>
      <c r="EJ36" s="55" t="str">
        <f aca="false">IF(OR(EJ$2="",$D36=""),"",IF(IF(ISNUMBER($F36),AND(EJ$2&gt;=$F36,EJ$2&lt;=IF(ISNUMBER($G36),$G36,$F36+$E36-$D36)),FALSE()),2,IF(AND(EJ$2&gt;=$D36,EJ$2&lt;=$E36),1,"")))</f>
        <v/>
      </c>
      <c r="EK36" s="55" t="n">
        <f aca="false">IF(OR(EK$2="",$D36=""),"",IF(IF(ISNUMBER($F36),AND(EK$2&gt;=$F36,EK$2&lt;=IF(ISNUMBER($G36),$G36,$F36+$E36-$D36)),FALSE()),2,IF(AND(EK$2&gt;=$D36,EK$2&lt;=$E36),1,"")))</f>
        <v>1</v>
      </c>
      <c r="EL36" s="55" t="str">
        <f aca="false">IF(OR(EL$2="",$D36=""),"",IF(IF(ISNUMBER($F36),AND(EL$2&gt;=$F36,EL$2&lt;=IF(ISNUMBER($G36),$G36,$F36+$E36-$D36)),FALSE()),2,IF(AND(EL$2&gt;=$D36,EL$2&lt;=$E36),1,"")))</f>
        <v/>
      </c>
      <c r="EM36" s="55" t="str">
        <f aca="false">IF(OR(EM$2="",$D36=""),"",IF(IF(ISNUMBER($F36),AND(EM$2&gt;=$F36,EM$2&lt;=IF(ISNUMBER($G36),$G36,$F36+$E36-$D36)),FALSE()),2,IF(AND(EM$2&gt;=$D36,EM$2&lt;=$E36),1,"")))</f>
        <v/>
      </c>
      <c r="EN36" s="55" t="str">
        <f aca="false">IF(OR(EN$2="",$D36=""),"",IF(IF(ISNUMBER($F36),AND(EN$2&gt;=$F36,EN$2&lt;=IF(ISNUMBER($G36),$G36,$F36+$E36-$D36)),FALSE()),2,IF(AND(EN$2&gt;=$D36,EN$2&lt;=$E36),1,"")))</f>
        <v/>
      </c>
      <c r="EO36" s="55" t="str">
        <f aca="false">IF(OR(EO$2="",$D36=""),"",IF(IF(ISNUMBER($F36),AND(EO$2&gt;=$F36,EO$2&lt;=IF(ISNUMBER($G36),$G36,$F36+$E36-$D36)),FALSE()),2,IF(AND(EO$2&gt;=$D36,EO$2&lt;=$E36),1,"")))</f>
        <v/>
      </c>
      <c r="EP36" s="55" t="str">
        <f aca="false">IF(OR(EP$2="",$D36=""),"",IF(IF(ISNUMBER($F36),AND(EP$2&gt;=$F36,EP$2&lt;=IF(ISNUMBER($G36),$G36,$F36+$E36-$D36)),FALSE()),2,IF(AND(EP$2&gt;=$D36,EP$2&lt;=$E36),1,"")))</f>
        <v/>
      </c>
      <c r="EQ36" s="55" t="str">
        <f aca="false">IF(OR(EQ$2="",$D36=""),"",IF(IF(ISNUMBER($F36),AND(EQ$2&gt;=$F36,EQ$2&lt;=IF(ISNUMBER($G36),$G36,$F36+$E36-$D36)),FALSE()),2,IF(AND(EQ$2&gt;=$D36,EQ$2&lt;=$E36),1,"")))</f>
        <v/>
      </c>
      <c r="ER36" s="55" t="str">
        <f aca="false">IF(OR(ER$2="",$D36=""),"",IF(IF(ISNUMBER($F36),AND(ER$2&gt;=$F36,ER$2&lt;=IF(ISNUMBER($G36),$G36,$F36+$E36-$D36)),FALSE()),2,IF(AND(ER$2&gt;=$D36,ER$2&lt;=$E36),1,"")))</f>
        <v/>
      </c>
      <c r="ES36" s="55" t="str">
        <f aca="false">IF(OR(ES$2="",$D36=""),"",IF(IF(ISNUMBER($F36),AND(ES$2&gt;=$F36,ES$2&lt;=IF(ISNUMBER($G36),$G36,$F36+$E36-$D36)),FALSE()),2,IF(AND(ES$2&gt;=$D36,ES$2&lt;=$E36),1,"")))</f>
        <v/>
      </c>
      <c r="ET36" s="55" t="str">
        <f aca="false">IF(OR(ET$2="",$D36=""),"",IF(IF(ISNUMBER($F36),AND(ET$2&gt;=$F36,ET$2&lt;=IF(ISNUMBER($G36),$G36,$F36+$E36-$D36)),FALSE()),2,IF(AND(ET$2&gt;=$D36,ET$2&lt;=$E36),1,"")))</f>
        <v/>
      </c>
      <c r="EU36" s="55" t="str">
        <f aca="false">IF(OR(EU$2="",$D36=""),"",IF(IF(ISNUMBER($F36),AND(EU$2&gt;=$F36,EU$2&lt;=IF(ISNUMBER($G36),$G36,$F36+$E36-$D36)),FALSE()),2,IF(AND(EU$2&gt;=$D36,EU$2&lt;=$E36),1,"")))</f>
        <v/>
      </c>
      <c r="EV36" s="55" t="str">
        <f aca="false">IF(OR(EV$2="",$D36=""),"",IF(IF(ISNUMBER($F36),AND(EV$2&gt;=$F36,EV$2&lt;=IF(ISNUMBER($G36),$G36,$F36+$E36-$D36)),FALSE()),2,IF(AND(EV$2&gt;=$D36,EV$2&lt;=$E36),1,"")))</f>
        <v/>
      </c>
      <c r="EW36" s="55" t="str">
        <f aca="false">IF(OR(EW$2="",$D36=""),"",IF(IF(ISNUMBER($F36),AND(EW$2&gt;=$F36,EW$2&lt;=IF(ISNUMBER($G36),$G36,$F36+$E36-$D36)),FALSE()),2,IF(AND(EW$2&gt;=$D36,EW$2&lt;=$E36),1,"")))</f>
        <v/>
      </c>
      <c r="EX36" s="55" t="str">
        <f aca="false">IF(OR(EX$2="",$D36=""),"",IF(IF(ISNUMBER($F36),AND(EX$2&gt;=$F36,EX$2&lt;=IF(ISNUMBER($G36),$G36,$F36+$E36-$D36)),FALSE()),2,IF(AND(EX$2&gt;=$D36,EX$2&lt;=$E36),1,"")))</f>
        <v/>
      </c>
      <c r="EY36" s="55" t="str">
        <f aca="false">IF(OR(EY$2="",$D36=""),"",IF(IF(ISNUMBER($F36),AND(EY$2&gt;=$F36,EY$2&lt;=IF(ISNUMBER($G36),$G36,$F36+$E36-$D36)),FALSE()),2,IF(AND(EY$2&gt;=$D36,EY$2&lt;=$E36),1,"")))</f>
        <v/>
      </c>
      <c r="EZ36" s="55" t="str">
        <f aca="false">IF(OR(EZ$2="",$D36=""),"",IF(IF(ISNUMBER($F36),AND(EZ$2&gt;=$F36,EZ$2&lt;=IF(ISNUMBER($G36),$G36,$F36+$E36-$D36)),FALSE()),2,IF(AND(EZ$2&gt;=$D36,EZ$2&lt;=$E36),1,"")))</f>
        <v/>
      </c>
      <c r="FA36" s="55" t="str">
        <f aca="false">IF(OR(FA$2="",$D36=""),"",IF(IF(ISNUMBER($F36),AND(FA$2&gt;=$F36,FA$2&lt;=IF(ISNUMBER($G36),$G36,$F36+$E36-$D36)),FALSE()),2,IF(AND(FA$2&gt;=$D36,FA$2&lt;=$E36),1,"")))</f>
        <v/>
      </c>
      <c r="FB36" s="55" t="str">
        <f aca="false">IF(OR(FB$2="",$D36=""),"",IF(IF(ISNUMBER($F36),AND(FB$2&gt;=$F36,FB$2&lt;=IF(ISNUMBER($G36),$G36,$F36+$E36-$D36)),FALSE()),2,IF(AND(FB$2&gt;=$D36,FB$2&lt;=$E36),1,"")))</f>
        <v/>
      </c>
      <c r="FC36" s="55" t="str">
        <f aca="false">IF(OR(FC$2="",$D36=""),"",IF(IF(ISNUMBER($F36),AND(FC$2&gt;=$F36,FC$2&lt;=IF(ISNUMBER($G36),$G36,$F36+$E36-$D36)),FALSE()),2,IF(AND(FC$2&gt;=$D36,FC$2&lt;=$E36),1,"")))</f>
        <v/>
      </c>
      <c r="FD36" s="55" t="str">
        <f aca="false">IF(OR(FD$2="",$D36=""),"",IF(IF(ISNUMBER($F36),AND(FD$2&gt;=$F36,FD$2&lt;=IF(ISNUMBER($G36),$G36,$F36+$E36-$D36)),FALSE()),2,IF(AND(FD$2&gt;=$D36,FD$2&lt;=$E36),1,"")))</f>
        <v/>
      </c>
      <c r="FE36" s="55" t="str">
        <f aca="false">IF(OR(FE$2="",$D36=""),"",IF(IF(ISNUMBER($F36),AND(FE$2&gt;=$F36,FE$2&lt;=IF(ISNUMBER($G36),$G36,$F36+$E36-$D36)),FALSE()),2,IF(AND(FE$2&gt;=$D36,FE$2&lt;=$E36),1,"")))</f>
        <v/>
      </c>
      <c r="FF36" s="55" t="str">
        <f aca="false">IF(OR(FF$2="",$D36=""),"",IF(IF(ISNUMBER($F36),AND(FF$2&gt;=$F36,FF$2&lt;=IF(ISNUMBER($G36),$G36,$F36+$E36-$D36)),FALSE()),2,IF(AND(FF$2&gt;=$D36,FF$2&lt;=$E36),1,"")))</f>
        <v/>
      </c>
      <c r="FG36" s="55" t="str">
        <f aca="false">IF(OR(FG$2="",$D36=""),"",IF(IF(ISNUMBER($F36),AND(FG$2&gt;=$F36,FG$2&lt;=IF(ISNUMBER($G36),$G36,$F36+$E36-$D36)),FALSE()),2,IF(AND(FG$2&gt;=$D36,FG$2&lt;=$E36),1,"")))</f>
        <v/>
      </c>
      <c r="FH36" s="55" t="str">
        <f aca="false">IF(OR(FH$2="",$D36=""),"",IF(IF(ISNUMBER($F36),AND(FH$2&gt;=$F36,FH$2&lt;=IF(ISNUMBER($G36),$G36,$F36+$E36-$D36)),FALSE()),2,IF(AND(FH$2&gt;=$D36,FH$2&lt;=$E36),1,"")))</f>
        <v/>
      </c>
      <c r="FI36" s="55" t="str">
        <f aca="false">IF(OR(FI$2="",$D36=""),"",IF(IF(ISNUMBER($F36),AND(FI$2&gt;=$F36,FI$2&lt;=IF(ISNUMBER($G36),$G36,$F36+$E36-$D36)),FALSE()),2,IF(AND(FI$2&gt;=$D36,FI$2&lt;=$E36),1,"")))</f>
        <v/>
      </c>
      <c r="FJ36" s="55" t="str">
        <f aca="false">IF(OR(FJ$2="",$D36=""),"",IF(IF(ISNUMBER($F36),AND(FJ$2&gt;=$F36,FJ$2&lt;=IF(ISNUMBER($G36),$G36,$F36+$E36-$D36)),FALSE()),2,IF(AND(FJ$2&gt;=$D36,FJ$2&lt;=$E36),1,"")))</f>
        <v/>
      </c>
      <c r="FK36" s="55" t="str">
        <f aca="false">IF(OR(FK$2="",$D36=""),"",IF(IF(ISNUMBER($F36),AND(FK$2&gt;=$F36,FK$2&lt;=IF(ISNUMBER($G36),$G36,$F36+$E36-$D36)),FALSE()),2,IF(AND(FK$2&gt;=$D36,FK$2&lt;=$E36),1,"")))</f>
        <v/>
      </c>
      <c r="FL36" s="55" t="str">
        <f aca="false">IF(OR(FL$2="",$D36=""),"",IF(IF(ISNUMBER($F36),AND(FL$2&gt;=$F36,FL$2&lt;=IF(ISNUMBER($G36),$G36,$F36+$E36-$D36)),FALSE()),2,IF(AND(FL$2&gt;=$D36,FL$2&lt;=$E36),1,"")))</f>
        <v/>
      </c>
      <c r="FM36" s="55" t="str">
        <f aca="false">IF(OR(FM$2="",$D36=""),"",IF(IF(ISNUMBER($F36),AND(FM$2&gt;=$F36,FM$2&lt;=IF(ISNUMBER($G36),$G36,$F36+$E36-$D36)),FALSE()),2,IF(AND(FM$2&gt;=$D36,FM$2&lt;=$E36),1,"")))</f>
        <v/>
      </c>
      <c r="FN36" s="55" t="str">
        <f aca="false">IF(OR(FN$2="",$D36=""),"",IF(IF(ISNUMBER($F36),AND(FN$2&gt;=$F36,FN$2&lt;=IF(ISNUMBER($G36),$G36,$F36+$E36-$D36)),FALSE()),2,IF(AND(FN$2&gt;=$D36,FN$2&lt;=$E36),1,"")))</f>
        <v/>
      </c>
      <c r="FO36" s="55" t="str">
        <f aca="false">IF(OR(FO$2="",$D36=""),"",IF(IF(ISNUMBER($F36),AND(FO$2&gt;=$F36,FO$2&lt;=IF(ISNUMBER($G36),$G36,$F36+$E36-$D36)),FALSE()),2,IF(AND(FO$2&gt;=$D36,FO$2&lt;=$E36),1,"")))</f>
        <v/>
      </c>
      <c r="FP36" s="55" t="str">
        <f aca="false">IF(OR(FP$2="",$D36=""),"",IF(IF(ISNUMBER($F36),AND(FP$2&gt;=$F36,FP$2&lt;=IF(ISNUMBER($G36),$G36,$F36+$E36-$D36)),FALSE()),2,IF(AND(FP$2&gt;=$D36,FP$2&lt;=$E36),1,"")))</f>
        <v/>
      </c>
      <c r="FQ36" s="55" t="str">
        <f aca="false">IF(OR(FQ$2="",$D36=""),"",IF(IF(ISNUMBER($F36),AND(FQ$2&gt;=$F36,FQ$2&lt;=IF(ISNUMBER($G36),$G36,$F36+$E36-$D36)),FALSE()),2,IF(AND(FQ$2&gt;=$D36,FQ$2&lt;=$E36),1,"")))</f>
        <v/>
      </c>
      <c r="FR36" s="55" t="str">
        <f aca="false">IF(OR(FR$2="",$D36=""),"",IF(IF(ISNUMBER($F36),AND(FR$2&gt;=$F36,FR$2&lt;=IF(ISNUMBER($G36),$G36,$F36+$E36-$D36)),FALSE()),2,IF(AND(FR$2&gt;=$D36,FR$2&lt;=$E36),1,"")))</f>
        <v/>
      </c>
      <c r="FS36" s="55" t="str">
        <f aca="false">IF(OR(FS$2="",$D36=""),"",IF(IF(ISNUMBER($F36),AND(FS$2&gt;=$F36,FS$2&lt;=IF(ISNUMBER($G36),$G36,$F36+$E36-$D36)),FALSE()),2,IF(AND(FS$2&gt;=$D36,FS$2&lt;=$E36),1,"")))</f>
        <v/>
      </c>
      <c r="FT36" s="55" t="str">
        <f aca="false">IF(OR(FT$2="",$D36=""),"",IF(IF(ISNUMBER($F36),AND(FT$2&gt;=$F36,FT$2&lt;=IF(ISNUMBER($G36),$G36,$F36+$E36-$D36)),FALSE()),2,IF(AND(FT$2&gt;=$D36,FT$2&lt;=$E36),1,"")))</f>
        <v/>
      </c>
      <c r="FU36" s="55" t="str">
        <f aca="false">IF(OR(FU$2="",$D36=""),"",IF(IF(ISNUMBER($F36),AND(FU$2&gt;=$F36,FU$2&lt;=IF(ISNUMBER($G36),$G36,$F36+$E36-$D36)),FALSE()),2,IF(AND(FU$2&gt;=$D36,FU$2&lt;=$E36),1,"")))</f>
        <v/>
      </c>
      <c r="FV36" s="55" t="str">
        <f aca="false">IF(OR(FV$2="",$D36=""),"",IF(IF(ISNUMBER($F36),AND(FV$2&gt;=$F36,FV$2&lt;=IF(ISNUMBER($G36),$G36,$F36+$E36-$D36)),FALSE()),2,IF(AND(FV$2&gt;=$D36,FV$2&lt;=$E36),1,"")))</f>
        <v/>
      </c>
      <c r="FW36" s="55" t="str">
        <f aca="false">IF(OR(FW$2="",$D36=""),"",IF(IF(ISNUMBER($F36),AND(FW$2&gt;=$F36,FW$2&lt;=IF(ISNUMBER($G36),$G36,$F36+$E36-$D36)),FALSE()),2,IF(AND(FW$2&gt;=$D36,FW$2&lt;=$E36),1,"")))</f>
        <v/>
      </c>
      <c r="FX36" s="55" t="str">
        <f aca="false">IF(OR(FX$2="",$D36=""),"",IF(IF(ISNUMBER($F36),AND(FX$2&gt;=$F36,FX$2&lt;=IF(ISNUMBER($G36),$G36,$F36+$E36-$D36)),FALSE()),2,IF(AND(FX$2&gt;=$D36,FX$2&lt;=$E36),1,"")))</f>
        <v/>
      </c>
      <c r="FY36" s="55" t="str">
        <f aca="false">IF(OR(FY$2="",$D36=""),"",IF(IF(ISNUMBER($F36),AND(FY$2&gt;=$F36,FY$2&lt;=IF(ISNUMBER($G36),$G36,$F36+$E36-$D36)),FALSE()),2,IF(AND(FY$2&gt;=$D36,FY$2&lt;=$E36),1,"")))</f>
        <v/>
      </c>
      <c r="FZ36" s="55" t="str">
        <f aca="false">IF(OR(FZ$2="",$D36=""),"",IF(IF(ISNUMBER($F36),AND(FZ$2&gt;=$F36,FZ$2&lt;=IF(ISNUMBER($G36),$G36,$F36+$E36-$D36)),FALSE()),2,IF(AND(FZ$2&gt;=$D36,FZ$2&lt;=$E36),1,"")))</f>
        <v/>
      </c>
      <c r="GA36" s="55" t="str">
        <f aca="false">IF(OR(GA$2="",$D36=""),"",IF(IF(ISNUMBER($F36),AND(GA$2&gt;=$F36,GA$2&lt;=IF(ISNUMBER($G36),$G36,$F36+$E36-$D36)),FALSE()),2,IF(AND(GA$2&gt;=$D36,GA$2&lt;=$E36),1,"")))</f>
        <v/>
      </c>
      <c r="GB36" s="55" t="str">
        <f aca="false">IF(OR(GB$2="",$D36=""),"",IF(IF(ISNUMBER($F36),AND(GB$2&gt;=$F36,GB$2&lt;=IF(ISNUMBER($G36),$G36,$F36+$E36-$D36)),FALSE()),2,IF(AND(GB$2&gt;=$D36,GB$2&lt;=$E36),1,"")))</f>
        <v/>
      </c>
      <c r="GC36" s="55" t="str">
        <f aca="false">IF(OR(GC$2="",$D36=""),"",IF(IF(ISNUMBER($F36),AND(GC$2&gt;=$F36,GC$2&lt;=IF(ISNUMBER($G36),$G36,$F36+$E36-$D36)),FALSE()),2,IF(AND(GC$2&gt;=$D36,GC$2&lt;=$E36),1,"")))</f>
        <v/>
      </c>
      <c r="GD36" s="55" t="str">
        <f aca="false">IF(OR(GD$2="",$D36=""),"",IF(IF(ISNUMBER($F36),AND(GD$2&gt;=$F36,GD$2&lt;=IF(ISNUMBER($G36),$G36,$F36+$E36-$D36)),FALSE()),2,IF(AND(GD$2&gt;=$D36,GD$2&lt;=$E36),1,"")))</f>
        <v/>
      </c>
      <c r="GE36" s="55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false" outlineLevel="0" collapsed="false">
      <c r="A37" s="54" t="s">
        <v>394</v>
      </c>
      <c r="B37" s="21" t="s">
        <v>395</v>
      </c>
      <c r="C37" s="21" t="s">
        <v>328</v>
      </c>
      <c r="D37" s="51" t="n">
        <f aca="false">IF(D25="","",D25-cfg_11)</f>
        <v>46127</v>
      </c>
      <c r="E37" s="51" t="n">
        <f aca="false">IF(D37="","",D37)</f>
        <v>46127</v>
      </c>
      <c r="F37" s="51" t="str">
        <f aca="false">IF(_xlfn.MINIFS(2_Daily_input!$D$1:$FQ$1,2_Daily_input!$D$73:$FQ$73,"Last irrigation")+_xlfn.MINIFS(2_Daily_input!$D$1:$FQ$1,2_Daily_input!$D$74:$FQ$74,"Last irrigation")=0,"",IF(_xlfn.MINIFS(2_Daily_input!$D$1:$FQ$1,2_Daily_input!$D$73:$FQ$73,"Last irrigation")=0,_xlfn.MINIFS(2_Daily_input!$D$1:$FQ$1,2_Daily_input!$D$74:$FQ$74,"Last irrigation"),IF(_xlfn.MINIFS(2_Daily_input!$D$1:$FQ$1,2_Daily_input!$D$74:$FQ$74,"Last irrigation")=0,_xlfn.MINIFS(2_Daily_input!$D$1:$FQ$1,2_Daily_input!$D$73:$FQ$73,"Last irrigation"),MIN(_xlfn.MINIFS(2_Daily_input!$D$1:$FQ$1,2_Daily_input!$D$73:$FQ$73,"Last irrigation"),_xlfn.MINIFS(2_Daily_input!$D$1:$FQ$1,2_Daily_input!$D$74:$FQ$74,"Last irrigation")))))</f>
        <v/>
      </c>
      <c r="G37" s="51" t="str">
        <f aca="false">""</f>
        <v/>
      </c>
      <c r="H37" s="50" t="str">
        <f aca="true">IF(D37="","no plan",IF(F37&lt;&gt;"",IF(F37-D37&gt;=2,"LATE","OK"),IF(TODAY()&gt;D37+2,"OVERDUE","upcoming")))</f>
        <v>OVERDUE</v>
      </c>
      <c r="I37" s="50" t="str">
        <f aca="false">IF(AND(D37&lt;&gt;"",F37&lt;&gt;""),F37-D37,"")</f>
        <v/>
      </c>
      <c r="J37" s="51" t="n">
        <f aca="false">IF(F37&lt;&gt;"",F37,D37)</f>
        <v>46127</v>
      </c>
      <c r="K37" s="51" t="n">
        <f aca="false">IF(G37&lt;&gt;"",G37,IF(AND(F37&lt;&gt;"",E37=D37),F37,E37))</f>
        <v>46127</v>
      </c>
      <c r="L37" s="50" t="str">
        <f aca="true">IF(AND(D37&lt;&gt;"",F37="",D37&gt;=TODAY()),D37+ROW()/1000,"")</f>
        <v/>
      </c>
      <c r="M37" s="55" t="str">
        <f aca="false">IF(OR(M$2="",$D37=""),"",IF(IF(ISNUMBER($F37),AND(M$2&gt;=$F37,M$2&lt;=IF(ISNUMBER($G37),$G37,$F37+$E37-$D37)),FALSE()),2,IF(AND(M$2&gt;=$D37,M$2&lt;=$E37),1,"")))</f>
        <v/>
      </c>
      <c r="N37" s="55" t="str">
        <f aca="false">IF(OR(N$2="",$D37=""),"",IF(IF(ISNUMBER($F37),AND(N$2&gt;=$F37,N$2&lt;=IF(ISNUMBER($G37),$G37,$F37+$E37-$D37)),FALSE()),2,IF(AND(N$2&gt;=$D37,N$2&lt;=$E37),1,"")))</f>
        <v/>
      </c>
      <c r="O37" s="55" t="str">
        <f aca="false">IF(OR(O$2="",$D37=""),"",IF(IF(ISNUMBER($F37),AND(O$2&gt;=$F37,O$2&lt;=IF(ISNUMBER($G37),$G37,$F37+$E37-$D37)),FALSE()),2,IF(AND(O$2&gt;=$D37,O$2&lt;=$E37),1,"")))</f>
        <v/>
      </c>
      <c r="P37" s="55" t="str">
        <f aca="false">IF(OR(P$2="",$D37=""),"",IF(IF(ISNUMBER($F37),AND(P$2&gt;=$F37,P$2&lt;=IF(ISNUMBER($G37),$G37,$F37+$E37-$D37)),FALSE()),2,IF(AND(P$2&gt;=$D37,P$2&lt;=$E37),1,"")))</f>
        <v/>
      </c>
      <c r="Q37" s="55" t="str">
        <f aca="false">IF(OR(Q$2="",$D37=""),"",IF(IF(ISNUMBER($F37),AND(Q$2&gt;=$F37,Q$2&lt;=IF(ISNUMBER($G37),$G37,$F37+$E37-$D37)),FALSE()),2,IF(AND(Q$2&gt;=$D37,Q$2&lt;=$E37),1,"")))</f>
        <v/>
      </c>
      <c r="R37" s="55" t="str">
        <f aca="false">IF(OR(R$2="",$D37=""),"",IF(IF(ISNUMBER($F37),AND(R$2&gt;=$F37,R$2&lt;=IF(ISNUMBER($G37),$G37,$F37+$E37-$D37)),FALSE()),2,IF(AND(R$2&gt;=$D37,R$2&lt;=$E37),1,"")))</f>
        <v/>
      </c>
      <c r="S37" s="55" t="str">
        <f aca="false">IF(OR(S$2="",$D37=""),"",IF(IF(ISNUMBER($F37),AND(S$2&gt;=$F37,S$2&lt;=IF(ISNUMBER($G37),$G37,$F37+$E37-$D37)),FALSE()),2,IF(AND(S$2&gt;=$D37,S$2&lt;=$E37),1,"")))</f>
        <v/>
      </c>
      <c r="T37" s="55" t="str">
        <f aca="false">IF(OR(T$2="",$D37=""),"",IF(IF(ISNUMBER($F37),AND(T$2&gt;=$F37,T$2&lt;=IF(ISNUMBER($G37),$G37,$F37+$E37-$D37)),FALSE()),2,IF(AND(T$2&gt;=$D37,T$2&lt;=$E37),1,"")))</f>
        <v/>
      </c>
      <c r="U37" s="55" t="str">
        <f aca="false">IF(OR(U$2="",$D37=""),"",IF(IF(ISNUMBER($F37),AND(U$2&gt;=$F37,U$2&lt;=IF(ISNUMBER($G37),$G37,$F37+$E37-$D37)),FALSE()),2,IF(AND(U$2&gt;=$D37,U$2&lt;=$E37),1,"")))</f>
        <v/>
      </c>
      <c r="V37" s="55" t="str">
        <f aca="false">IF(OR(V$2="",$D37=""),"",IF(IF(ISNUMBER($F37),AND(V$2&gt;=$F37,V$2&lt;=IF(ISNUMBER($G37),$G37,$F37+$E37-$D37)),FALSE()),2,IF(AND(V$2&gt;=$D37,V$2&lt;=$E37),1,"")))</f>
        <v/>
      </c>
      <c r="W37" s="55" t="str">
        <f aca="false">IF(OR(W$2="",$D37=""),"",IF(IF(ISNUMBER($F37),AND(W$2&gt;=$F37,W$2&lt;=IF(ISNUMBER($G37),$G37,$F37+$E37-$D37)),FALSE()),2,IF(AND(W$2&gt;=$D37,W$2&lt;=$E37),1,"")))</f>
        <v/>
      </c>
      <c r="X37" s="55" t="str">
        <f aca="false">IF(OR(X$2="",$D37=""),"",IF(IF(ISNUMBER($F37),AND(X$2&gt;=$F37,X$2&lt;=IF(ISNUMBER($G37),$G37,$F37+$E37-$D37)),FALSE()),2,IF(AND(X$2&gt;=$D37,X$2&lt;=$E37),1,"")))</f>
        <v/>
      </c>
      <c r="Y37" s="55" t="str">
        <f aca="false">IF(OR(Y$2="",$D37=""),"",IF(IF(ISNUMBER($F37),AND(Y$2&gt;=$F37,Y$2&lt;=IF(ISNUMBER($G37),$G37,$F37+$E37-$D37)),FALSE()),2,IF(AND(Y$2&gt;=$D37,Y$2&lt;=$E37),1,"")))</f>
        <v/>
      </c>
      <c r="Z37" s="55" t="str">
        <f aca="false">IF(OR(Z$2="",$D37=""),"",IF(IF(ISNUMBER($F37),AND(Z$2&gt;=$F37,Z$2&lt;=IF(ISNUMBER($G37),$G37,$F37+$E37-$D37)),FALSE()),2,IF(AND(Z$2&gt;=$D37,Z$2&lt;=$E37),1,"")))</f>
        <v/>
      </c>
      <c r="AA37" s="55" t="str">
        <f aca="false">IF(OR(AA$2="",$D37=""),"",IF(IF(ISNUMBER($F37),AND(AA$2&gt;=$F37,AA$2&lt;=IF(ISNUMBER($G37),$G37,$F37+$E37-$D37)),FALSE()),2,IF(AND(AA$2&gt;=$D37,AA$2&lt;=$E37),1,"")))</f>
        <v/>
      </c>
      <c r="AB37" s="55" t="str">
        <f aca="false">IF(OR(AB$2="",$D37=""),"",IF(IF(ISNUMBER($F37),AND(AB$2&gt;=$F37,AB$2&lt;=IF(ISNUMBER($G37),$G37,$F37+$E37-$D37)),FALSE()),2,IF(AND(AB$2&gt;=$D37,AB$2&lt;=$E37),1,"")))</f>
        <v/>
      </c>
      <c r="AC37" s="55" t="str">
        <f aca="false">IF(OR(AC$2="",$D37=""),"",IF(IF(ISNUMBER($F37),AND(AC$2&gt;=$F37,AC$2&lt;=IF(ISNUMBER($G37),$G37,$F37+$E37-$D37)),FALSE()),2,IF(AND(AC$2&gt;=$D37,AC$2&lt;=$E37),1,"")))</f>
        <v/>
      </c>
      <c r="AD37" s="55" t="str">
        <f aca="false">IF(OR(AD$2="",$D37=""),"",IF(IF(ISNUMBER($F37),AND(AD$2&gt;=$F37,AD$2&lt;=IF(ISNUMBER($G37),$G37,$F37+$E37-$D37)),FALSE()),2,IF(AND(AD$2&gt;=$D37,AD$2&lt;=$E37),1,"")))</f>
        <v/>
      </c>
      <c r="AE37" s="55" t="str">
        <f aca="false">IF(OR(AE$2="",$D37=""),"",IF(IF(ISNUMBER($F37),AND(AE$2&gt;=$F37,AE$2&lt;=IF(ISNUMBER($G37),$G37,$F37+$E37-$D37)),FALSE()),2,IF(AND(AE$2&gt;=$D37,AE$2&lt;=$E37),1,"")))</f>
        <v/>
      </c>
      <c r="AF37" s="55" t="str">
        <f aca="false">IF(OR(AF$2="",$D37=""),"",IF(IF(ISNUMBER($F37),AND(AF$2&gt;=$F37,AF$2&lt;=IF(ISNUMBER($G37),$G37,$F37+$E37-$D37)),FALSE()),2,IF(AND(AF$2&gt;=$D37,AF$2&lt;=$E37),1,"")))</f>
        <v/>
      </c>
      <c r="AG37" s="55" t="str">
        <f aca="false">IF(OR(AG$2="",$D37=""),"",IF(IF(ISNUMBER($F37),AND(AG$2&gt;=$F37,AG$2&lt;=IF(ISNUMBER($G37),$G37,$F37+$E37-$D37)),FALSE()),2,IF(AND(AG$2&gt;=$D37,AG$2&lt;=$E37),1,"")))</f>
        <v/>
      </c>
      <c r="AH37" s="55" t="str">
        <f aca="false">IF(OR(AH$2="",$D37=""),"",IF(IF(ISNUMBER($F37),AND(AH$2&gt;=$F37,AH$2&lt;=IF(ISNUMBER($G37),$G37,$F37+$E37-$D37)),FALSE()),2,IF(AND(AH$2&gt;=$D37,AH$2&lt;=$E37),1,"")))</f>
        <v/>
      </c>
      <c r="AI37" s="55" t="str">
        <f aca="false">IF(OR(AI$2="",$D37=""),"",IF(IF(ISNUMBER($F37),AND(AI$2&gt;=$F37,AI$2&lt;=IF(ISNUMBER($G37),$G37,$F37+$E37-$D37)),FALSE()),2,IF(AND(AI$2&gt;=$D37,AI$2&lt;=$E37),1,"")))</f>
        <v/>
      </c>
      <c r="AJ37" s="55" t="str">
        <f aca="false">IF(OR(AJ$2="",$D37=""),"",IF(IF(ISNUMBER($F37),AND(AJ$2&gt;=$F37,AJ$2&lt;=IF(ISNUMBER($G37),$G37,$F37+$E37-$D37)),FALSE()),2,IF(AND(AJ$2&gt;=$D37,AJ$2&lt;=$E37),1,"")))</f>
        <v/>
      </c>
      <c r="AK37" s="55" t="str">
        <f aca="false">IF(OR(AK$2="",$D37=""),"",IF(IF(ISNUMBER($F37),AND(AK$2&gt;=$F37,AK$2&lt;=IF(ISNUMBER($G37),$G37,$F37+$E37-$D37)),FALSE()),2,IF(AND(AK$2&gt;=$D37,AK$2&lt;=$E37),1,"")))</f>
        <v/>
      </c>
      <c r="AL37" s="55" t="str">
        <f aca="false">IF(OR(AL$2="",$D37=""),"",IF(IF(ISNUMBER($F37),AND(AL$2&gt;=$F37,AL$2&lt;=IF(ISNUMBER($G37),$G37,$F37+$E37-$D37)),FALSE()),2,IF(AND(AL$2&gt;=$D37,AL$2&lt;=$E37),1,"")))</f>
        <v/>
      </c>
      <c r="AM37" s="55" t="str">
        <f aca="false">IF(OR(AM$2="",$D37=""),"",IF(IF(ISNUMBER($F37),AND(AM$2&gt;=$F37,AM$2&lt;=IF(ISNUMBER($G37),$G37,$F37+$E37-$D37)),FALSE()),2,IF(AND(AM$2&gt;=$D37,AM$2&lt;=$E37),1,"")))</f>
        <v/>
      </c>
      <c r="AN37" s="55" t="str">
        <f aca="false">IF(OR(AN$2="",$D37=""),"",IF(IF(ISNUMBER($F37),AND(AN$2&gt;=$F37,AN$2&lt;=IF(ISNUMBER($G37),$G37,$F37+$E37-$D37)),FALSE()),2,IF(AND(AN$2&gt;=$D37,AN$2&lt;=$E37),1,"")))</f>
        <v/>
      </c>
      <c r="AO37" s="55" t="str">
        <f aca="false">IF(OR(AO$2="",$D37=""),"",IF(IF(ISNUMBER($F37),AND(AO$2&gt;=$F37,AO$2&lt;=IF(ISNUMBER($G37),$G37,$F37+$E37-$D37)),FALSE()),2,IF(AND(AO$2&gt;=$D37,AO$2&lt;=$E37),1,"")))</f>
        <v/>
      </c>
      <c r="AP37" s="55" t="str">
        <f aca="false">IF(OR(AP$2="",$D37=""),"",IF(IF(ISNUMBER($F37),AND(AP$2&gt;=$F37,AP$2&lt;=IF(ISNUMBER($G37),$G37,$F37+$E37-$D37)),FALSE()),2,IF(AND(AP$2&gt;=$D37,AP$2&lt;=$E37),1,"")))</f>
        <v/>
      </c>
      <c r="AQ37" s="55" t="str">
        <f aca="false">IF(OR(AQ$2="",$D37=""),"",IF(IF(ISNUMBER($F37),AND(AQ$2&gt;=$F37,AQ$2&lt;=IF(ISNUMBER($G37),$G37,$F37+$E37-$D37)),FALSE()),2,IF(AND(AQ$2&gt;=$D37,AQ$2&lt;=$E37),1,"")))</f>
        <v/>
      </c>
      <c r="AR37" s="55" t="str">
        <f aca="false">IF(OR(AR$2="",$D37=""),"",IF(IF(ISNUMBER($F37),AND(AR$2&gt;=$F37,AR$2&lt;=IF(ISNUMBER($G37),$G37,$F37+$E37-$D37)),FALSE()),2,IF(AND(AR$2&gt;=$D37,AR$2&lt;=$E37),1,"")))</f>
        <v/>
      </c>
      <c r="AS37" s="55" t="str">
        <f aca="false">IF(OR(AS$2="",$D37=""),"",IF(IF(ISNUMBER($F37),AND(AS$2&gt;=$F37,AS$2&lt;=IF(ISNUMBER($G37),$G37,$F37+$E37-$D37)),FALSE()),2,IF(AND(AS$2&gt;=$D37,AS$2&lt;=$E37),1,"")))</f>
        <v/>
      </c>
      <c r="AT37" s="55" t="str">
        <f aca="false">IF(OR(AT$2="",$D37=""),"",IF(IF(ISNUMBER($F37),AND(AT$2&gt;=$F37,AT$2&lt;=IF(ISNUMBER($G37),$G37,$F37+$E37-$D37)),FALSE()),2,IF(AND(AT$2&gt;=$D37,AT$2&lt;=$E37),1,"")))</f>
        <v/>
      </c>
      <c r="AU37" s="55" t="str">
        <f aca="false">IF(OR(AU$2="",$D37=""),"",IF(IF(ISNUMBER($F37),AND(AU$2&gt;=$F37,AU$2&lt;=IF(ISNUMBER($G37),$G37,$F37+$E37-$D37)),FALSE()),2,IF(AND(AU$2&gt;=$D37,AU$2&lt;=$E37),1,"")))</f>
        <v/>
      </c>
      <c r="AV37" s="55" t="str">
        <f aca="false">IF(OR(AV$2="",$D37=""),"",IF(IF(ISNUMBER($F37),AND(AV$2&gt;=$F37,AV$2&lt;=IF(ISNUMBER($G37),$G37,$F37+$E37-$D37)),FALSE()),2,IF(AND(AV$2&gt;=$D37,AV$2&lt;=$E37),1,"")))</f>
        <v/>
      </c>
      <c r="AW37" s="55" t="str">
        <f aca="false">IF(OR(AW$2="",$D37=""),"",IF(IF(ISNUMBER($F37),AND(AW$2&gt;=$F37,AW$2&lt;=IF(ISNUMBER($G37),$G37,$F37+$E37-$D37)),FALSE()),2,IF(AND(AW$2&gt;=$D37,AW$2&lt;=$E37),1,"")))</f>
        <v/>
      </c>
      <c r="AX37" s="55" t="str">
        <f aca="false">IF(OR(AX$2="",$D37=""),"",IF(IF(ISNUMBER($F37),AND(AX$2&gt;=$F37,AX$2&lt;=IF(ISNUMBER($G37),$G37,$F37+$E37-$D37)),FALSE()),2,IF(AND(AX$2&gt;=$D37,AX$2&lt;=$E37),1,"")))</f>
        <v/>
      </c>
      <c r="AY37" s="55" t="str">
        <f aca="false">IF(OR(AY$2="",$D37=""),"",IF(IF(ISNUMBER($F37),AND(AY$2&gt;=$F37,AY$2&lt;=IF(ISNUMBER($G37),$G37,$F37+$E37-$D37)),FALSE()),2,IF(AND(AY$2&gt;=$D37,AY$2&lt;=$E37),1,"")))</f>
        <v/>
      </c>
      <c r="AZ37" s="55" t="str">
        <f aca="false">IF(OR(AZ$2="",$D37=""),"",IF(IF(ISNUMBER($F37),AND(AZ$2&gt;=$F37,AZ$2&lt;=IF(ISNUMBER($G37),$G37,$F37+$E37-$D37)),FALSE()),2,IF(AND(AZ$2&gt;=$D37,AZ$2&lt;=$E37),1,"")))</f>
        <v/>
      </c>
      <c r="BA37" s="55" t="str">
        <f aca="false">IF(OR(BA$2="",$D37=""),"",IF(IF(ISNUMBER($F37),AND(BA$2&gt;=$F37,BA$2&lt;=IF(ISNUMBER($G37),$G37,$F37+$E37-$D37)),FALSE()),2,IF(AND(BA$2&gt;=$D37,BA$2&lt;=$E37),1,"")))</f>
        <v/>
      </c>
      <c r="BB37" s="55" t="str">
        <f aca="false">IF(OR(BB$2="",$D37=""),"",IF(IF(ISNUMBER($F37),AND(BB$2&gt;=$F37,BB$2&lt;=IF(ISNUMBER($G37),$G37,$F37+$E37-$D37)),FALSE()),2,IF(AND(BB$2&gt;=$D37,BB$2&lt;=$E37),1,"")))</f>
        <v/>
      </c>
      <c r="BC37" s="55" t="str">
        <f aca="false">IF(OR(BC$2="",$D37=""),"",IF(IF(ISNUMBER($F37),AND(BC$2&gt;=$F37,BC$2&lt;=IF(ISNUMBER($G37),$G37,$F37+$E37-$D37)),FALSE()),2,IF(AND(BC$2&gt;=$D37,BC$2&lt;=$E37),1,"")))</f>
        <v/>
      </c>
      <c r="BD37" s="55" t="str">
        <f aca="false">IF(OR(BD$2="",$D37=""),"",IF(IF(ISNUMBER($F37),AND(BD$2&gt;=$F37,BD$2&lt;=IF(ISNUMBER($G37),$G37,$F37+$E37-$D37)),FALSE()),2,IF(AND(BD$2&gt;=$D37,BD$2&lt;=$E37),1,"")))</f>
        <v/>
      </c>
      <c r="BE37" s="55" t="str">
        <f aca="false">IF(OR(BE$2="",$D37=""),"",IF(IF(ISNUMBER($F37),AND(BE$2&gt;=$F37,BE$2&lt;=IF(ISNUMBER($G37),$G37,$F37+$E37-$D37)),FALSE()),2,IF(AND(BE$2&gt;=$D37,BE$2&lt;=$E37),1,"")))</f>
        <v/>
      </c>
      <c r="BF37" s="55" t="str">
        <f aca="false">IF(OR(BF$2="",$D37=""),"",IF(IF(ISNUMBER($F37),AND(BF$2&gt;=$F37,BF$2&lt;=IF(ISNUMBER($G37),$G37,$F37+$E37-$D37)),FALSE()),2,IF(AND(BF$2&gt;=$D37,BF$2&lt;=$E37),1,"")))</f>
        <v/>
      </c>
      <c r="BG37" s="55" t="str">
        <f aca="false">IF(OR(BG$2="",$D37=""),"",IF(IF(ISNUMBER($F37),AND(BG$2&gt;=$F37,BG$2&lt;=IF(ISNUMBER($G37),$G37,$F37+$E37-$D37)),FALSE()),2,IF(AND(BG$2&gt;=$D37,BG$2&lt;=$E37),1,"")))</f>
        <v/>
      </c>
      <c r="BH37" s="55" t="str">
        <f aca="false">IF(OR(BH$2="",$D37=""),"",IF(IF(ISNUMBER($F37),AND(BH$2&gt;=$F37,BH$2&lt;=IF(ISNUMBER($G37),$G37,$F37+$E37-$D37)),FALSE()),2,IF(AND(BH$2&gt;=$D37,BH$2&lt;=$E37),1,"")))</f>
        <v/>
      </c>
      <c r="BI37" s="55" t="str">
        <f aca="false">IF(OR(BI$2="",$D37=""),"",IF(IF(ISNUMBER($F37),AND(BI$2&gt;=$F37,BI$2&lt;=IF(ISNUMBER($G37),$G37,$F37+$E37-$D37)),FALSE()),2,IF(AND(BI$2&gt;=$D37,BI$2&lt;=$E37),1,"")))</f>
        <v/>
      </c>
      <c r="BJ37" s="55" t="str">
        <f aca="false">IF(OR(BJ$2="",$D37=""),"",IF(IF(ISNUMBER($F37),AND(BJ$2&gt;=$F37,BJ$2&lt;=IF(ISNUMBER($G37),$G37,$F37+$E37-$D37)),FALSE()),2,IF(AND(BJ$2&gt;=$D37,BJ$2&lt;=$E37),1,"")))</f>
        <v/>
      </c>
      <c r="BK37" s="55" t="str">
        <f aca="false">IF(OR(BK$2="",$D37=""),"",IF(IF(ISNUMBER($F37),AND(BK$2&gt;=$F37,BK$2&lt;=IF(ISNUMBER($G37),$G37,$F37+$E37-$D37)),FALSE()),2,IF(AND(BK$2&gt;=$D37,BK$2&lt;=$E37),1,"")))</f>
        <v/>
      </c>
      <c r="BL37" s="55" t="str">
        <f aca="false">IF(OR(BL$2="",$D37=""),"",IF(IF(ISNUMBER($F37),AND(BL$2&gt;=$F37,BL$2&lt;=IF(ISNUMBER($G37),$G37,$F37+$E37-$D37)),FALSE()),2,IF(AND(BL$2&gt;=$D37,BL$2&lt;=$E37),1,"")))</f>
        <v/>
      </c>
      <c r="BM37" s="55" t="str">
        <f aca="false">IF(OR(BM$2="",$D37=""),"",IF(IF(ISNUMBER($F37),AND(BM$2&gt;=$F37,BM$2&lt;=IF(ISNUMBER($G37),$G37,$F37+$E37-$D37)),FALSE()),2,IF(AND(BM$2&gt;=$D37,BM$2&lt;=$E37),1,"")))</f>
        <v/>
      </c>
      <c r="BN37" s="55" t="str">
        <f aca="false">IF(OR(BN$2="",$D37=""),"",IF(IF(ISNUMBER($F37),AND(BN$2&gt;=$F37,BN$2&lt;=IF(ISNUMBER($G37),$G37,$F37+$E37-$D37)),FALSE()),2,IF(AND(BN$2&gt;=$D37,BN$2&lt;=$E37),1,"")))</f>
        <v/>
      </c>
      <c r="BO37" s="55" t="str">
        <f aca="false">IF(OR(BO$2="",$D37=""),"",IF(IF(ISNUMBER($F37),AND(BO$2&gt;=$F37,BO$2&lt;=IF(ISNUMBER($G37),$G37,$F37+$E37-$D37)),FALSE()),2,IF(AND(BO$2&gt;=$D37,BO$2&lt;=$E37),1,"")))</f>
        <v/>
      </c>
      <c r="BP37" s="55" t="str">
        <f aca="false">IF(OR(BP$2="",$D37=""),"",IF(IF(ISNUMBER($F37),AND(BP$2&gt;=$F37,BP$2&lt;=IF(ISNUMBER($G37),$G37,$F37+$E37-$D37)),FALSE()),2,IF(AND(BP$2&gt;=$D37,BP$2&lt;=$E37),1,"")))</f>
        <v/>
      </c>
      <c r="BQ37" s="55" t="str">
        <f aca="false">IF(OR(BQ$2="",$D37=""),"",IF(IF(ISNUMBER($F37),AND(BQ$2&gt;=$F37,BQ$2&lt;=IF(ISNUMBER($G37),$G37,$F37+$E37-$D37)),FALSE()),2,IF(AND(BQ$2&gt;=$D37,BQ$2&lt;=$E37),1,"")))</f>
        <v/>
      </c>
      <c r="BR37" s="55" t="str">
        <f aca="false">IF(OR(BR$2="",$D37=""),"",IF(IF(ISNUMBER($F37),AND(BR$2&gt;=$F37,BR$2&lt;=IF(ISNUMBER($G37),$G37,$F37+$E37-$D37)),FALSE()),2,IF(AND(BR$2&gt;=$D37,BR$2&lt;=$E37),1,"")))</f>
        <v/>
      </c>
      <c r="BS37" s="55" t="str">
        <f aca="false">IF(OR(BS$2="",$D37=""),"",IF(IF(ISNUMBER($F37),AND(BS$2&gt;=$F37,BS$2&lt;=IF(ISNUMBER($G37),$G37,$F37+$E37-$D37)),FALSE()),2,IF(AND(BS$2&gt;=$D37,BS$2&lt;=$E37),1,"")))</f>
        <v/>
      </c>
      <c r="BT37" s="55" t="str">
        <f aca="false">IF(OR(BT$2="",$D37=""),"",IF(IF(ISNUMBER($F37),AND(BT$2&gt;=$F37,BT$2&lt;=IF(ISNUMBER($G37),$G37,$F37+$E37-$D37)),FALSE()),2,IF(AND(BT$2&gt;=$D37,BT$2&lt;=$E37),1,"")))</f>
        <v/>
      </c>
      <c r="BU37" s="55" t="str">
        <f aca="false">IF(OR(BU$2="",$D37=""),"",IF(IF(ISNUMBER($F37),AND(BU$2&gt;=$F37,BU$2&lt;=IF(ISNUMBER($G37),$G37,$F37+$E37-$D37)),FALSE()),2,IF(AND(BU$2&gt;=$D37,BU$2&lt;=$E37),1,"")))</f>
        <v/>
      </c>
      <c r="BV37" s="55" t="str">
        <f aca="false">IF(OR(BV$2="",$D37=""),"",IF(IF(ISNUMBER($F37),AND(BV$2&gt;=$F37,BV$2&lt;=IF(ISNUMBER($G37),$G37,$F37+$E37-$D37)),FALSE()),2,IF(AND(BV$2&gt;=$D37,BV$2&lt;=$E37),1,"")))</f>
        <v/>
      </c>
      <c r="BW37" s="55" t="str">
        <f aca="false">IF(OR(BW$2="",$D37=""),"",IF(IF(ISNUMBER($F37),AND(BW$2&gt;=$F37,BW$2&lt;=IF(ISNUMBER($G37),$G37,$F37+$E37-$D37)),FALSE()),2,IF(AND(BW$2&gt;=$D37,BW$2&lt;=$E37),1,"")))</f>
        <v/>
      </c>
      <c r="BX37" s="55" t="str">
        <f aca="false">IF(OR(BX$2="",$D37=""),"",IF(IF(ISNUMBER($F37),AND(BX$2&gt;=$F37,BX$2&lt;=IF(ISNUMBER($G37),$G37,$F37+$E37-$D37)),FALSE()),2,IF(AND(BX$2&gt;=$D37,BX$2&lt;=$E37),1,"")))</f>
        <v/>
      </c>
      <c r="BY37" s="55" t="str">
        <f aca="false">IF(OR(BY$2="",$D37=""),"",IF(IF(ISNUMBER($F37),AND(BY$2&gt;=$F37,BY$2&lt;=IF(ISNUMBER($G37),$G37,$F37+$E37-$D37)),FALSE()),2,IF(AND(BY$2&gt;=$D37,BY$2&lt;=$E37),1,"")))</f>
        <v/>
      </c>
      <c r="BZ37" s="55" t="str">
        <f aca="false">IF(OR(BZ$2="",$D37=""),"",IF(IF(ISNUMBER($F37),AND(BZ$2&gt;=$F37,BZ$2&lt;=IF(ISNUMBER($G37),$G37,$F37+$E37-$D37)),FALSE()),2,IF(AND(BZ$2&gt;=$D37,BZ$2&lt;=$E37),1,"")))</f>
        <v/>
      </c>
      <c r="CA37" s="55" t="str">
        <f aca="false">IF(OR(CA$2="",$D37=""),"",IF(IF(ISNUMBER($F37),AND(CA$2&gt;=$F37,CA$2&lt;=IF(ISNUMBER($G37),$G37,$F37+$E37-$D37)),FALSE()),2,IF(AND(CA$2&gt;=$D37,CA$2&lt;=$E37),1,"")))</f>
        <v/>
      </c>
      <c r="CB37" s="55" t="str">
        <f aca="false">IF(OR(CB$2="",$D37=""),"",IF(IF(ISNUMBER($F37),AND(CB$2&gt;=$F37,CB$2&lt;=IF(ISNUMBER($G37),$G37,$F37+$E37-$D37)),FALSE()),2,IF(AND(CB$2&gt;=$D37,CB$2&lt;=$E37),1,"")))</f>
        <v/>
      </c>
      <c r="CC37" s="55" t="str">
        <f aca="false">IF(OR(CC$2="",$D37=""),"",IF(IF(ISNUMBER($F37),AND(CC$2&gt;=$F37,CC$2&lt;=IF(ISNUMBER($G37),$G37,$F37+$E37-$D37)),FALSE()),2,IF(AND(CC$2&gt;=$D37,CC$2&lt;=$E37),1,"")))</f>
        <v/>
      </c>
      <c r="CD37" s="55" t="str">
        <f aca="false">IF(OR(CD$2="",$D37=""),"",IF(IF(ISNUMBER($F37),AND(CD$2&gt;=$F37,CD$2&lt;=IF(ISNUMBER($G37),$G37,$F37+$E37-$D37)),FALSE()),2,IF(AND(CD$2&gt;=$D37,CD$2&lt;=$E37),1,"")))</f>
        <v/>
      </c>
      <c r="CE37" s="55" t="str">
        <f aca="false">IF(OR(CE$2="",$D37=""),"",IF(IF(ISNUMBER($F37),AND(CE$2&gt;=$F37,CE$2&lt;=IF(ISNUMBER($G37),$G37,$F37+$E37-$D37)),FALSE()),2,IF(AND(CE$2&gt;=$D37,CE$2&lt;=$E37),1,"")))</f>
        <v/>
      </c>
      <c r="CF37" s="55" t="str">
        <f aca="false">IF(OR(CF$2="",$D37=""),"",IF(IF(ISNUMBER($F37),AND(CF$2&gt;=$F37,CF$2&lt;=IF(ISNUMBER($G37),$G37,$F37+$E37-$D37)),FALSE()),2,IF(AND(CF$2&gt;=$D37,CF$2&lt;=$E37),1,"")))</f>
        <v/>
      </c>
      <c r="CG37" s="55" t="str">
        <f aca="false">IF(OR(CG$2="",$D37=""),"",IF(IF(ISNUMBER($F37),AND(CG$2&gt;=$F37,CG$2&lt;=IF(ISNUMBER($G37),$G37,$F37+$E37-$D37)),FALSE()),2,IF(AND(CG$2&gt;=$D37,CG$2&lt;=$E37),1,"")))</f>
        <v/>
      </c>
      <c r="CH37" s="55" t="str">
        <f aca="false">IF(OR(CH$2="",$D37=""),"",IF(IF(ISNUMBER($F37),AND(CH$2&gt;=$F37,CH$2&lt;=IF(ISNUMBER($G37),$G37,$F37+$E37-$D37)),FALSE()),2,IF(AND(CH$2&gt;=$D37,CH$2&lt;=$E37),1,"")))</f>
        <v/>
      </c>
      <c r="CI37" s="55" t="str">
        <f aca="false">IF(OR(CI$2="",$D37=""),"",IF(IF(ISNUMBER($F37),AND(CI$2&gt;=$F37,CI$2&lt;=IF(ISNUMBER($G37),$G37,$F37+$E37-$D37)),FALSE()),2,IF(AND(CI$2&gt;=$D37,CI$2&lt;=$E37),1,"")))</f>
        <v/>
      </c>
      <c r="CJ37" s="55" t="str">
        <f aca="false">IF(OR(CJ$2="",$D37=""),"",IF(IF(ISNUMBER($F37),AND(CJ$2&gt;=$F37,CJ$2&lt;=IF(ISNUMBER($G37),$G37,$F37+$E37-$D37)),FALSE()),2,IF(AND(CJ$2&gt;=$D37,CJ$2&lt;=$E37),1,"")))</f>
        <v/>
      </c>
      <c r="CK37" s="55" t="str">
        <f aca="false">IF(OR(CK$2="",$D37=""),"",IF(IF(ISNUMBER($F37),AND(CK$2&gt;=$F37,CK$2&lt;=IF(ISNUMBER($G37),$G37,$F37+$E37-$D37)),FALSE()),2,IF(AND(CK$2&gt;=$D37,CK$2&lt;=$E37),1,"")))</f>
        <v/>
      </c>
      <c r="CL37" s="55" t="str">
        <f aca="false">IF(OR(CL$2="",$D37=""),"",IF(IF(ISNUMBER($F37),AND(CL$2&gt;=$F37,CL$2&lt;=IF(ISNUMBER($G37),$G37,$F37+$E37-$D37)),FALSE()),2,IF(AND(CL$2&gt;=$D37,CL$2&lt;=$E37),1,"")))</f>
        <v/>
      </c>
      <c r="CM37" s="55" t="str">
        <f aca="false">IF(OR(CM$2="",$D37=""),"",IF(IF(ISNUMBER($F37),AND(CM$2&gt;=$F37,CM$2&lt;=IF(ISNUMBER($G37),$G37,$F37+$E37-$D37)),FALSE()),2,IF(AND(CM$2&gt;=$D37,CM$2&lt;=$E37),1,"")))</f>
        <v/>
      </c>
      <c r="CN37" s="55" t="str">
        <f aca="false">IF(OR(CN$2="",$D37=""),"",IF(IF(ISNUMBER($F37),AND(CN$2&gt;=$F37,CN$2&lt;=IF(ISNUMBER($G37),$G37,$F37+$E37-$D37)),FALSE()),2,IF(AND(CN$2&gt;=$D37,CN$2&lt;=$E37),1,"")))</f>
        <v/>
      </c>
      <c r="CO37" s="55" t="str">
        <f aca="false">IF(OR(CO$2="",$D37=""),"",IF(IF(ISNUMBER($F37),AND(CO$2&gt;=$F37,CO$2&lt;=IF(ISNUMBER($G37),$G37,$F37+$E37-$D37)),FALSE()),2,IF(AND(CO$2&gt;=$D37,CO$2&lt;=$E37),1,"")))</f>
        <v/>
      </c>
      <c r="CP37" s="55" t="str">
        <f aca="false">IF(OR(CP$2="",$D37=""),"",IF(IF(ISNUMBER($F37),AND(CP$2&gt;=$F37,CP$2&lt;=IF(ISNUMBER($G37),$G37,$F37+$E37-$D37)),FALSE()),2,IF(AND(CP$2&gt;=$D37,CP$2&lt;=$E37),1,"")))</f>
        <v/>
      </c>
      <c r="CQ37" s="55" t="str">
        <f aca="false">IF(OR(CQ$2="",$D37=""),"",IF(IF(ISNUMBER($F37),AND(CQ$2&gt;=$F37,CQ$2&lt;=IF(ISNUMBER($G37),$G37,$F37+$E37-$D37)),FALSE()),2,IF(AND(CQ$2&gt;=$D37,CQ$2&lt;=$E37),1,"")))</f>
        <v/>
      </c>
      <c r="CR37" s="55" t="str">
        <f aca="false">IF(OR(CR$2="",$D37=""),"",IF(IF(ISNUMBER($F37),AND(CR$2&gt;=$F37,CR$2&lt;=IF(ISNUMBER($G37),$G37,$F37+$E37-$D37)),FALSE()),2,IF(AND(CR$2&gt;=$D37,CR$2&lt;=$E37),1,"")))</f>
        <v/>
      </c>
      <c r="CS37" s="55" t="str">
        <f aca="false">IF(OR(CS$2="",$D37=""),"",IF(IF(ISNUMBER($F37),AND(CS$2&gt;=$F37,CS$2&lt;=IF(ISNUMBER($G37),$G37,$F37+$E37-$D37)),FALSE()),2,IF(AND(CS$2&gt;=$D37,CS$2&lt;=$E37),1,"")))</f>
        <v/>
      </c>
      <c r="CT37" s="55" t="str">
        <f aca="false">IF(OR(CT$2="",$D37=""),"",IF(IF(ISNUMBER($F37),AND(CT$2&gt;=$F37,CT$2&lt;=IF(ISNUMBER($G37),$G37,$F37+$E37-$D37)),FALSE()),2,IF(AND(CT$2&gt;=$D37,CT$2&lt;=$E37),1,"")))</f>
        <v/>
      </c>
      <c r="CU37" s="55" t="str">
        <f aca="false">IF(OR(CU$2="",$D37=""),"",IF(IF(ISNUMBER($F37),AND(CU$2&gt;=$F37,CU$2&lt;=IF(ISNUMBER($G37),$G37,$F37+$E37-$D37)),FALSE()),2,IF(AND(CU$2&gt;=$D37,CU$2&lt;=$E37),1,"")))</f>
        <v/>
      </c>
      <c r="CV37" s="55" t="str">
        <f aca="false">IF(OR(CV$2="",$D37=""),"",IF(IF(ISNUMBER($F37),AND(CV$2&gt;=$F37,CV$2&lt;=IF(ISNUMBER($G37),$G37,$F37+$E37-$D37)),FALSE()),2,IF(AND(CV$2&gt;=$D37,CV$2&lt;=$E37),1,"")))</f>
        <v/>
      </c>
      <c r="CW37" s="55" t="str">
        <f aca="false">IF(OR(CW$2="",$D37=""),"",IF(IF(ISNUMBER($F37),AND(CW$2&gt;=$F37,CW$2&lt;=IF(ISNUMBER($G37),$G37,$F37+$E37-$D37)),FALSE()),2,IF(AND(CW$2&gt;=$D37,CW$2&lt;=$E37),1,"")))</f>
        <v/>
      </c>
      <c r="CX37" s="55" t="str">
        <f aca="false">IF(OR(CX$2="",$D37=""),"",IF(IF(ISNUMBER($F37),AND(CX$2&gt;=$F37,CX$2&lt;=IF(ISNUMBER($G37),$G37,$F37+$E37-$D37)),FALSE()),2,IF(AND(CX$2&gt;=$D37,CX$2&lt;=$E37),1,"")))</f>
        <v/>
      </c>
      <c r="CY37" s="55" t="str">
        <f aca="false">IF(OR(CY$2="",$D37=""),"",IF(IF(ISNUMBER($F37),AND(CY$2&gt;=$F37,CY$2&lt;=IF(ISNUMBER($G37),$G37,$F37+$E37-$D37)),FALSE()),2,IF(AND(CY$2&gt;=$D37,CY$2&lt;=$E37),1,"")))</f>
        <v/>
      </c>
      <c r="CZ37" s="55" t="str">
        <f aca="false">IF(OR(CZ$2="",$D37=""),"",IF(IF(ISNUMBER($F37),AND(CZ$2&gt;=$F37,CZ$2&lt;=IF(ISNUMBER($G37),$G37,$F37+$E37-$D37)),FALSE()),2,IF(AND(CZ$2&gt;=$D37,CZ$2&lt;=$E37),1,"")))</f>
        <v/>
      </c>
      <c r="DA37" s="55" t="str">
        <f aca="false">IF(OR(DA$2="",$D37=""),"",IF(IF(ISNUMBER($F37),AND(DA$2&gt;=$F37,DA$2&lt;=IF(ISNUMBER($G37),$G37,$F37+$E37-$D37)),FALSE()),2,IF(AND(DA$2&gt;=$D37,DA$2&lt;=$E37),1,"")))</f>
        <v/>
      </c>
      <c r="DB37" s="55" t="str">
        <f aca="false">IF(OR(DB$2="",$D37=""),"",IF(IF(ISNUMBER($F37),AND(DB$2&gt;=$F37,DB$2&lt;=IF(ISNUMBER($G37),$G37,$F37+$E37-$D37)),FALSE()),2,IF(AND(DB$2&gt;=$D37,DB$2&lt;=$E37),1,"")))</f>
        <v/>
      </c>
      <c r="DC37" s="55" t="str">
        <f aca="false">IF(OR(DC$2="",$D37=""),"",IF(IF(ISNUMBER($F37),AND(DC$2&gt;=$F37,DC$2&lt;=IF(ISNUMBER($G37),$G37,$F37+$E37-$D37)),FALSE()),2,IF(AND(DC$2&gt;=$D37,DC$2&lt;=$E37),1,"")))</f>
        <v/>
      </c>
      <c r="DD37" s="55" t="str">
        <f aca="false">IF(OR(DD$2="",$D37=""),"",IF(IF(ISNUMBER($F37),AND(DD$2&gt;=$F37,DD$2&lt;=IF(ISNUMBER($G37),$G37,$F37+$E37-$D37)),FALSE()),2,IF(AND(DD$2&gt;=$D37,DD$2&lt;=$E37),1,"")))</f>
        <v/>
      </c>
      <c r="DE37" s="55" t="str">
        <f aca="false">IF(OR(DE$2="",$D37=""),"",IF(IF(ISNUMBER($F37),AND(DE$2&gt;=$F37,DE$2&lt;=IF(ISNUMBER($G37),$G37,$F37+$E37-$D37)),FALSE()),2,IF(AND(DE$2&gt;=$D37,DE$2&lt;=$E37),1,"")))</f>
        <v/>
      </c>
      <c r="DF37" s="55" t="str">
        <f aca="false">IF(OR(DF$2="",$D37=""),"",IF(IF(ISNUMBER($F37),AND(DF$2&gt;=$F37,DF$2&lt;=IF(ISNUMBER($G37),$G37,$F37+$E37-$D37)),FALSE()),2,IF(AND(DF$2&gt;=$D37,DF$2&lt;=$E37),1,"")))</f>
        <v/>
      </c>
      <c r="DG37" s="55" t="str">
        <f aca="false">IF(OR(DG$2="",$D37=""),"",IF(IF(ISNUMBER($F37),AND(DG$2&gt;=$F37,DG$2&lt;=IF(ISNUMBER($G37),$G37,$F37+$E37-$D37)),FALSE()),2,IF(AND(DG$2&gt;=$D37,DG$2&lt;=$E37),1,"")))</f>
        <v/>
      </c>
      <c r="DH37" s="55" t="str">
        <f aca="false">IF(OR(DH$2="",$D37=""),"",IF(IF(ISNUMBER($F37),AND(DH$2&gt;=$F37,DH$2&lt;=IF(ISNUMBER($G37),$G37,$F37+$E37-$D37)),FALSE()),2,IF(AND(DH$2&gt;=$D37,DH$2&lt;=$E37),1,"")))</f>
        <v/>
      </c>
      <c r="DI37" s="55" t="str">
        <f aca="false">IF(OR(DI$2="",$D37=""),"",IF(IF(ISNUMBER($F37),AND(DI$2&gt;=$F37,DI$2&lt;=IF(ISNUMBER($G37),$G37,$F37+$E37-$D37)),FALSE()),2,IF(AND(DI$2&gt;=$D37,DI$2&lt;=$E37),1,"")))</f>
        <v/>
      </c>
      <c r="DJ37" s="55" t="str">
        <f aca="false">IF(OR(DJ$2="",$D37=""),"",IF(IF(ISNUMBER($F37),AND(DJ$2&gt;=$F37,DJ$2&lt;=IF(ISNUMBER($G37),$G37,$F37+$E37-$D37)),FALSE()),2,IF(AND(DJ$2&gt;=$D37,DJ$2&lt;=$E37),1,"")))</f>
        <v/>
      </c>
      <c r="DK37" s="55" t="str">
        <f aca="false">IF(OR(DK$2="",$D37=""),"",IF(IF(ISNUMBER($F37),AND(DK$2&gt;=$F37,DK$2&lt;=IF(ISNUMBER($G37),$G37,$F37+$E37-$D37)),FALSE()),2,IF(AND(DK$2&gt;=$D37,DK$2&lt;=$E37),1,"")))</f>
        <v/>
      </c>
      <c r="DL37" s="55" t="str">
        <f aca="false">IF(OR(DL$2="",$D37=""),"",IF(IF(ISNUMBER($F37),AND(DL$2&gt;=$F37,DL$2&lt;=IF(ISNUMBER($G37),$G37,$F37+$E37-$D37)),FALSE()),2,IF(AND(DL$2&gt;=$D37,DL$2&lt;=$E37),1,"")))</f>
        <v/>
      </c>
      <c r="DM37" s="55" t="str">
        <f aca="false">IF(OR(DM$2="",$D37=""),"",IF(IF(ISNUMBER($F37),AND(DM$2&gt;=$F37,DM$2&lt;=IF(ISNUMBER($G37),$G37,$F37+$E37-$D37)),FALSE()),2,IF(AND(DM$2&gt;=$D37,DM$2&lt;=$E37),1,"")))</f>
        <v/>
      </c>
      <c r="DN37" s="55" t="str">
        <f aca="false">IF(OR(DN$2="",$D37=""),"",IF(IF(ISNUMBER($F37),AND(DN$2&gt;=$F37,DN$2&lt;=IF(ISNUMBER($G37),$G37,$F37+$E37-$D37)),FALSE()),2,IF(AND(DN$2&gt;=$D37,DN$2&lt;=$E37),1,"")))</f>
        <v/>
      </c>
      <c r="DO37" s="55" t="str">
        <f aca="false">IF(OR(DO$2="",$D37=""),"",IF(IF(ISNUMBER($F37),AND(DO$2&gt;=$F37,DO$2&lt;=IF(ISNUMBER($G37),$G37,$F37+$E37-$D37)),FALSE()),2,IF(AND(DO$2&gt;=$D37,DO$2&lt;=$E37),1,"")))</f>
        <v/>
      </c>
      <c r="DP37" s="55" t="str">
        <f aca="false">IF(OR(DP$2="",$D37=""),"",IF(IF(ISNUMBER($F37),AND(DP$2&gt;=$F37,DP$2&lt;=IF(ISNUMBER($G37),$G37,$F37+$E37-$D37)),FALSE()),2,IF(AND(DP$2&gt;=$D37,DP$2&lt;=$E37),1,"")))</f>
        <v/>
      </c>
      <c r="DQ37" s="55" t="str">
        <f aca="false">IF(OR(DQ$2="",$D37=""),"",IF(IF(ISNUMBER($F37),AND(DQ$2&gt;=$F37,DQ$2&lt;=IF(ISNUMBER($G37),$G37,$F37+$E37-$D37)),FALSE()),2,IF(AND(DQ$2&gt;=$D37,DQ$2&lt;=$E37),1,"")))</f>
        <v/>
      </c>
      <c r="DR37" s="55" t="str">
        <f aca="false">IF(OR(DR$2="",$D37=""),"",IF(IF(ISNUMBER($F37),AND(DR$2&gt;=$F37,DR$2&lt;=IF(ISNUMBER($G37),$G37,$F37+$E37-$D37)),FALSE()),2,IF(AND(DR$2&gt;=$D37,DR$2&lt;=$E37),1,"")))</f>
        <v/>
      </c>
      <c r="DS37" s="55" t="str">
        <f aca="false">IF(OR(DS$2="",$D37=""),"",IF(IF(ISNUMBER($F37),AND(DS$2&gt;=$F37,DS$2&lt;=IF(ISNUMBER($G37),$G37,$F37+$E37-$D37)),FALSE()),2,IF(AND(DS$2&gt;=$D37,DS$2&lt;=$E37),1,"")))</f>
        <v/>
      </c>
      <c r="DT37" s="55" t="str">
        <f aca="false">IF(OR(DT$2="",$D37=""),"",IF(IF(ISNUMBER($F37),AND(DT$2&gt;=$F37,DT$2&lt;=IF(ISNUMBER($G37),$G37,$F37+$E37-$D37)),FALSE()),2,IF(AND(DT$2&gt;=$D37,DT$2&lt;=$E37),1,"")))</f>
        <v/>
      </c>
      <c r="DU37" s="55" t="str">
        <f aca="false">IF(OR(DU$2="",$D37=""),"",IF(IF(ISNUMBER($F37),AND(DU$2&gt;=$F37,DU$2&lt;=IF(ISNUMBER($G37),$G37,$F37+$E37-$D37)),FALSE()),2,IF(AND(DU$2&gt;=$D37,DU$2&lt;=$E37),1,"")))</f>
        <v/>
      </c>
      <c r="DV37" s="55" t="str">
        <f aca="false">IF(OR(DV$2="",$D37=""),"",IF(IF(ISNUMBER($F37),AND(DV$2&gt;=$F37,DV$2&lt;=IF(ISNUMBER($G37),$G37,$F37+$E37-$D37)),FALSE()),2,IF(AND(DV$2&gt;=$D37,DV$2&lt;=$E37),1,"")))</f>
        <v/>
      </c>
      <c r="DW37" s="55" t="str">
        <f aca="false">IF(OR(DW$2="",$D37=""),"",IF(IF(ISNUMBER($F37),AND(DW$2&gt;=$F37,DW$2&lt;=IF(ISNUMBER($G37),$G37,$F37+$E37-$D37)),FALSE()),2,IF(AND(DW$2&gt;=$D37,DW$2&lt;=$E37),1,"")))</f>
        <v/>
      </c>
      <c r="DX37" s="55" t="str">
        <f aca="false">IF(OR(DX$2="",$D37=""),"",IF(IF(ISNUMBER($F37),AND(DX$2&gt;=$F37,DX$2&lt;=IF(ISNUMBER($G37),$G37,$F37+$E37-$D37)),FALSE()),2,IF(AND(DX$2&gt;=$D37,DX$2&lt;=$E37),1,"")))</f>
        <v/>
      </c>
      <c r="DY37" s="55" t="str">
        <f aca="false">IF(OR(DY$2="",$D37=""),"",IF(IF(ISNUMBER($F37),AND(DY$2&gt;=$F37,DY$2&lt;=IF(ISNUMBER($G37),$G37,$F37+$E37-$D37)),FALSE()),2,IF(AND(DY$2&gt;=$D37,DY$2&lt;=$E37),1,"")))</f>
        <v/>
      </c>
      <c r="DZ37" s="55" t="str">
        <f aca="false">IF(OR(DZ$2="",$D37=""),"",IF(IF(ISNUMBER($F37),AND(DZ$2&gt;=$F37,DZ$2&lt;=IF(ISNUMBER($G37),$G37,$F37+$E37-$D37)),FALSE()),2,IF(AND(DZ$2&gt;=$D37,DZ$2&lt;=$E37),1,"")))</f>
        <v/>
      </c>
      <c r="EA37" s="55" t="str">
        <f aca="false">IF(OR(EA$2="",$D37=""),"",IF(IF(ISNUMBER($F37),AND(EA$2&gt;=$F37,EA$2&lt;=IF(ISNUMBER($G37),$G37,$F37+$E37-$D37)),FALSE()),2,IF(AND(EA$2&gt;=$D37,EA$2&lt;=$E37),1,"")))</f>
        <v/>
      </c>
      <c r="EB37" s="55" t="str">
        <f aca="false">IF(OR(EB$2="",$D37=""),"",IF(IF(ISNUMBER($F37),AND(EB$2&gt;=$F37,EB$2&lt;=IF(ISNUMBER($G37),$G37,$F37+$E37-$D37)),FALSE()),2,IF(AND(EB$2&gt;=$D37,EB$2&lt;=$E37),1,"")))</f>
        <v/>
      </c>
      <c r="EC37" s="55" t="str">
        <f aca="false">IF(OR(EC$2="",$D37=""),"",IF(IF(ISNUMBER($F37),AND(EC$2&gt;=$F37,EC$2&lt;=IF(ISNUMBER($G37),$G37,$F37+$E37-$D37)),FALSE()),2,IF(AND(EC$2&gt;=$D37,EC$2&lt;=$E37),1,"")))</f>
        <v/>
      </c>
      <c r="ED37" s="55" t="str">
        <f aca="false">IF(OR(ED$2="",$D37=""),"",IF(IF(ISNUMBER($F37),AND(ED$2&gt;=$F37,ED$2&lt;=IF(ISNUMBER($G37),$G37,$F37+$E37-$D37)),FALSE()),2,IF(AND(ED$2&gt;=$D37,ED$2&lt;=$E37),1,"")))</f>
        <v/>
      </c>
      <c r="EE37" s="55" t="str">
        <f aca="false">IF(OR(EE$2="",$D37=""),"",IF(IF(ISNUMBER($F37),AND(EE$2&gt;=$F37,EE$2&lt;=IF(ISNUMBER($G37),$G37,$F37+$E37-$D37)),FALSE()),2,IF(AND(EE$2&gt;=$D37,EE$2&lt;=$E37),1,"")))</f>
        <v/>
      </c>
      <c r="EF37" s="55" t="str">
        <f aca="false">IF(OR(EF$2="",$D37=""),"",IF(IF(ISNUMBER($F37),AND(EF$2&gt;=$F37,EF$2&lt;=IF(ISNUMBER($G37),$G37,$F37+$E37-$D37)),FALSE()),2,IF(AND(EF$2&gt;=$D37,EF$2&lt;=$E37),1,"")))</f>
        <v/>
      </c>
      <c r="EG37" s="55" t="str">
        <f aca="false">IF(OR(EG$2="",$D37=""),"",IF(IF(ISNUMBER($F37),AND(EG$2&gt;=$F37,EG$2&lt;=IF(ISNUMBER($G37),$G37,$F37+$E37-$D37)),FALSE()),2,IF(AND(EG$2&gt;=$D37,EG$2&lt;=$E37),1,"")))</f>
        <v/>
      </c>
      <c r="EH37" s="55" t="str">
        <f aca="false">IF(OR(EH$2="",$D37=""),"",IF(IF(ISNUMBER($F37),AND(EH$2&gt;=$F37,EH$2&lt;=IF(ISNUMBER($G37),$G37,$F37+$E37-$D37)),FALSE()),2,IF(AND(EH$2&gt;=$D37,EH$2&lt;=$E37),1,"")))</f>
        <v/>
      </c>
      <c r="EI37" s="55" t="str">
        <f aca="false">IF(OR(EI$2="",$D37=""),"",IF(IF(ISNUMBER($F37),AND(EI$2&gt;=$F37,EI$2&lt;=IF(ISNUMBER($G37),$G37,$F37+$E37-$D37)),FALSE()),2,IF(AND(EI$2&gt;=$D37,EI$2&lt;=$E37),1,"")))</f>
        <v/>
      </c>
      <c r="EJ37" s="55" t="str">
        <f aca="false">IF(OR(EJ$2="",$D37=""),"",IF(IF(ISNUMBER($F37),AND(EJ$2&gt;=$F37,EJ$2&lt;=IF(ISNUMBER($G37),$G37,$F37+$E37-$D37)),FALSE()),2,IF(AND(EJ$2&gt;=$D37,EJ$2&lt;=$E37),1,"")))</f>
        <v/>
      </c>
      <c r="EK37" s="55" t="str">
        <f aca="false">IF(OR(EK$2="",$D37=""),"",IF(IF(ISNUMBER($F37),AND(EK$2&gt;=$F37,EK$2&lt;=IF(ISNUMBER($G37),$G37,$F37+$E37-$D37)),FALSE()),2,IF(AND(EK$2&gt;=$D37,EK$2&lt;=$E37),1,"")))</f>
        <v/>
      </c>
      <c r="EL37" s="55" t="str">
        <f aca="false">IF(OR(EL$2="",$D37=""),"",IF(IF(ISNUMBER($F37),AND(EL$2&gt;=$F37,EL$2&lt;=IF(ISNUMBER($G37),$G37,$F37+$E37-$D37)),FALSE()),2,IF(AND(EL$2&gt;=$D37,EL$2&lt;=$E37),1,"")))</f>
        <v/>
      </c>
      <c r="EM37" s="55" t="str">
        <f aca="false">IF(OR(EM$2="",$D37=""),"",IF(IF(ISNUMBER($F37),AND(EM$2&gt;=$F37,EM$2&lt;=IF(ISNUMBER($G37),$G37,$F37+$E37-$D37)),FALSE()),2,IF(AND(EM$2&gt;=$D37,EM$2&lt;=$E37),1,"")))</f>
        <v/>
      </c>
      <c r="EN37" s="55" t="str">
        <f aca="false">IF(OR(EN$2="",$D37=""),"",IF(IF(ISNUMBER($F37),AND(EN$2&gt;=$F37,EN$2&lt;=IF(ISNUMBER($G37),$G37,$F37+$E37-$D37)),FALSE()),2,IF(AND(EN$2&gt;=$D37,EN$2&lt;=$E37),1,"")))</f>
        <v/>
      </c>
      <c r="EO37" s="55" t="str">
        <f aca="false">IF(OR(EO$2="",$D37=""),"",IF(IF(ISNUMBER($F37),AND(EO$2&gt;=$F37,EO$2&lt;=IF(ISNUMBER($G37),$G37,$F37+$E37-$D37)),FALSE()),2,IF(AND(EO$2&gt;=$D37,EO$2&lt;=$E37),1,"")))</f>
        <v/>
      </c>
      <c r="EP37" s="55" t="str">
        <f aca="false">IF(OR(EP$2="",$D37=""),"",IF(IF(ISNUMBER($F37),AND(EP$2&gt;=$F37,EP$2&lt;=IF(ISNUMBER($G37),$G37,$F37+$E37-$D37)),FALSE()),2,IF(AND(EP$2&gt;=$D37,EP$2&lt;=$E37),1,"")))</f>
        <v/>
      </c>
      <c r="EQ37" s="55" t="str">
        <f aca="false">IF(OR(EQ$2="",$D37=""),"",IF(IF(ISNUMBER($F37),AND(EQ$2&gt;=$F37,EQ$2&lt;=IF(ISNUMBER($G37),$G37,$F37+$E37-$D37)),FALSE()),2,IF(AND(EQ$2&gt;=$D37,EQ$2&lt;=$E37),1,"")))</f>
        <v/>
      </c>
      <c r="ER37" s="55" t="str">
        <f aca="false">IF(OR(ER$2="",$D37=""),"",IF(IF(ISNUMBER($F37),AND(ER$2&gt;=$F37,ER$2&lt;=IF(ISNUMBER($G37),$G37,$F37+$E37-$D37)),FALSE()),2,IF(AND(ER$2&gt;=$D37,ER$2&lt;=$E37),1,"")))</f>
        <v/>
      </c>
      <c r="ES37" s="55" t="str">
        <f aca="false">IF(OR(ES$2="",$D37=""),"",IF(IF(ISNUMBER($F37),AND(ES$2&gt;=$F37,ES$2&lt;=IF(ISNUMBER($G37),$G37,$F37+$E37-$D37)),FALSE()),2,IF(AND(ES$2&gt;=$D37,ES$2&lt;=$E37),1,"")))</f>
        <v/>
      </c>
      <c r="ET37" s="55" t="str">
        <f aca="false">IF(OR(ET$2="",$D37=""),"",IF(IF(ISNUMBER($F37),AND(ET$2&gt;=$F37,ET$2&lt;=IF(ISNUMBER($G37),$G37,$F37+$E37-$D37)),FALSE()),2,IF(AND(ET$2&gt;=$D37,ET$2&lt;=$E37),1,"")))</f>
        <v/>
      </c>
      <c r="EU37" s="55" t="str">
        <f aca="false">IF(OR(EU$2="",$D37=""),"",IF(IF(ISNUMBER($F37),AND(EU$2&gt;=$F37,EU$2&lt;=IF(ISNUMBER($G37),$G37,$F37+$E37-$D37)),FALSE()),2,IF(AND(EU$2&gt;=$D37,EU$2&lt;=$E37),1,"")))</f>
        <v/>
      </c>
      <c r="EV37" s="55" t="str">
        <f aca="false">IF(OR(EV$2="",$D37=""),"",IF(IF(ISNUMBER($F37),AND(EV$2&gt;=$F37,EV$2&lt;=IF(ISNUMBER($G37),$G37,$F37+$E37-$D37)),FALSE()),2,IF(AND(EV$2&gt;=$D37,EV$2&lt;=$E37),1,"")))</f>
        <v/>
      </c>
      <c r="EW37" s="55" t="str">
        <f aca="false">IF(OR(EW$2="",$D37=""),"",IF(IF(ISNUMBER($F37),AND(EW$2&gt;=$F37,EW$2&lt;=IF(ISNUMBER($G37),$G37,$F37+$E37-$D37)),FALSE()),2,IF(AND(EW$2&gt;=$D37,EW$2&lt;=$E37),1,"")))</f>
        <v/>
      </c>
      <c r="EX37" s="55" t="n">
        <f aca="false">IF(OR(EX$2="",$D37=""),"",IF(IF(ISNUMBER($F37),AND(EX$2&gt;=$F37,EX$2&lt;=IF(ISNUMBER($G37),$G37,$F37+$E37-$D37)),FALSE()),2,IF(AND(EX$2&gt;=$D37,EX$2&lt;=$E37),1,"")))</f>
        <v>1</v>
      </c>
      <c r="EY37" s="55" t="str">
        <f aca="false">IF(OR(EY$2="",$D37=""),"",IF(IF(ISNUMBER($F37),AND(EY$2&gt;=$F37,EY$2&lt;=IF(ISNUMBER($G37),$G37,$F37+$E37-$D37)),FALSE()),2,IF(AND(EY$2&gt;=$D37,EY$2&lt;=$E37),1,"")))</f>
        <v/>
      </c>
      <c r="EZ37" s="55" t="str">
        <f aca="false">IF(OR(EZ$2="",$D37=""),"",IF(IF(ISNUMBER($F37),AND(EZ$2&gt;=$F37,EZ$2&lt;=IF(ISNUMBER($G37),$G37,$F37+$E37-$D37)),FALSE()),2,IF(AND(EZ$2&gt;=$D37,EZ$2&lt;=$E37),1,"")))</f>
        <v/>
      </c>
      <c r="FA37" s="55" t="str">
        <f aca="false">IF(OR(FA$2="",$D37=""),"",IF(IF(ISNUMBER($F37),AND(FA$2&gt;=$F37,FA$2&lt;=IF(ISNUMBER($G37),$G37,$F37+$E37-$D37)),FALSE()),2,IF(AND(FA$2&gt;=$D37,FA$2&lt;=$E37),1,"")))</f>
        <v/>
      </c>
      <c r="FB37" s="55" t="str">
        <f aca="false">IF(OR(FB$2="",$D37=""),"",IF(IF(ISNUMBER($F37),AND(FB$2&gt;=$F37,FB$2&lt;=IF(ISNUMBER($G37),$G37,$F37+$E37-$D37)),FALSE()),2,IF(AND(FB$2&gt;=$D37,FB$2&lt;=$E37),1,"")))</f>
        <v/>
      </c>
      <c r="FC37" s="55" t="str">
        <f aca="false">IF(OR(FC$2="",$D37=""),"",IF(IF(ISNUMBER($F37),AND(FC$2&gt;=$F37,FC$2&lt;=IF(ISNUMBER($G37),$G37,$F37+$E37-$D37)),FALSE()),2,IF(AND(FC$2&gt;=$D37,FC$2&lt;=$E37),1,"")))</f>
        <v/>
      </c>
      <c r="FD37" s="55" t="str">
        <f aca="false">IF(OR(FD$2="",$D37=""),"",IF(IF(ISNUMBER($F37),AND(FD$2&gt;=$F37,FD$2&lt;=IF(ISNUMBER($G37),$G37,$F37+$E37-$D37)),FALSE()),2,IF(AND(FD$2&gt;=$D37,FD$2&lt;=$E37),1,"")))</f>
        <v/>
      </c>
      <c r="FE37" s="55" t="str">
        <f aca="false">IF(OR(FE$2="",$D37=""),"",IF(IF(ISNUMBER($F37),AND(FE$2&gt;=$F37,FE$2&lt;=IF(ISNUMBER($G37),$G37,$F37+$E37-$D37)),FALSE()),2,IF(AND(FE$2&gt;=$D37,FE$2&lt;=$E37),1,"")))</f>
        <v/>
      </c>
      <c r="FF37" s="55" t="str">
        <f aca="false">IF(OR(FF$2="",$D37=""),"",IF(IF(ISNUMBER($F37),AND(FF$2&gt;=$F37,FF$2&lt;=IF(ISNUMBER($G37),$G37,$F37+$E37-$D37)),FALSE()),2,IF(AND(FF$2&gt;=$D37,FF$2&lt;=$E37),1,"")))</f>
        <v/>
      </c>
      <c r="FG37" s="55" t="str">
        <f aca="false">IF(OR(FG$2="",$D37=""),"",IF(IF(ISNUMBER($F37),AND(FG$2&gt;=$F37,FG$2&lt;=IF(ISNUMBER($G37),$G37,$F37+$E37-$D37)),FALSE()),2,IF(AND(FG$2&gt;=$D37,FG$2&lt;=$E37),1,"")))</f>
        <v/>
      </c>
      <c r="FH37" s="55" t="str">
        <f aca="false">IF(OR(FH$2="",$D37=""),"",IF(IF(ISNUMBER($F37),AND(FH$2&gt;=$F37,FH$2&lt;=IF(ISNUMBER($G37),$G37,$F37+$E37-$D37)),FALSE()),2,IF(AND(FH$2&gt;=$D37,FH$2&lt;=$E37),1,"")))</f>
        <v/>
      </c>
      <c r="FI37" s="55" t="str">
        <f aca="false">IF(OR(FI$2="",$D37=""),"",IF(IF(ISNUMBER($F37),AND(FI$2&gt;=$F37,FI$2&lt;=IF(ISNUMBER($G37),$G37,$F37+$E37-$D37)),FALSE()),2,IF(AND(FI$2&gt;=$D37,FI$2&lt;=$E37),1,"")))</f>
        <v/>
      </c>
      <c r="FJ37" s="55" t="str">
        <f aca="false">IF(OR(FJ$2="",$D37=""),"",IF(IF(ISNUMBER($F37),AND(FJ$2&gt;=$F37,FJ$2&lt;=IF(ISNUMBER($G37),$G37,$F37+$E37-$D37)),FALSE()),2,IF(AND(FJ$2&gt;=$D37,FJ$2&lt;=$E37),1,"")))</f>
        <v/>
      </c>
      <c r="FK37" s="55" t="str">
        <f aca="false">IF(OR(FK$2="",$D37=""),"",IF(IF(ISNUMBER($F37),AND(FK$2&gt;=$F37,FK$2&lt;=IF(ISNUMBER($G37),$G37,$F37+$E37-$D37)),FALSE()),2,IF(AND(FK$2&gt;=$D37,FK$2&lt;=$E37),1,"")))</f>
        <v/>
      </c>
      <c r="FL37" s="55" t="str">
        <f aca="false">IF(OR(FL$2="",$D37=""),"",IF(IF(ISNUMBER($F37),AND(FL$2&gt;=$F37,FL$2&lt;=IF(ISNUMBER($G37),$G37,$F37+$E37-$D37)),FALSE()),2,IF(AND(FL$2&gt;=$D37,FL$2&lt;=$E37),1,"")))</f>
        <v/>
      </c>
      <c r="FM37" s="55" t="str">
        <f aca="false">IF(OR(FM$2="",$D37=""),"",IF(IF(ISNUMBER($F37),AND(FM$2&gt;=$F37,FM$2&lt;=IF(ISNUMBER($G37),$G37,$F37+$E37-$D37)),FALSE()),2,IF(AND(FM$2&gt;=$D37,FM$2&lt;=$E37),1,"")))</f>
        <v/>
      </c>
      <c r="FN37" s="55" t="str">
        <f aca="false">IF(OR(FN$2="",$D37=""),"",IF(IF(ISNUMBER($F37),AND(FN$2&gt;=$F37,FN$2&lt;=IF(ISNUMBER($G37),$G37,$F37+$E37-$D37)),FALSE()),2,IF(AND(FN$2&gt;=$D37,FN$2&lt;=$E37),1,"")))</f>
        <v/>
      </c>
      <c r="FO37" s="55" t="str">
        <f aca="false">IF(OR(FO$2="",$D37=""),"",IF(IF(ISNUMBER($F37),AND(FO$2&gt;=$F37,FO$2&lt;=IF(ISNUMBER($G37),$G37,$F37+$E37-$D37)),FALSE()),2,IF(AND(FO$2&gt;=$D37,FO$2&lt;=$E37),1,"")))</f>
        <v/>
      </c>
      <c r="FP37" s="55" t="str">
        <f aca="false">IF(OR(FP$2="",$D37=""),"",IF(IF(ISNUMBER($F37),AND(FP$2&gt;=$F37,FP$2&lt;=IF(ISNUMBER($G37),$G37,$F37+$E37-$D37)),FALSE()),2,IF(AND(FP$2&gt;=$D37,FP$2&lt;=$E37),1,"")))</f>
        <v/>
      </c>
      <c r="FQ37" s="55" t="str">
        <f aca="false">IF(OR(FQ$2="",$D37=""),"",IF(IF(ISNUMBER($F37),AND(FQ$2&gt;=$F37,FQ$2&lt;=IF(ISNUMBER($G37),$G37,$F37+$E37-$D37)),FALSE()),2,IF(AND(FQ$2&gt;=$D37,FQ$2&lt;=$E37),1,"")))</f>
        <v/>
      </c>
      <c r="FR37" s="55" t="str">
        <f aca="false">IF(OR(FR$2="",$D37=""),"",IF(IF(ISNUMBER($F37),AND(FR$2&gt;=$F37,FR$2&lt;=IF(ISNUMBER($G37),$G37,$F37+$E37-$D37)),FALSE()),2,IF(AND(FR$2&gt;=$D37,FR$2&lt;=$E37),1,"")))</f>
        <v/>
      </c>
      <c r="FS37" s="55" t="str">
        <f aca="false">IF(OR(FS$2="",$D37=""),"",IF(IF(ISNUMBER($F37),AND(FS$2&gt;=$F37,FS$2&lt;=IF(ISNUMBER($G37),$G37,$F37+$E37-$D37)),FALSE()),2,IF(AND(FS$2&gt;=$D37,FS$2&lt;=$E37),1,"")))</f>
        <v/>
      </c>
      <c r="FT37" s="55" t="str">
        <f aca="false">IF(OR(FT$2="",$D37=""),"",IF(IF(ISNUMBER($F37),AND(FT$2&gt;=$F37,FT$2&lt;=IF(ISNUMBER($G37),$G37,$F37+$E37-$D37)),FALSE()),2,IF(AND(FT$2&gt;=$D37,FT$2&lt;=$E37),1,"")))</f>
        <v/>
      </c>
      <c r="FU37" s="55" t="str">
        <f aca="false">IF(OR(FU$2="",$D37=""),"",IF(IF(ISNUMBER($F37),AND(FU$2&gt;=$F37,FU$2&lt;=IF(ISNUMBER($G37),$G37,$F37+$E37-$D37)),FALSE()),2,IF(AND(FU$2&gt;=$D37,FU$2&lt;=$E37),1,"")))</f>
        <v/>
      </c>
      <c r="FV37" s="55" t="str">
        <f aca="false">IF(OR(FV$2="",$D37=""),"",IF(IF(ISNUMBER($F37),AND(FV$2&gt;=$F37,FV$2&lt;=IF(ISNUMBER($G37),$G37,$F37+$E37-$D37)),FALSE()),2,IF(AND(FV$2&gt;=$D37,FV$2&lt;=$E37),1,"")))</f>
        <v/>
      </c>
      <c r="FW37" s="55" t="str">
        <f aca="false">IF(OR(FW$2="",$D37=""),"",IF(IF(ISNUMBER($F37),AND(FW$2&gt;=$F37,FW$2&lt;=IF(ISNUMBER($G37),$G37,$F37+$E37-$D37)),FALSE()),2,IF(AND(FW$2&gt;=$D37,FW$2&lt;=$E37),1,"")))</f>
        <v/>
      </c>
      <c r="FX37" s="55" t="str">
        <f aca="false">IF(OR(FX$2="",$D37=""),"",IF(IF(ISNUMBER($F37),AND(FX$2&gt;=$F37,FX$2&lt;=IF(ISNUMBER($G37),$G37,$F37+$E37-$D37)),FALSE()),2,IF(AND(FX$2&gt;=$D37,FX$2&lt;=$E37),1,"")))</f>
        <v/>
      </c>
      <c r="FY37" s="55" t="str">
        <f aca="false">IF(OR(FY$2="",$D37=""),"",IF(IF(ISNUMBER($F37),AND(FY$2&gt;=$F37,FY$2&lt;=IF(ISNUMBER($G37),$G37,$F37+$E37-$D37)),FALSE()),2,IF(AND(FY$2&gt;=$D37,FY$2&lt;=$E37),1,"")))</f>
        <v/>
      </c>
      <c r="FZ37" s="55" t="str">
        <f aca="false">IF(OR(FZ$2="",$D37=""),"",IF(IF(ISNUMBER($F37),AND(FZ$2&gt;=$F37,FZ$2&lt;=IF(ISNUMBER($G37),$G37,$F37+$E37-$D37)),FALSE()),2,IF(AND(FZ$2&gt;=$D37,FZ$2&lt;=$E37),1,"")))</f>
        <v/>
      </c>
      <c r="GA37" s="55" t="str">
        <f aca="false">IF(OR(GA$2="",$D37=""),"",IF(IF(ISNUMBER($F37),AND(GA$2&gt;=$F37,GA$2&lt;=IF(ISNUMBER($G37),$G37,$F37+$E37-$D37)),FALSE()),2,IF(AND(GA$2&gt;=$D37,GA$2&lt;=$E37),1,"")))</f>
        <v/>
      </c>
      <c r="GB37" s="55" t="str">
        <f aca="false">IF(OR(GB$2="",$D37=""),"",IF(IF(ISNUMBER($F37),AND(GB$2&gt;=$F37,GB$2&lt;=IF(ISNUMBER($G37),$G37,$F37+$E37-$D37)),FALSE()),2,IF(AND(GB$2&gt;=$D37,GB$2&lt;=$E37),1,"")))</f>
        <v/>
      </c>
      <c r="GC37" s="55" t="str">
        <f aca="false">IF(OR(GC$2="",$D37=""),"",IF(IF(ISNUMBER($F37),AND(GC$2&gt;=$F37,GC$2&lt;=IF(ISNUMBER($G37),$G37,$F37+$E37-$D37)),FALSE()),2,IF(AND(GC$2&gt;=$D37,GC$2&lt;=$E37),1,"")))</f>
        <v/>
      </c>
      <c r="GD37" s="55" t="str">
        <f aca="false">IF(OR(GD$2="",$D37=""),"",IF(IF(ISNUMBER($F37),AND(GD$2&gt;=$F37,GD$2&lt;=IF(ISNUMBER($G37),$G37,$F37+$E37-$D37)),FALSE()),2,IF(AND(GD$2&gt;=$D37,GD$2&lt;=$E37),1,"")))</f>
        <v/>
      </c>
      <c r="GE37" s="55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false" outlineLevel="0" collapsed="false">
      <c r="A38" s="54" t="s">
        <v>396</v>
      </c>
      <c r="B38" s="21" t="s">
        <v>397</v>
      </c>
      <c r="C38" s="21" t="s">
        <v>328</v>
      </c>
      <c r="D38" s="51" t="n">
        <f aca="false">IF(D25="","",D25)</f>
        <v>46142</v>
      </c>
      <c r="E38" s="51" t="n">
        <f aca="false">IF(D38="","",D38)</f>
        <v>46142</v>
      </c>
      <c r="F38" s="51" t="str">
        <f aca="false">IF(_xlfn.MINIFS(2_Daily_input!$D$1:$FQ$1,2_Daily_input!$D$73:$FQ$73,"Harvest")+_xlfn.MINIFS(2_Daily_input!$D$1:$FQ$1,2_Daily_input!$D$74:$FQ$74,"Harvest")=0,"",IF(_xlfn.MINIFS(2_Daily_input!$D$1:$FQ$1,2_Daily_input!$D$73:$FQ$73,"Harvest")=0,_xlfn.MINIFS(2_Daily_input!$D$1:$FQ$1,2_Daily_input!$D$74:$FQ$74,"Harvest"),IF(_xlfn.MINIFS(2_Daily_input!$D$1:$FQ$1,2_Daily_input!$D$74:$FQ$74,"Harvest")=0,_xlfn.MINIFS(2_Daily_input!$D$1:$FQ$1,2_Daily_input!$D$73:$FQ$73,"Harvest"),MIN(_xlfn.MINIFS(2_Daily_input!$D$1:$FQ$1,2_Daily_input!$D$73:$FQ$73,"Harvest"),_xlfn.MINIFS(2_Daily_input!$D$1:$FQ$1,2_Daily_input!$D$74:$FQ$74,"Harvest")))))</f>
        <v/>
      </c>
      <c r="G38" s="51" t="str">
        <f aca="false">""</f>
        <v/>
      </c>
      <c r="H38" s="50" t="str">
        <f aca="true">IF(D38="","no plan",IF(F38&lt;&gt;"",IF(F38-D38&gt;=2,"LATE","OK"),IF(TODAY()&gt;D38+2,"OVERDUE","upcoming")))</f>
        <v>OVERDUE</v>
      </c>
      <c r="I38" s="50" t="str">
        <f aca="false">IF(AND(D38&lt;&gt;"",F38&lt;&gt;""),F38-D38,"")</f>
        <v/>
      </c>
      <c r="J38" s="51" t="n">
        <f aca="false">IF(F38&lt;&gt;"",F38,D38)</f>
        <v>46142</v>
      </c>
      <c r="K38" s="51" t="n">
        <f aca="false">IF(G38&lt;&gt;"",G38,IF(AND(F38&lt;&gt;"",E38=D38),F38,E38))</f>
        <v>46142</v>
      </c>
      <c r="L38" s="50" t="str">
        <f aca="true">IF(AND(D38&lt;&gt;"",F38="",D38&gt;=TODAY()),D38+ROW()/1000,"")</f>
        <v/>
      </c>
      <c r="M38" s="55" t="str">
        <f aca="false">IF(OR(M$2="",$D38=""),"",IF(IF(ISNUMBER($F38),AND(M$2&gt;=$F38,M$2&lt;=IF(ISNUMBER($G38),$G38,$F38+$E38-$D38)),FALSE()),2,IF(AND(M$2&gt;=$D38,M$2&lt;=$E38),1,"")))</f>
        <v/>
      </c>
      <c r="N38" s="55" t="str">
        <f aca="false">IF(OR(N$2="",$D38=""),"",IF(IF(ISNUMBER($F38),AND(N$2&gt;=$F38,N$2&lt;=IF(ISNUMBER($G38),$G38,$F38+$E38-$D38)),FALSE()),2,IF(AND(N$2&gt;=$D38,N$2&lt;=$E38),1,"")))</f>
        <v/>
      </c>
      <c r="O38" s="55" t="str">
        <f aca="false">IF(OR(O$2="",$D38=""),"",IF(IF(ISNUMBER($F38),AND(O$2&gt;=$F38,O$2&lt;=IF(ISNUMBER($G38),$G38,$F38+$E38-$D38)),FALSE()),2,IF(AND(O$2&gt;=$D38,O$2&lt;=$E38),1,"")))</f>
        <v/>
      </c>
      <c r="P38" s="55" t="str">
        <f aca="false">IF(OR(P$2="",$D38=""),"",IF(IF(ISNUMBER($F38),AND(P$2&gt;=$F38,P$2&lt;=IF(ISNUMBER($G38),$G38,$F38+$E38-$D38)),FALSE()),2,IF(AND(P$2&gt;=$D38,P$2&lt;=$E38),1,"")))</f>
        <v/>
      </c>
      <c r="Q38" s="55" t="str">
        <f aca="false">IF(OR(Q$2="",$D38=""),"",IF(IF(ISNUMBER($F38),AND(Q$2&gt;=$F38,Q$2&lt;=IF(ISNUMBER($G38),$G38,$F38+$E38-$D38)),FALSE()),2,IF(AND(Q$2&gt;=$D38,Q$2&lt;=$E38),1,"")))</f>
        <v/>
      </c>
      <c r="R38" s="55" t="str">
        <f aca="false">IF(OR(R$2="",$D38=""),"",IF(IF(ISNUMBER($F38),AND(R$2&gt;=$F38,R$2&lt;=IF(ISNUMBER($G38),$G38,$F38+$E38-$D38)),FALSE()),2,IF(AND(R$2&gt;=$D38,R$2&lt;=$E38),1,"")))</f>
        <v/>
      </c>
      <c r="S38" s="55" t="str">
        <f aca="false">IF(OR(S$2="",$D38=""),"",IF(IF(ISNUMBER($F38),AND(S$2&gt;=$F38,S$2&lt;=IF(ISNUMBER($G38),$G38,$F38+$E38-$D38)),FALSE()),2,IF(AND(S$2&gt;=$D38,S$2&lt;=$E38),1,"")))</f>
        <v/>
      </c>
      <c r="T38" s="55" t="str">
        <f aca="false">IF(OR(T$2="",$D38=""),"",IF(IF(ISNUMBER($F38),AND(T$2&gt;=$F38,T$2&lt;=IF(ISNUMBER($G38),$G38,$F38+$E38-$D38)),FALSE()),2,IF(AND(T$2&gt;=$D38,T$2&lt;=$E38),1,"")))</f>
        <v/>
      </c>
      <c r="U38" s="55" t="str">
        <f aca="false">IF(OR(U$2="",$D38=""),"",IF(IF(ISNUMBER($F38),AND(U$2&gt;=$F38,U$2&lt;=IF(ISNUMBER($G38),$G38,$F38+$E38-$D38)),FALSE()),2,IF(AND(U$2&gt;=$D38,U$2&lt;=$E38),1,"")))</f>
        <v/>
      </c>
      <c r="V38" s="55" t="str">
        <f aca="false">IF(OR(V$2="",$D38=""),"",IF(IF(ISNUMBER($F38),AND(V$2&gt;=$F38,V$2&lt;=IF(ISNUMBER($G38),$G38,$F38+$E38-$D38)),FALSE()),2,IF(AND(V$2&gt;=$D38,V$2&lt;=$E38),1,"")))</f>
        <v/>
      </c>
      <c r="W38" s="55" t="str">
        <f aca="false">IF(OR(W$2="",$D38=""),"",IF(IF(ISNUMBER($F38),AND(W$2&gt;=$F38,W$2&lt;=IF(ISNUMBER($G38),$G38,$F38+$E38-$D38)),FALSE()),2,IF(AND(W$2&gt;=$D38,W$2&lt;=$E38),1,"")))</f>
        <v/>
      </c>
      <c r="X38" s="55" t="str">
        <f aca="false">IF(OR(X$2="",$D38=""),"",IF(IF(ISNUMBER($F38),AND(X$2&gt;=$F38,X$2&lt;=IF(ISNUMBER($G38),$G38,$F38+$E38-$D38)),FALSE()),2,IF(AND(X$2&gt;=$D38,X$2&lt;=$E38),1,"")))</f>
        <v/>
      </c>
      <c r="Y38" s="55" t="str">
        <f aca="false">IF(OR(Y$2="",$D38=""),"",IF(IF(ISNUMBER($F38),AND(Y$2&gt;=$F38,Y$2&lt;=IF(ISNUMBER($G38),$G38,$F38+$E38-$D38)),FALSE()),2,IF(AND(Y$2&gt;=$D38,Y$2&lt;=$E38),1,"")))</f>
        <v/>
      </c>
      <c r="Z38" s="55" t="str">
        <f aca="false">IF(OR(Z$2="",$D38=""),"",IF(IF(ISNUMBER($F38),AND(Z$2&gt;=$F38,Z$2&lt;=IF(ISNUMBER($G38),$G38,$F38+$E38-$D38)),FALSE()),2,IF(AND(Z$2&gt;=$D38,Z$2&lt;=$E38),1,"")))</f>
        <v/>
      </c>
      <c r="AA38" s="55" t="str">
        <f aca="false">IF(OR(AA$2="",$D38=""),"",IF(IF(ISNUMBER($F38),AND(AA$2&gt;=$F38,AA$2&lt;=IF(ISNUMBER($G38),$G38,$F38+$E38-$D38)),FALSE()),2,IF(AND(AA$2&gt;=$D38,AA$2&lt;=$E38),1,"")))</f>
        <v/>
      </c>
      <c r="AB38" s="55" t="str">
        <f aca="false">IF(OR(AB$2="",$D38=""),"",IF(IF(ISNUMBER($F38),AND(AB$2&gt;=$F38,AB$2&lt;=IF(ISNUMBER($G38),$G38,$F38+$E38-$D38)),FALSE()),2,IF(AND(AB$2&gt;=$D38,AB$2&lt;=$E38),1,"")))</f>
        <v/>
      </c>
      <c r="AC38" s="55" t="str">
        <f aca="false">IF(OR(AC$2="",$D38=""),"",IF(IF(ISNUMBER($F38),AND(AC$2&gt;=$F38,AC$2&lt;=IF(ISNUMBER($G38),$G38,$F38+$E38-$D38)),FALSE()),2,IF(AND(AC$2&gt;=$D38,AC$2&lt;=$E38),1,"")))</f>
        <v/>
      </c>
      <c r="AD38" s="55" t="str">
        <f aca="false">IF(OR(AD$2="",$D38=""),"",IF(IF(ISNUMBER($F38),AND(AD$2&gt;=$F38,AD$2&lt;=IF(ISNUMBER($G38),$G38,$F38+$E38-$D38)),FALSE()),2,IF(AND(AD$2&gt;=$D38,AD$2&lt;=$E38),1,"")))</f>
        <v/>
      </c>
      <c r="AE38" s="55" t="str">
        <f aca="false">IF(OR(AE$2="",$D38=""),"",IF(IF(ISNUMBER($F38),AND(AE$2&gt;=$F38,AE$2&lt;=IF(ISNUMBER($G38),$G38,$F38+$E38-$D38)),FALSE()),2,IF(AND(AE$2&gt;=$D38,AE$2&lt;=$E38),1,"")))</f>
        <v/>
      </c>
      <c r="AF38" s="55" t="str">
        <f aca="false">IF(OR(AF$2="",$D38=""),"",IF(IF(ISNUMBER($F38),AND(AF$2&gt;=$F38,AF$2&lt;=IF(ISNUMBER($G38),$G38,$F38+$E38-$D38)),FALSE()),2,IF(AND(AF$2&gt;=$D38,AF$2&lt;=$E38),1,"")))</f>
        <v/>
      </c>
      <c r="AG38" s="55" t="str">
        <f aca="false">IF(OR(AG$2="",$D38=""),"",IF(IF(ISNUMBER($F38),AND(AG$2&gt;=$F38,AG$2&lt;=IF(ISNUMBER($G38),$G38,$F38+$E38-$D38)),FALSE()),2,IF(AND(AG$2&gt;=$D38,AG$2&lt;=$E38),1,"")))</f>
        <v/>
      </c>
      <c r="AH38" s="55" t="str">
        <f aca="false">IF(OR(AH$2="",$D38=""),"",IF(IF(ISNUMBER($F38),AND(AH$2&gt;=$F38,AH$2&lt;=IF(ISNUMBER($G38),$G38,$F38+$E38-$D38)),FALSE()),2,IF(AND(AH$2&gt;=$D38,AH$2&lt;=$E38),1,"")))</f>
        <v/>
      </c>
      <c r="AI38" s="55" t="str">
        <f aca="false">IF(OR(AI$2="",$D38=""),"",IF(IF(ISNUMBER($F38),AND(AI$2&gt;=$F38,AI$2&lt;=IF(ISNUMBER($G38),$G38,$F38+$E38-$D38)),FALSE()),2,IF(AND(AI$2&gt;=$D38,AI$2&lt;=$E38),1,"")))</f>
        <v/>
      </c>
      <c r="AJ38" s="55" t="str">
        <f aca="false">IF(OR(AJ$2="",$D38=""),"",IF(IF(ISNUMBER($F38),AND(AJ$2&gt;=$F38,AJ$2&lt;=IF(ISNUMBER($G38),$G38,$F38+$E38-$D38)),FALSE()),2,IF(AND(AJ$2&gt;=$D38,AJ$2&lt;=$E38),1,"")))</f>
        <v/>
      </c>
      <c r="AK38" s="55" t="str">
        <f aca="false">IF(OR(AK$2="",$D38=""),"",IF(IF(ISNUMBER($F38),AND(AK$2&gt;=$F38,AK$2&lt;=IF(ISNUMBER($G38),$G38,$F38+$E38-$D38)),FALSE()),2,IF(AND(AK$2&gt;=$D38,AK$2&lt;=$E38),1,"")))</f>
        <v/>
      </c>
      <c r="AL38" s="55" t="str">
        <f aca="false">IF(OR(AL$2="",$D38=""),"",IF(IF(ISNUMBER($F38),AND(AL$2&gt;=$F38,AL$2&lt;=IF(ISNUMBER($G38),$G38,$F38+$E38-$D38)),FALSE()),2,IF(AND(AL$2&gt;=$D38,AL$2&lt;=$E38),1,"")))</f>
        <v/>
      </c>
      <c r="AM38" s="55" t="str">
        <f aca="false">IF(OR(AM$2="",$D38=""),"",IF(IF(ISNUMBER($F38),AND(AM$2&gt;=$F38,AM$2&lt;=IF(ISNUMBER($G38),$G38,$F38+$E38-$D38)),FALSE()),2,IF(AND(AM$2&gt;=$D38,AM$2&lt;=$E38),1,"")))</f>
        <v/>
      </c>
      <c r="AN38" s="55" t="str">
        <f aca="false">IF(OR(AN$2="",$D38=""),"",IF(IF(ISNUMBER($F38),AND(AN$2&gt;=$F38,AN$2&lt;=IF(ISNUMBER($G38),$G38,$F38+$E38-$D38)),FALSE()),2,IF(AND(AN$2&gt;=$D38,AN$2&lt;=$E38),1,"")))</f>
        <v/>
      </c>
      <c r="AO38" s="55" t="str">
        <f aca="false">IF(OR(AO$2="",$D38=""),"",IF(IF(ISNUMBER($F38),AND(AO$2&gt;=$F38,AO$2&lt;=IF(ISNUMBER($G38),$G38,$F38+$E38-$D38)),FALSE()),2,IF(AND(AO$2&gt;=$D38,AO$2&lt;=$E38),1,"")))</f>
        <v/>
      </c>
      <c r="AP38" s="55" t="str">
        <f aca="false">IF(OR(AP$2="",$D38=""),"",IF(IF(ISNUMBER($F38),AND(AP$2&gt;=$F38,AP$2&lt;=IF(ISNUMBER($G38),$G38,$F38+$E38-$D38)),FALSE()),2,IF(AND(AP$2&gt;=$D38,AP$2&lt;=$E38),1,"")))</f>
        <v/>
      </c>
      <c r="AQ38" s="55" t="str">
        <f aca="false">IF(OR(AQ$2="",$D38=""),"",IF(IF(ISNUMBER($F38),AND(AQ$2&gt;=$F38,AQ$2&lt;=IF(ISNUMBER($G38),$G38,$F38+$E38-$D38)),FALSE()),2,IF(AND(AQ$2&gt;=$D38,AQ$2&lt;=$E38),1,"")))</f>
        <v/>
      </c>
      <c r="AR38" s="55" t="str">
        <f aca="false">IF(OR(AR$2="",$D38=""),"",IF(IF(ISNUMBER($F38),AND(AR$2&gt;=$F38,AR$2&lt;=IF(ISNUMBER($G38),$G38,$F38+$E38-$D38)),FALSE()),2,IF(AND(AR$2&gt;=$D38,AR$2&lt;=$E38),1,"")))</f>
        <v/>
      </c>
      <c r="AS38" s="55" t="str">
        <f aca="false">IF(OR(AS$2="",$D38=""),"",IF(IF(ISNUMBER($F38),AND(AS$2&gt;=$F38,AS$2&lt;=IF(ISNUMBER($G38),$G38,$F38+$E38-$D38)),FALSE()),2,IF(AND(AS$2&gt;=$D38,AS$2&lt;=$E38),1,"")))</f>
        <v/>
      </c>
      <c r="AT38" s="55" t="str">
        <f aca="false">IF(OR(AT$2="",$D38=""),"",IF(IF(ISNUMBER($F38),AND(AT$2&gt;=$F38,AT$2&lt;=IF(ISNUMBER($G38),$G38,$F38+$E38-$D38)),FALSE()),2,IF(AND(AT$2&gt;=$D38,AT$2&lt;=$E38),1,"")))</f>
        <v/>
      </c>
      <c r="AU38" s="55" t="str">
        <f aca="false">IF(OR(AU$2="",$D38=""),"",IF(IF(ISNUMBER($F38),AND(AU$2&gt;=$F38,AU$2&lt;=IF(ISNUMBER($G38),$G38,$F38+$E38-$D38)),FALSE()),2,IF(AND(AU$2&gt;=$D38,AU$2&lt;=$E38),1,"")))</f>
        <v/>
      </c>
      <c r="AV38" s="55" t="str">
        <f aca="false">IF(OR(AV$2="",$D38=""),"",IF(IF(ISNUMBER($F38),AND(AV$2&gt;=$F38,AV$2&lt;=IF(ISNUMBER($G38),$G38,$F38+$E38-$D38)),FALSE()),2,IF(AND(AV$2&gt;=$D38,AV$2&lt;=$E38),1,"")))</f>
        <v/>
      </c>
      <c r="AW38" s="55" t="str">
        <f aca="false">IF(OR(AW$2="",$D38=""),"",IF(IF(ISNUMBER($F38),AND(AW$2&gt;=$F38,AW$2&lt;=IF(ISNUMBER($G38),$G38,$F38+$E38-$D38)),FALSE()),2,IF(AND(AW$2&gt;=$D38,AW$2&lt;=$E38),1,"")))</f>
        <v/>
      </c>
      <c r="AX38" s="55" t="str">
        <f aca="false">IF(OR(AX$2="",$D38=""),"",IF(IF(ISNUMBER($F38),AND(AX$2&gt;=$F38,AX$2&lt;=IF(ISNUMBER($G38),$G38,$F38+$E38-$D38)),FALSE()),2,IF(AND(AX$2&gt;=$D38,AX$2&lt;=$E38),1,"")))</f>
        <v/>
      </c>
      <c r="AY38" s="55" t="str">
        <f aca="false">IF(OR(AY$2="",$D38=""),"",IF(IF(ISNUMBER($F38),AND(AY$2&gt;=$F38,AY$2&lt;=IF(ISNUMBER($G38),$G38,$F38+$E38-$D38)),FALSE()),2,IF(AND(AY$2&gt;=$D38,AY$2&lt;=$E38),1,"")))</f>
        <v/>
      </c>
      <c r="AZ38" s="55" t="str">
        <f aca="false">IF(OR(AZ$2="",$D38=""),"",IF(IF(ISNUMBER($F38),AND(AZ$2&gt;=$F38,AZ$2&lt;=IF(ISNUMBER($G38),$G38,$F38+$E38-$D38)),FALSE()),2,IF(AND(AZ$2&gt;=$D38,AZ$2&lt;=$E38),1,"")))</f>
        <v/>
      </c>
      <c r="BA38" s="55" t="str">
        <f aca="false">IF(OR(BA$2="",$D38=""),"",IF(IF(ISNUMBER($F38),AND(BA$2&gt;=$F38,BA$2&lt;=IF(ISNUMBER($G38),$G38,$F38+$E38-$D38)),FALSE()),2,IF(AND(BA$2&gt;=$D38,BA$2&lt;=$E38),1,"")))</f>
        <v/>
      </c>
      <c r="BB38" s="55" t="str">
        <f aca="false">IF(OR(BB$2="",$D38=""),"",IF(IF(ISNUMBER($F38),AND(BB$2&gt;=$F38,BB$2&lt;=IF(ISNUMBER($G38),$G38,$F38+$E38-$D38)),FALSE()),2,IF(AND(BB$2&gt;=$D38,BB$2&lt;=$E38),1,"")))</f>
        <v/>
      </c>
      <c r="BC38" s="55" t="str">
        <f aca="false">IF(OR(BC$2="",$D38=""),"",IF(IF(ISNUMBER($F38),AND(BC$2&gt;=$F38,BC$2&lt;=IF(ISNUMBER($G38),$G38,$F38+$E38-$D38)),FALSE()),2,IF(AND(BC$2&gt;=$D38,BC$2&lt;=$E38),1,"")))</f>
        <v/>
      </c>
      <c r="BD38" s="55" t="str">
        <f aca="false">IF(OR(BD$2="",$D38=""),"",IF(IF(ISNUMBER($F38),AND(BD$2&gt;=$F38,BD$2&lt;=IF(ISNUMBER($G38),$G38,$F38+$E38-$D38)),FALSE()),2,IF(AND(BD$2&gt;=$D38,BD$2&lt;=$E38),1,"")))</f>
        <v/>
      </c>
      <c r="BE38" s="55" t="str">
        <f aca="false">IF(OR(BE$2="",$D38=""),"",IF(IF(ISNUMBER($F38),AND(BE$2&gt;=$F38,BE$2&lt;=IF(ISNUMBER($G38),$G38,$F38+$E38-$D38)),FALSE()),2,IF(AND(BE$2&gt;=$D38,BE$2&lt;=$E38),1,"")))</f>
        <v/>
      </c>
      <c r="BF38" s="55" t="str">
        <f aca="false">IF(OR(BF$2="",$D38=""),"",IF(IF(ISNUMBER($F38),AND(BF$2&gt;=$F38,BF$2&lt;=IF(ISNUMBER($G38),$G38,$F38+$E38-$D38)),FALSE()),2,IF(AND(BF$2&gt;=$D38,BF$2&lt;=$E38),1,"")))</f>
        <v/>
      </c>
      <c r="BG38" s="55" t="str">
        <f aca="false">IF(OR(BG$2="",$D38=""),"",IF(IF(ISNUMBER($F38),AND(BG$2&gt;=$F38,BG$2&lt;=IF(ISNUMBER($G38),$G38,$F38+$E38-$D38)),FALSE()),2,IF(AND(BG$2&gt;=$D38,BG$2&lt;=$E38),1,"")))</f>
        <v/>
      </c>
      <c r="BH38" s="55" t="str">
        <f aca="false">IF(OR(BH$2="",$D38=""),"",IF(IF(ISNUMBER($F38),AND(BH$2&gt;=$F38,BH$2&lt;=IF(ISNUMBER($G38),$G38,$F38+$E38-$D38)),FALSE()),2,IF(AND(BH$2&gt;=$D38,BH$2&lt;=$E38),1,"")))</f>
        <v/>
      </c>
      <c r="BI38" s="55" t="str">
        <f aca="false">IF(OR(BI$2="",$D38=""),"",IF(IF(ISNUMBER($F38),AND(BI$2&gt;=$F38,BI$2&lt;=IF(ISNUMBER($G38),$G38,$F38+$E38-$D38)),FALSE()),2,IF(AND(BI$2&gt;=$D38,BI$2&lt;=$E38),1,"")))</f>
        <v/>
      </c>
      <c r="BJ38" s="55" t="str">
        <f aca="false">IF(OR(BJ$2="",$D38=""),"",IF(IF(ISNUMBER($F38),AND(BJ$2&gt;=$F38,BJ$2&lt;=IF(ISNUMBER($G38),$G38,$F38+$E38-$D38)),FALSE()),2,IF(AND(BJ$2&gt;=$D38,BJ$2&lt;=$E38),1,"")))</f>
        <v/>
      </c>
      <c r="BK38" s="55" t="str">
        <f aca="false">IF(OR(BK$2="",$D38=""),"",IF(IF(ISNUMBER($F38),AND(BK$2&gt;=$F38,BK$2&lt;=IF(ISNUMBER($G38),$G38,$F38+$E38-$D38)),FALSE()),2,IF(AND(BK$2&gt;=$D38,BK$2&lt;=$E38),1,"")))</f>
        <v/>
      </c>
      <c r="BL38" s="55" t="str">
        <f aca="false">IF(OR(BL$2="",$D38=""),"",IF(IF(ISNUMBER($F38),AND(BL$2&gt;=$F38,BL$2&lt;=IF(ISNUMBER($G38),$G38,$F38+$E38-$D38)),FALSE()),2,IF(AND(BL$2&gt;=$D38,BL$2&lt;=$E38),1,"")))</f>
        <v/>
      </c>
      <c r="BM38" s="55" t="str">
        <f aca="false">IF(OR(BM$2="",$D38=""),"",IF(IF(ISNUMBER($F38),AND(BM$2&gt;=$F38,BM$2&lt;=IF(ISNUMBER($G38),$G38,$F38+$E38-$D38)),FALSE()),2,IF(AND(BM$2&gt;=$D38,BM$2&lt;=$E38),1,"")))</f>
        <v/>
      </c>
      <c r="BN38" s="55" t="str">
        <f aca="false">IF(OR(BN$2="",$D38=""),"",IF(IF(ISNUMBER($F38),AND(BN$2&gt;=$F38,BN$2&lt;=IF(ISNUMBER($G38),$G38,$F38+$E38-$D38)),FALSE()),2,IF(AND(BN$2&gt;=$D38,BN$2&lt;=$E38),1,"")))</f>
        <v/>
      </c>
      <c r="BO38" s="55" t="str">
        <f aca="false">IF(OR(BO$2="",$D38=""),"",IF(IF(ISNUMBER($F38),AND(BO$2&gt;=$F38,BO$2&lt;=IF(ISNUMBER($G38),$G38,$F38+$E38-$D38)),FALSE()),2,IF(AND(BO$2&gt;=$D38,BO$2&lt;=$E38),1,"")))</f>
        <v/>
      </c>
      <c r="BP38" s="55" t="str">
        <f aca="false">IF(OR(BP$2="",$D38=""),"",IF(IF(ISNUMBER($F38),AND(BP$2&gt;=$F38,BP$2&lt;=IF(ISNUMBER($G38),$G38,$F38+$E38-$D38)),FALSE()),2,IF(AND(BP$2&gt;=$D38,BP$2&lt;=$E38),1,"")))</f>
        <v/>
      </c>
      <c r="BQ38" s="55" t="str">
        <f aca="false">IF(OR(BQ$2="",$D38=""),"",IF(IF(ISNUMBER($F38),AND(BQ$2&gt;=$F38,BQ$2&lt;=IF(ISNUMBER($G38),$G38,$F38+$E38-$D38)),FALSE()),2,IF(AND(BQ$2&gt;=$D38,BQ$2&lt;=$E38),1,"")))</f>
        <v/>
      </c>
      <c r="BR38" s="55" t="str">
        <f aca="false">IF(OR(BR$2="",$D38=""),"",IF(IF(ISNUMBER($F38),AND(BR$2&gt;=$F38,BR$2&lt;=IF(ISNUMBER($G38),$G38,$F38+$E38-$D38)),FALSE()),2,IF(AND(BR$2&gt;=$D38,BR$2&lt;=$E38),1,"")))</f>
        <v/>
      </c>
      <c r="BS38" s="55" t="str">
        <f aca="false">IF(OR(BS$2="",$D38=""),"",IF(IF(ISNUMBER($F38),AND(BS$2&gt;=$F38,BS$2&lt;=IF(ISNUMBER($G38),$G38,$F38+$E38-$D38)),FALSE()),2,IF(AND(BS$2&gt;=$D38,BS$2&lt;=$E38),1,"")))</f>
        <v/>
      </c>
      <c r="BT38" s="55" t="str">
        <f aca="false">IF(OR(BT$2="",$D38=""),"",IF(IF(ISNUMBER($F38),AND(BT$2&gt;=$F38,BT$2&lt;=IF(ISNUMBER($G38),$G38,$F38+$E38-$D38)),FALSE()),2,IF(AND(BT$2&gt;=$D38,BT$2&lt;=$E38),1,"")))</f>
        <v/>
      </c>
      <c r="BU38" s="55" t="str">
        <f aca="false">IF(OR(BU$2="",$D38=""),"",IF(IF(ISNUMBER($F38),AND(BU$2&gt;=$F38,BU$2&lt;=IF(ISNUMBER($G38),$G38,$F38+$E38-$D38)),FALSE()),2,IF(AND(BU$2&gt;=$D38,BU$2&lt;=$E38),1,"")))</f>
        <v/>
      </c>
      <c r="BV38" s="55" t="str">
        <f aca="false">IF(OR(BV$2="",$D38=""),"",IF(IF(ISNUMBER($F38),AND(BV$2&gt;=$F38,BV$2&lt;=IF(ISNUMBER($G38),$G38,$F38+$E38-$D38)),FALSE()),2,IF(AND(BV$2&gt;=$D38,BV$2&lt;=$E38),1,"")))</f>
        <v/>
      </c>
      <c r="BW38" s="55" t="str">
        <f aca="false">IF(OR(BW$2="",$D38=""),"",IF(IF(ISNUMBER($F38),AND(BW$2&gt;=$F38,BW$2&lt;=IF(ISNUMBER($G38),$G38,$F38+$E38-$D38)),FALSE()),2,IF(AND(BW$2&gt;=$D38,BW$2&lt;=$E38),1,"")))</f>
        <v/>
      </c>
      <c r="BX38" s="55" t="str">
        <f aca="false">IF(OR(BX$2="",$D38=""),"",IF(IF(ISNUMBER($F38),AND(BX$2&gt;=$F38,BX$2&lt;=IF(ISNUMBER($G38),$G38,$F38+$E38-$D38)),FALSE()),2,IF(AND(BX$2&gt;=$D38,BX$2&lt;=$E38),1,"")))</f>
        <v/>
      </c>
      <c r="BY38" s="55" t="str">
        <f aca="false">IF(OR(BY$2="",$D38=""),"",IF(IF(ISNUMBER($F38),AND(BY$2&gt;=$F38,BY$2&lt;=IF(ISNUMBER($G38),$G38,$F38+$E38-$D38)),FALSE()),2,IF(AND(BY$2&gt;=$D38,BY$2&lt;=$E38),1,"")))</f>
        <v/>
      </c>
      <c r="BZ38" s="55" t="str">
        <f aca="false">IF(OR(BZ$2="",$D38=""),"",IF(IF(ISNUMBER($F38),AND(BZ$2&gt;=$F38,BZ$2&lt;=IF(ISNUMBER($G38),$G38,$F38+$E38-$D38)),FALSE()),2,IF(AND(BZ$2&gt;=$D38,BZ$2&lt;=$E38),1,"")))</f>
        <v/>
      </c>
      <c r="CA38" s="55" t="str">
        <f aca="false">IF(OR(CA$2="",$D38=""),"",IF(IF(ISNUMBER($F38),AND(CA$2&gt;=$F38,CA$2&lt;=IF(ISNUMBER($G38),$G38,$F38+$E38-$D38)),FALSE()),2,IF(AND(CA$2&gt;=$D38,CA$2&lt;=$E38),1,"")))</f>
        <v/>
      </c>
      <c r="CB38" s="55" t="str">
        <f aca="false">IF(OR(CB$2="",$D38=""),"",IF(IF(ISNUMBER($F38),AND(CB$2&gt;=$F38,CB$2&lt;=IF(ISNUMBER($G38),$G38,$F38+$E38-$D38)),FALSE()),2,IF(AND(CB$2&gt;=$D38,CB$2&lt;=$E38),1,"")))</f>
        <v/>
      </c>
      <c r="CC38" s="55" t="str">
        <f aca="false">IF(OR(CC$2="",$D38=""),"",IF(IF(ISNUMBER($F38),AND(CC$2&gt;=$F38,CC$2&lt;=IF(ISNUMBER($G38),$G38,$F38+$E38-$D38)),FALSE()),2,IF(AND(CC$2&gt;=$D38,CC$2&lt;=$E38),1,"")))</f>
        <v/>
      </c>
      <c r="CD38" s="55" t="str">
        <f aca="false">IF(OR(CD$2="",$D38=""),"",IF(IF(ISNUMBER($F38),AND(CD$2&gt;=$F38,CD$2&lt;=IF(ISNUMBER($G38),$G38,$F38+$E38-$D38)),FALSE()),2,IF(AND(CD$2&gt;=$D38,CD$2&lt;=$E38),1,"")))</f>
        <v/>
      </c>
      <c r="CE38" s="55" t="str">
        <f aca="false">IF(OR(CE$2="",$D38=""),"",IF(IF(ISNUMBER($F38),AND(CE$2&gt;=$F38,CE$2&lt;=IF(ISNUMBER($G38),$G38,$F38+$E38-$D38)),FALSE()),2,IF(AND(CE$2&gt;=$D38,CE$2&lt;=$E38),1,"")))</f>
        <v/>
      </c>
      <c r="CF38" s="55" t="str">
        <f aca="false">IF(OR(CF$2="",$D38=""),"",IF(IF(ISNUMBER($F38),AND(CF$2&gt;=$F38,CF$2&lt;=IF(ISNUMBER($G38),$G38,$F38+$E38-$D38)),FALSE()),2,IF(AND(CF$2&gt;=$D38,CF$2&lt;=$E38),1,"")))</f>
        <v/>
      </c>
      <c r="CG38" s="55" t="str">
        <f aca="false">IF(OR(CG$2="",$D38=""),"",IF(IF(ISNUMBER($F38),AND(CG$2&gt;=$F38,CG$2&lt;=IF(ISNUMBER($G38),$G38,$F38+$E38-$D38)),FALSE()),2,IF(AND(CG$2&gt;=$D38,CG$2&lt;=$E38),1,"")))</f>
        <v/>
      </c>
      <c r="CH38" s="55" t="str">
        <f aca="false">IF(OR(CH$2="",$D38=""),"",IF(IF(ISNUMBER($F38),AND(CH$2&gt;=$F38,CH$2&lt;=IF(ISNUMBER($G38),$G38,$F38+$E38-$D38)),FALSE()),2,IF(AND(CH$2&gt;=$D38,CH$2&lt;=$E38),1,"")))</f>
        <v/>
      </c>
      <c r="CI38" s="55" t="str">
        <f aca="false">IF(OR(CI$2="",$D38=""),"",IF(IF(ISNUMBER($F38),AND(CI$2&gt;=$F38,CI$2&lt;=IF(ISNUMBER($G38),$G38,$F38+$E38-$D38)),FALSE()),2,IF(AND(CI$2&gt;=$D38,CI$2&lt;=$E38),1,"")))</f>
        <v/>
      </c>
      <c r="CJ38" s="55" t="str">
        <f aca="false">IF(OR(CJ$2="",$D38=""),"",IF(IF(ISNUMBER($F38),AND(CJ$2&gt;=$F38,CJ$2&lt;=IF(ISNUMBER($G38),$G38,$F38+$E38-$D38)),FALSE()),2,IF(AND(CJ$2&gt;=$D38,CJ$2&lt;=$E38),1,"")))</f>
        <v/>
      </c>
      <c r="CK38" s="55" t="str">
        <f aca="false">IF(OR(CK$2="",$D38=""),"",IF(IF(ISNUMBER($F38),AND(CK$2&gt;=$F38,CK$2&lt;=IF(ISNUMBER($G38),$G38,$F38+$E38-$D38)),FALSE()),2,IF(AND(CK$2&gt;=$D38,CK$2&lt;=$E38),1,"")))</f>
        <v/>
      </c>
      <c r="CL38" s="55" t="str">
        <f aca="false">IF(OR(CL$2="",$D38=""),"",IF(IF(ISNUMBER($F38),AND(CL$2&gt;=$F38,CL$2&lt;=IF(ISNUMBER($G38),$G38,$F38+$E38-$D38)),FALSE()),2,IF(AND(CL$2&gt;=$D38,CL$2&lt;=$E38),1,"")))</f>
        <v/>
      </c>
      <c r="CM38" s="55" t="str">
        <f aca="false">IF(OR(CM$2="",$D38=""),"",IF(IF(ISNUMBER($F38),AND(CM$2&gt;=$F38,CM$2&lt;=IF(ISNUMBER($G38),$G38,$F38+$E38-$D38)),FALSE()),2,IF(AND(CM$2&gt;=$D38,CM$2&lt;=$E38),1,"")))</f>
        <v/>
      </c>
      <c r="CN38" s="55" t="str">
        <f aca="false">IF(OR(CN$2="",$D38=""),"",IF(IF(ISNUMBER($F38),AND(CN$2&gt;=$F38,CN$2&lt;=IF(ISNUMBER($G38),$G38,$F38+$E38-$D38)),FALSE()),2,IF(AND(CN$2&gt;=$D38,CN$2&lt;=$E38),1,"")))</f>
        <v/>
      </c>
      <c r="CO38" s="55" t="str">
        <f aca="false">IF(OR(CO$2="",$D38=""),"",IF(IF(ISNUMBER($F38),AND(CO$2&gt;=$F38,CO$2&lt;=IF(ISNUMBER($G38),$G38,$F38+$E38-$D38)),FALSE()),2,IF(AND(CO$2&gt;=$D38,CO$2&lt;=$E38),1,"")))</f>
        <v/>
      </c>
      <c r="CP38" s="55" t="str">
        <f aca="false">IF(OR(CP$2="",$D38=""),"",IF(IF(ISNUMBER($F38),AND(CP$2&gt;=$F38,CP$2&lt;=IF(ISNUMBER($G38),$G38,$F38+$E38-$D38)),FALSE()),2,IF(AND(CP$2&gt;=$D38,CP$2&lt;=$E38),1,"")))</f>
        <v/>
      </c>
      <c r="CQ38" s="55" t="str">
        <f aca="false">IF(OR(CQ$2="",$D38=""),"",IF(IF(ISNUMBER($F38),AND(CQ$2&gt;=$F38,CQ$2&lt;=IF(ISNUMBER($G38),$G38,$F38+$E38-$D38)),FALSE()),2,IF(AND(CQ$2&gt;=$D38,CQ$2&lt;=$E38),1,"")))</f>
        <v/>
      </c>
      <c r="CR38" s="55" t="str">
        <f aca="false">IF(OR(CR$2="",$D38=""),"",IF(IF(ISNUMBER($F38),AND(CR$2&gt;=$F38,CR$2&lt;=IF(ISNUMBER($G38),$G38,$F38+$E38-$D38)),FALSE()),2,IF(AND(CR$2&gt;=$D38,CR$2&lt;=$E38),1,"")))</f>
        <v/>
      </c>
      <c r="CS38" s="55" t="str">
        <f aca="false">IF(OR(CS$2="",$D38=""),"",IF(IF(ISNUMBER($F38),AND(CS$2&gt;=$F38,CS$2&lt;=IF(ISNUMBER($G38),$G38,$F38+$E38-$D38)),FALSE()),2,IF(AND(CS$2&gt;=$D38,CS$2&lt;=$E38),1,"")))</f>
        <v/>
      </c>
      <c r="CT38" s="55" t="str">
        <f aca="false">IF(OR(CT$2="",$D38=""),"",IF(IF(ISNUMBER($F38),AND(CT$2&gt;=$F38,CT$2&lt;=IF(ISNUMBER($G38),$G38,$F38+$E38-$D38)),FALSE()),2,IF(AND(CT$2&gt;=$D38,CT$2&lt;=$E38),1,"")))</f>
        <v/>
      </c>
      <c r="CU38" s="55" t="str">
        <f aca="false">IF(OR(CU$2="",$D38=""),"",IF(IF(ISNUMBER($F38),AND(CU$2&gt;=$F38,CU$2&lt;=IF(ISNUMBER($G38),$G38,$F38+$E38-$D38)),FALSE()),2,IF(AND(CU$2&gt;=$D38,CU$2&lt;=$E38),1,"")))</f>
        <v/>
      </c>
      <c r="CV38" s="55" t="str">
        <f aca="false">IF(OR(CV$2="",$D38=""),"",IF(IF(ISNUMBER($F38),AND(CV$2&gt;=$F38,CV$2&lt;=IF(ISNUMBER($G38),$G38,$F38+$E38-$D38)),FALSE()),2,IF(AND(CV$2&gt;=$D38,CV$2&lt;=$E38),1,"")))</f>
        <v/>
      </c>
      <c r="CW38" s="55" t="str">
        <f aca="false">IF(OR(CW$2="",$D38=""),"",IF(IF(ISNUMBER($F38),AND(CW$2&gt;=$F38,CW$2&lt;=IF(ISNUMBER($G38),$G38,$F38+$E38-$D38)),FALSE()),2,IF(AND(CW$2&gt;=$D38,CW$2&lt;=$E38),1,"")))</f>
        <v/>
      </c>
      <c r="CX38" s="55" t="str">
        <f aca="false">IF(OR(CX$2="",$D38=""),"",IF(IF(ISNUMBER($F38),AND(CX$2&gt;=$F38,CX$2&lt;=IF(ISNUMBER($G38),$G38,$F38+$E38-$D38)),FALSE()),2,IF(AND(CX$2&gt;=$D38,CX$2&lt;=$E38),1,"")))</f>
        <v/>
      </c>
      <c r="CY38" s="55" t="str">
        <f aca="false">IF(OR(CY$2="",$D38=""),"",IF(IF(ISNUMBER($F38),AND(CY$2&gt;=$F38,CY$2&lt;=IF(ISNUMBER($G38),$G38,$F38+$E38-$D38)),FALSE()),2,IF(AND(CY$2&gt;=$D38,CY$2&lt;=$E38),1,"")))</f>
        <v/>
      </c>
      <c r="CZ38" s="55" t="str">
        <f aca="false">IF(OR(CZ$2="",$D38=""),"",IF(IF(ISNUMBER($F38),AND(CZ$2&gt;=$F38,CZ$2&lt;=IF(ISNUMBER($G38),$G38,$F38+$E38-$D38)),FALSE()),2,IF(AND(CZ$2&gt;=$D38,CZ$2&lt;=$E38),1,"")))</f>
        <v/>
      </c>
      <c r="DA38" s="55" t="str">
        <f aca="false">IF(OR(DA$2="",$D38=""),"",IF(IF(ISNUMBER($F38),AND(DA$2&gt;=$F38,DA$2&lt;=IF(ISNUMBER($G38),$G38,$F38+$E38-$D38)),FALSE()),2,IF(AND(DA$2&gt;=$D38,DA$2&lt;=$E38),1,"")))</f>
        <v/>
      </c>
      <c r="DB38" s="55" t="str">
        <f aca="false">IF(OR(DB$2="",$D38=""),"",IF(IF(ISNUMBER($F38),AND(DB$2&gt;=$F38,DB$2&lt;=IF(ISNUMBER($G38),$G38,$F38+$E38-$D38)),FALSE()),2,IF(AND(DB$2&gt;=$D38,DB$2&lt;=$E38),1,"")))</f>
        <v/>
      </c>
      <c r="DC38" s="55" t="str">
        <f aca="false">IF(OR(DC$2="",$D38=""),"",IF(IF(ISNUMBER($F38),AND(DC$2&gt;=$F38,DC$2&lt;=IF(ISNUMBER($G38),$G38,$F38+$E38-$D38)),FALSE()),2,IF(AND(DC$2&gt;=$D38,DC$2&lt;=$E38),1,"")))</f>
        <v/>
      </c>
      <c r="DD38" s="55" t="str">
        <f aca="false">IF(OR(DD$2="",$D38=""),"",IF(IF(ISNUMBER($F38),AND(DD$2&gt;=$F38,DD$2&lt;=IF(ISNUMBER($G38),$G38,$F38+$E38-$D38)),FALSE()),2,IF(AND(DD$2&gt;=$D38,DD$2&lt;=$E38),1,"")))</f>
        <v/>
      </c>
      <c r="DE38" s="55" t="str">
        <f aca="false">IF(OR(DE$2="",$D38=""),"",IF(IF(ISNUMBER($F38),AND(DE$2&gt;=$F38,DE$2&lt;=IF(ISNUMBER($G38),$G38,$F38+$E38-$D38)),FALSE()),2,IF(AND(DE$2&gt;=$D38,DE$2&lt;=$E38),1,"")))</f>
        <v/>
      </c>
      <c r="DF38" s="55" t="str">
        <f aca="false">IF(OR(DF$2="",$D38=""),"",IF(IF(ISNUMBER($F38),AND(DF$2&gt;=$F38,DF$2&lt;=IF(ISNUMBER($G38),$G38,$F38+$E38-$D38)),FALSE()),2,IF(AND(DF$2&gt;=$D38,DF$2&lt;=$E38),1,"")))</f>
        <v/>
      </c>
      <c r="DG38" s="55" t="str">
        <f aca="false">IF(OR(DG$2="",$D38=""),"",IF(IF(ISNUMBER($F38),AND(DG$2&gt;=$F38,DG$2&lt;=IF(ISNUMBER($G38),$G38,$F38+$E38-$D38)),FALSE()),2,IF(AND(DG$2&gt;=$D38,DG$2&lt;=$E38),1,"")))</f>
        <v/>
      </c>
      <c r="DH38" s="55" t="str">
        <f aca="false">IF(OR(DH$2="",$D38=""),"",IF(IF(ISNUMBER($F38),AND(DH$2&gt;=$F38,DH$2&lt;=IF(ISNUMBER($G38),$G38,$F38+$E38-$D38)),FALSE()),2,IF(AND(DH$2&gt;=$D38,DH$2&lt;=$E38),1,"")))</f>
        <v/>
      </c>
      <c r="DI38" s="55" t="str">
        <f aca="false">IF(OR(DI$2="",$D38=""),"",IF(IF(ISNUMBER($F38),AND(DI$2&gt;=$F38,DI$2&lt;=IF(ISNUMBER($G38),$G38,$F38+$E38-$D38)),FALSE()),2,IF(AND(DI$2&gt;=$D38,DI$2&lt;=$E38),1,"")))</f>
        <v/>
      </c>
      <c r="DJ38" s="55" t="str">
        <f aca="false">IF(OR(DJ$2="",$D38=""),"",IF(IF(ISNUMBER($F38),AND(DJ$2&gt;=$F38,DJ$2&lt;=IF(ISNUMBER($G38),$G38,$F38+$E38-$D38)),FALSE()),2,IF(AND(DJ$2&gt;=$D38,DJ$2&lt;=$E38),1,"")))</f>
        <v/>
      </c>
      <c r="DK38" s="55" t="str">
        <f aca="false">IF(OR(DK$2="",$D38=""),"",IF(IF(ISNUMBER($F38),AND(DK$2&gt;=$F38,DK$2&lt;=IF(ISNUMBER($G38),$G38,$F38+$E38-$D38)),FALSE()),2,IF(AND(DK$2&gt;=$D38,DK$2&lt;=$E38),1,"")))</f>
        <v/>
      </c>
      <c r="DL38" s="55" t="str">
        <f aca="false">IF(OR(DL$2="",$D38=""),"",IF(IF(ISNUMBER($F38),AND(DL$2&gt;=$F38,DL$2&lt;=IF(ISNUMBER($G38),$G38,$F38+$E38-$D38)),FALSE()),2,IF(AND(DL$2&gt;=$D38,DL$2&lt;=$E38),1,"")))</f>
        <v/>
      </c>
      <c r="DM38" s="55" t="str">
        <f aca="false">IF(OR(DM$2="",$D38=""),"",IF(IF(ISNUMBER($F38),AND(DM$2&gt;=$F38,DM$2&lt;=IF(ISNUMBER($G38),$G38,$F38+$E38-$D38)),FALSE()),2,IF(AND(DM$2&gt;=$D38,DM$2&lt;=$E38),1,"")))</f>
        <v/>
      </c>
      <c r="DN38" s="55" t="str">
        <f aca="false">IF(OR(DN$2="",$D38=""),"",IF(IF(ISNUMBER($F38),AND(DN$2&gt;=$F38,DN$2&lt;=IF(ISNUMBER($G38),$G38,$F38+$E38-$D38)),FALSE()),2,IF(AND(DN$2&gt;=$D38,DN$2&lt;=$E38),1,"")))</f>
        <v/>
      </c>
      <c r="DO38" s="55" t="str">
        <f aca="false">IF(OR(DO$2="",$D38=""),"",IF(IF(ISNUMBER($F38),AND(DO$2&gt;=$F38,DO$2&lt;=IF(ISNUMBER($G38),$G38,$F38+$E38-$D38)),FALSE()),2,IF(AND(DO$2&gt;=$D38,DO$2&lt;=$E38),1,"")))</f>
        <v/>
      </c>
      <c r="DP38" s="55" t="str">
        <f aca="false">IF(OR(DP$2="",$D38=""),"",IF(IF(ISNUMBER($F38),AND(DP$2&gt;=$F38,DP$2&lt;=IF(ISNUMBER($G38),$G38,$F38+$E38-$D38)),FALSE()),2,IF(AND(DP$2&gt;=$D38,DP$2&lt;=$E38),1,"")))</f>
        <v/>
      </c>
      <c r="DQ38" s="55" t="str">
        <f aca="false">IF(OR(DQ$2="",$D38=""),"",IF(IF(ISNUMBER($F38),AND(DQ$2&gt;=$F38,DQ$2&lt;=IF(ISNUMBER($G38),$G38,$F38+$E38-$D38)),FALSE()),2,IF(AND(DQ$2&gt;=$D38,DQ$2&lt;=$E38),1,"")))</f>
        <v/>
      </c>
      <c r="DR38" s="55" t="str">
        <f aca="false">IF(OR(DR$2="",$D38=""),"",IF(IF(ISNUMBER($F38),AND(DR$2&gt;=$F38,DR$2&lt;=IF(ISNUMBER($G38),$G38,$F38+$E38-$D38)),FALSE()),2,IF(AND(DR$2&gt;=$D38,DR$2&lt;=$E38),1,"")))</f>
        <v/>
      </c>
      <c r="DS38" s="55" t="str">
        <f aca="false">IF(OR(DS$2="",$D38=""),"",IF(IF(ISNUMBER($F38),AND(DS$2&gt;=$F38,DS$2&lt;=IF(ISNUMBER($G38),$G38,$F38+$E38-$D38)),FALSE()),2,IF(AND(DS$2&gt;=$D38,DS$2&lt;=$E38),1,"")))</f>
        <v/>
      </c>
      <c r="DT38" s="55" t="str">
        <f aca="false">IF(OR(DT$2="",$D38=""),"",IF(IF(ISNUMBER($F38),AND(DT$2&gt;=$F38,DT$2&lt;=IF(ISNUMBER($G38),$G38,$F38+$E38-$D38)),FALSE()),2,IF(AND(DT$2&gt;=$D38,DT$2&lt;=$E38),1,"")))</f>
        <v/>
      </c>
      <c r="DU38" s="55" t="str">
        <f aca="false">IF(OR(DU$2="",$D38=""),"",IF(IF(ISNUMBER($F38),AND(DU$2&gt;=$F38,DU$2&lt;=IF(ISNUMBER($G38),$G38,$F38+$E38-$D38)),FALSE()),2,IF(AND(DU$2&gt;=$D38,DU$2&lt;=$E38),1,"")))</f>
        <v/>
      </c>
      <c r="DV38" s="55" t="str">
        <f aca="false">IF(OR(DV$2="",$D38=""),"",IF(IF(ISNUMBER($F38),AND(DV$2&gt;=$F38,DV$2&lt;=IF(ISNUMBER($G38),$G38,$F38+$E38-$D38)),FALSE()),2,IF(AND(DV$2&gt;=$D38,DV$2&lt;=$E38),1,"")))</f>
        <v/>
      </c>
      <c r="DW38" s="55" t="str">
        <f aca="false">IF(OR(DW$2="",$D38=""),"",IF(IF(ISNUMBER($F38),AND(DW$2&gt;=$F38,DW$2&lt;=IF(ISNUMBER($G38),$G38,$F38+$E38-$D38)),FALSE()),2,IF(AND(DW$2&gt;=$D38,DW$2&lt;=$E38),1,"")))</f>
        <v/>
      </c>
      <c r="DX38" s="55" t="str">
        <f aca="false">IF(OR(DX$2="",$D38=""),"",IF(IF(ISNUMBER($F38),AND(DX$2&gt;=$F38,DX$2&lt;=IF(ISNUMBER($G38),$G38,$F38+$E38-$D38)),FALSE()),2,IF(AND(DX$2&gt;=$D38,DX$2&lt;=$E38),1,"")))</f>
        <v/>
      </c>
      <c r="DY38" s="55" t="str">
        <f aca="false">IF(OR(DY$2="",$D38=""),"",IF(IF(ISNUMBER($F38),AND(DY$2&gt;=$F38,DY$2&lt;=IF(ISNUMBER($G38),$G38,$F38+$E38-$D38)),FALSE()),2,IF(AND(DY$2&gt;=$D38,DY$2&lt;=$E38),1,"")))</f>
        <v/>
      </c>
      <c r="DZ38" s="55" t="str">
        <f aca="false">IF(OR(DZ$2="",$D38=""),"",IF(IF(ISNUMBER($F38),AND(DZ$2&gt;=$F38,DZ$2&lt;=IF(ISNUMBER($G38),$G38,$F38+$E38-$D38)),FALSE()),2,IF(AND(DZ$2&gt;=$D38,DZ$2&lt;=$E38),1,"")))</f>
        <v/>
      </c>
      <c r="EA38" s="55" t="str">
        <f aca="false">IF(OR(EA$2="",$D38=""),"",IF(IF(ISNUMBER($F38),AND(EA$2&gt;=$F38,EA$2&lt;=IF(ISNUMBER($G38),$G38,$F38+$E38-$D38)),FALSE()),2,IF(AND(EA$2&gt;=$D38,EA$2&lt;=$E38),1,"")))</f>
        <v/>
      </c>
      <c r="EB38" s="55" t="str">
        <f aca="false">IF(OR(EB$2="",$D38=""),"",IF(IF(ISNUMBER($F38),AND(EB$2&gt;=$F38,EB$2&lt;=IF(ISNUMBER($G38),$G38,$F38+$E38-$D38)),FALSE()),2,IF(AND(EB$2&gt;=$D38,EB$2&lt;=$E38),1,"")))</f>
        <v/>
      </c>
      <c r="EC38" s="55" t="str">
        <f aca="false">IF(OR(EC$2="",$D38=""),"",IF(IF(ISNUMBER($F38),AND(EC$2&gt;=$F38,EC$2&lt;=IF(ISNUMBER($G38),$G38,$F38+$E38-$D38)),FALSE()),2,IF(AND(EC$2&gt;=$D38,EC$2&lt;=$E38),1,"")))</f>
        <v/>
      </c>
      <c r="ED38" s="55" t="str">
        <f aca="false">IF(OR(ED$2="",$D38=""),"",IF(IF(ISNUMBER($F38),AND(ED$2&gt;=$F38,ED$2&lt;=IF(ISNUMBER($G38),$G38,$F38+$E38-$D38)),FALSE()),2,IF(AND(ED$2&gt;=$D38,ED$2&lt;=$E38),1,"")))</f>
        <v/>
      </c>
      <c r="EE38" s="55" t="str">
        <f aca="false">IF(OR(EE$2="",$D38=""),"",IF(IF(ISNUMBER($F38),AND(EE$2&gt;=$F38,EE$2&lt;=IF(ISNUMBER($G38),$G38,$F38+$E38-$D38)),FALSE()),2,IF(AND(EE$2&gt;=$D38,EE$2&lt;=$E38),1,"")))</f>
        <v/>
      </c>
      <c r="EF38" s="55" t="str">
        <f aca="false">IF(OR(EF$2="",$D38=""),"",IF(IF(ISNUMBER($F38),AND(EF$2&gt;=$F38,EF$2&lt;=IF(ISNUMBER($G38),$G38,$F38+$E38-$D38)),FALSE()),2,IF(AND(EF$2&gt;=$D38,EF$2&lt;=$E38),1,"")))</f>
        <v/>
      </c>
      <c r="EG38" s="55" t="str">
        <f aca="false">IF(OR(EG$2="",$D38=""),"",IF(IF(ISNUMBER($F38),AND(EG$2&gt;=$F38,EG$2&lt;=IF(ISNUMBER($G38),$G38,$F38+$E38-$D38)),FALSE()),2,IF(AND(EG$2&gt;=$D38,EG$2&lt;=$E38),1,"")))</f>
        <v/>
      </c>
      <c r="EH38" s="55" t="str">
        <f aca="false">IF(OR(EH$2="",$D38=""),"",IF(IF(ISNUMBER($F38),AND(EH$2&gt;=$F38,EH$2&lt;=IF(ISNUMBER($G38),$G38,$F38+$E38-$D38)),FALSE()),2,IF(AND(EH$2&gt;=$D38,EH$2&lt;=$E38),1,"")))</f>
        <v/>
      </c>
      <c r="EI38" s="55" t="str">
        <f aca="false">IF(OR(EI$2="",$D38=""),"",IF(IF(ISNUMBER($F38),AND(EI$2&gt;=$F38,EI$2&lt;=IF(ISNUMBER($G38),$G38,$F38+$E38-$D38)),FALSE()),2,IF(AND(EI$2&gt;=$D38,EI$2&lt;=$E38),1,"")))</f>
        <v/>
      </c>
      <c r="EJ38" s="55" t="str">
        <f aca="false">IF(OR(EJ$2="",$D38=""),"",IF(IF(ISNUMBER($F38),AND(EJ$2&gt;=$F38,EJ$2&lt;=IF(ISNUMBER($G38),$G38,$F38+$E38-$D38)),FALSE()),2,IF(AND(EJ$2&gt;=$D38,EJ$2&lt;=$E38),1,"")))</f>
        <v/>
      </c>
      <c r="EK38" s="55" t="str">
        <f aca="false">IF(OR(EK$2="",$D38=""),"",IF(IF(ISNUMBER($F38),AND(EK$2&gt;=$F38,EK$2&lt;=IF(ISNUMBER($G38),$G38,$F38+$E38-$D38)),FALSE()),2,IF(AND(EK$2&gt;=$D38,EK$2&lt;=$E38),1,"")))</f>
        <v/>
      </c>
      <c r="EL38" s="55" t="str">
        <f aca="false">IF(OR(EL$2="",$D38=""),"",IF(IF(ISNUMBER($F38),AND(EL$2&gt;=$F38,EL$2&lt;=IF(ISNUMBER($G38),$G38,$F38+$E38-$D38)),FALSE()),2,IF(AND(EL$2&gt;=$D38,EL$2&lt;=$E38),1,"")))</f>
        <v/>
      </c>
      <c r="EM38" s="55" t="str">
        <f aca="false">IF(OR(EM$2="",$D38=""),"",IF(IF(ISNUMBER($F38),AND(EM$2&gt;=$F38,EM$2&lt;=IF(ISNUMBER($G38),$G38,$F38+$E38-$D38)),FALSE()),2,IF(AND(EM$2&gt;=$D38,EM$2&lt;=$E38),1,"")))</f>
        <v/>
      </c>
      <c r="EN38" s="55" t="str">
        <f aca="false">IF(OR(EN$2="",$D38=""),"",IF(IF(ISNUMBER($F38),AND(EN$2&gt;=$F38,EN$2&lt;=IF(ISNUMBER($G38),$G38,$F38+$E38-$D38)),FALSE()),2,IF(AND(EN$2&gt;=$D38,EN$2&lt;=$E38),1,"")))</f>
        <v/>
      </c>
      <c r="EO38" s="55" t="str">
        <f aca="false">IF(OR(EO$2="",$D38=""),"",IF(IF(ISNUMBER($F38),AND(EO$2&gt;=$F38,EO$2&lt;=IF(ISNUMBER($G38),$G38,$F38+$E38-$D38)),FALSE()),2,IF(AND(EO$2&gt;=$D38,EO$2&lt;=$E38),1,"")))</f>
        <v/>
      </c>
      <c r="EP38" s="55" t="str">
        <f aca="false">IF(OR(EP$2="",$D38=""),"",IF(IF(ISNUMBER($F38),AND(EP$2&gt;=$F38,EP$2&lt;=IF(ISNUMBER($G38),$G38,$F38+$E38-$D38)),FALSE()),2,IF(AND(EP$2&gt;=$D38,EP$2&lt;=$E38),1,"")))</f>
        <v/>
      </c>
      <c r="EQ38" s="55" t="str">
        <f aca="false">IF(OR(EQ$2="",$D38=""),"",IF(IF(ISNUMBER($F38),AND(EQ$2&gt;=$F38,EQ$2&lt;=IF(ISNUMBER($G38),$G38,$F38+$E38-$D38)),FALSE()),2,IF(AND(EQ$2&gt;=$D38,EQ$2&lt;=$E38),1,"")))</f>
        <v/>
      </c>
      <c r="ER38" s="55" t="str">
        <f aca="false">IF(OR(ER$2="",$D38=""),"",IF(IF(ISNUMBER($F38),AND(ER$2&gt;=$F38,ER$2&lt;=IF(ISNUMBER($G38),$G38,$F38+$E38-$D38)),FALSE()),2,IF(AND(ER$2&gt;=$D38,ER$2&lt;=$E38),1,"")))</f>
        <v/>
      </c>
      <c r="ES38" s="55" t="str">
        <f aca="false">IF(OR(ES$2="",$D38=""),"",IF(IF(ISNUMBER($F38),AND(ES$2&gt;=$F38,ES$2&lt;=IF(ISNUMBER($G38),$G38,$F38+$E38-$D38)),FALSE()),2,IF(AND(ES$2&gt;=$D38,ES$2&lt;=$E38),1,"")))</f>
        <v/>
      </c>
      <c r="ET38" s="55" t="str">
        <f aca="false">IF(OR(ET$2="",$D38=""),"",IF(IF(ISNUMBER($F38),AND(ET$2&gt;=$F38,ET$2&lt;=IF(ISNUMBER($G38),$G38,$F38+$E38-$D38)),FALSE()),2,IF(AND(ET$2&gt;=$D38,ET$2&lt;=$E38),1,"")))</f>
        <v/>
      </c>
      <c r="EU38" s="55" t="str">
        <f aca="false">IF(OR(EU$2="",$D38=""),"",IF(IF(ISNUMBER($F38),AND(EU$2&gt;=$F38,EU$2&lt;=IF(ISNUMBER($G38),$G38,$F38+$E38-$D38)),FALSE()),2,IF(AND(EU$2&gt;=$D38,EU$2&lt;=$E38),1,"")))</f>
        <v/>
      </c>
      <c r="EV38" s="55" t="str">
        <f aca="false">IF(OR(EV$2="",$D38=""),"",IF(IF(ISNUMBER($F38),AND(EV$2&gt;=$F38,EV$2&lt;=IF(ISNUMBER($G38),$G38,$F38+$E38-$D38)),FALSE()),2,IF(AND(EV$2&gt;=$D38,EV$2&lt;=$E38),1,"")))</f>
        <v/>
      </c>
      <c r="EW38" s="55" t="str">
        <f aca="false">IF(OR(EW$2="",$D38=""),"",IF(IF(ISNUMBER($F38),AND(EW$2&gt;=$F38,EW$2&lt;=IF(ISNUMBER($G38),$G38,$F38+$E38-$D38)),FALSE()),2,IF(AND(EW$2&gt;=$D38,EW$2&lt;=$E38),1,"")))</f>
        <v/>
      </c>
      <c r="EX38" s="55" t="str">
        <f aca="false">IF(OR(EX$2="",$D38=""),"",IF(IF(ISNUMBER($F38),AND(EX$2&gt;=$F38,EX$2&lt;=IF(ISNUMBER($G38),$G38,$F38+$E38-$D38)),FALSE()),2,IF(AND(EX$2&gt;=$D38,EX$2&lt;=$E38),1,"")))</f>
        <v/>
      </c>
      <c r="EY38" s="55" t="str">
        <f aca="false">IF(OR(EY$2="",$D38=""),"",IF(IF(ISNUMBER($F38),AND(EY$2&gt;=$F38,EY$2&lt;=IF(ISNUMBER($G38),$G38,$F38+$E38-$D38)),FALSE()),2,IF(AND(EY$2&gt;=$D38,EY$2&lt;=$E38),1,"")))</f>
        <v/>
      </c>
      <c r="EZ38" s="55" t="str">
        <f aca="false">IF(OR(EZ$2="",$D38=""),"",IF(IF(ISNUMBER($F38),AND(EZ$2&gt;=$F38,EZ$2&lt;=IF(ISNUMBER($G38),$G38,$F38+$E38-$D38)),FALSE()),2,IF(AND(EZ$2&gt;=$D38,EZ$2&lt;=$E38),1,"")))</f>
        <v/>
      </c>
      <c r="FA38" s="55" t="str">
        <f aca="false">IF(OR(FA$2="",$D38=""),"",IF(IF(ISNUMBER($F38),AND(FA$2&gt;=$F38,FA$2&lt;=IF(ISNUMBER($G38),$G38,$F38+$E38-$D38)),FALSE()),2,IF(AND(FA$2&gt;=$D38,FA$2&lt;=$E38),1,"")))</f>
        <v/>
      </c>
      <c r="FB38" s="55" t="str">
        <f aca="false">IF(OR(FB$2="",$D38=""),"",IF(IF(ISNUMBER($F38),AND(FB$2&gt;=$F38,FB$2&lt;=IF(ISNUMBER($G38),$G38,$F38+$E38-$D38)),FALSE()),2,IF(AND(FB$2&gt;=$D38,FB$2&lt;=$E38),1,"")))</f>
        <v/>
      </c>
      <c r="FC38" s="55" t="str">
        <f aca="false">IF(OR(FC$2="",$D38=""),"",IF(IF(ISNUMBER($F38),AND(FC$2&gt;=$F38,FC$2&lt;=IF(ISNUMBER($G38),$G38,$F38+$E38-$D38)),FALSE()),2,IF(AND(FC$2&gt;=$D38,FC$2&lt;=$E38),1,"")))</f>
        <v/>
      </c>
      <c r="FD38" s="55" t="str">
        <f aca="false">IF(OR(FD$2="",$D38=""),"",IF(IF(ISNUMBER($F38),AND(FD$2&gt;=$F38,FD$2&lt;=IF(ISNUMBER($G38),$G38,$F38+$E38-$D38)),FALSE()),2,IF(AND(FD$2&gt;=$D38,FD$2&lt;=$E38),1,"")))</f>
        <v/>
      </c>
      <c r="FE38" s="55" t="str">
        <f aca="false">IF(OR(FE$2="",$D38=""),"",IF(IF(ISNUMBER($F38),AND(FE$2&gt;=$F38,FE$2&lt;=IF(ISNUMBER($G38),$G38,$F38+$E38-$D38)),FALSE()),2,IF(AND(FE$2&gt;=$D38,FE$2&lt;=$E38),1,"")))</f>
        <v/>
      </c>
      <c r="FF38" s="55" t="str">
        <f aca="false">IF(OR(FF$2="",$D38=""),"",IF(IF(ISNUMBER($F38),AND(FF$2&gt;=$F38,FF$2&lt;=IF(ISNUMBER($G38),$G38,$F38+$E38-$D38)),FALSE()),2,IF(AND(FF$2&gt;=$D38,FF$2&lt;=$E38),1,"")))</f>
        <v/>
      </c>
      <c r="FG38" s="55" t="str">
        <f aca="false">IF(OR(FG$2="",$D38=""),"",IF(IF(ISNUMBER($F38),AND(FG$2&gt;=$F38,FG$2&lt;=IF(ISNUMBER($G38),$G38,$F38+$E38-$D38)),FALSE()),2,IF(AND(FG$2&gt;=$D38,FG$2&lt;=$E38),1,"")))</f>
        <v/>
      </c>
      <c r="FH38" s="55" t="str">
        <f aca="false">IF(OR(FH$2="",$D38=""),"",IF(IF(ISNUMBER($F38),AND(FH$2&gt;=$F38,FH$2&lt;=IF(ISNUMBER($G38),$G38,$F38+$E38-$D38)),FALSE()),2,IF(AND(FH$2&gt;=$D38,FH$2&lt;=$E38),1,"")))</f>
        <v/>
      </c>
      <c r="FI38" s="55" t="str">
        <f aca="false">IF(OR(FI$2="",$D38=""),"",IF(IF(ISNUMBER($F38),AND(FI$2&gt;=$F38,FI$2&lt;=IF(ISNUMBER($G38),$G38,$F38+$E38-$D38)),FALSE()),2,IF(AND(FI$2&gt;=$D38,FI$2&lt;=$E38),1,"")))</f>
        <v/>
      </c>
      <c r="FJ38" s="55" t="str">
        <f aca="false">IF(OR(FJ$2="",$D38=""),"",IF(IF(ISNUMBER($F38),AND(FJ$2&gt;=$F38,FJ$2&lt;=IF(ISNUMBER($G38),$G38,$F38+$E38-$D38)),FALSE()),2,IF(AND(FJ$2&gt;=$D38,FJ$2&lt;=$E38),1,"")))</f>
        <v/>
      </c>
      <c r="FK38" s="55" t="str">
        <f aca="false">IF(OR(FK$2="",$D38=""),"",IF(IF(ISNUMBER($F38),AND(FK$2&gt;=$F38,FK$2&lt;=IF(ISNUMBER($G38),$G38,$F38+$E38-$D38)),FALSE()),2,IF(AND(FK$2&gt;=$D38,FK$2&lt;=$E38),1,"")))</f>
        <v/>
      </c>
      <c r="FL38" s="55" t="str">
        <f aca="false">IF(OR(FL$2="",$D38=""),"",IF(IF(ISNUMBER($F38),AND(FL$2&gt;=$F38,FL$2&lt;=IF(ISNUMBER($G38),$G38,$F38+$E38-$D38)),FALSE()),2,IF(AND(FL$2&gt;=$D38,FL$2&lt;=$E38),1,"")))</f>
        <v/>
      </c>
      <c r="FM38" s="55" t="n">
        <f aca="false">IF(OR(FM$2="",$D38=""),"",IF(IF(ISNUMBER($F38),AND(FM$2&gt;=$F38,FM$2&lt;=IF(ISNUMBER($G38),$G38,$F38+$E38-$D38)),FALSE()),2,IF(AND(FM$2&gt;=$D38,FM$2&lt;=$E38),1,"")))</f>
        <v>1</v>
      </c>
      <c r="FN38" s="55" t="str">
        <f aca="false">IF(OR(FN$2="",$D38=""),"",IF(IF(ISNUMBER($F38),AND(FN$2&gt;=$F38,FN$2&lt;=IF(ISNUMBER($G38),$G38,$F38+$E38-$D38)),FALSE()),2,IF(AND(FN$2&gt;=$D38,FN$2&lt;=$E38),1,"")))</f>
        <v/>
      </c>
      <c r="FO38" s="55" t="str">
        <f aca="false">IF(OR(FO$2="",$D38=""),"",IF(IF(ISNUMBER($F38),AND(FO$2&gt;=$F38,FO$2&lt;=IF(ISNUMBER($G38),$G38,$F38+$E38-$D38)),FALSE()),2,IF(AND(FO$2&gt;=$D38,FO$2&lt;=$E38),1,"")))</f>
        <v/>
      </c>
      <c r="FP38" s="55" t="str">
        <f aca="false">IF(OR(FP$2="",$D38=""),"",IF(IF(ISNUMBER($F38),AND(FP$2&gt;=$F38,FP$2&lt;=IF(ISNUMBER($G38),$G38,$F38+$E38-$D38)),FALSE()),2,IF(AND(FP$2&gt;=$D38,FP$2&lt;=$E38),1,"")))</f>
        <v/>
      </c>
      <c r="FQ38" s="55" t="str">
        <f aca="false">IF(OR(FQ$2="",$D38=""),"",IF(IF(ISNUMBER($F38),AND(FQ$2&gt;=$F38,FQ$2&lt;=IF(ISNUMBER($G38),$G38,$F38+$E38-$D38)),FALSE()),2,IF(AND(FQ$2&gt;=$D38,FQ$2&lt;=$E38),1,"")))</f>
        <v/>
      </c>
      <c r="FR38" s="55" t="str">
        <f aca="false">IF(OR(FR$2="",$D38=""),"",IF(IF(ISNUMBER($F38),AND(FR$2&gt;=$F38,FR$2&lt;=IF(ISNUMBER($G38),$G38,$F38+$E38-$D38)),FALSE()),2,IF(AND(FR$2&gt;=$D38,FR$2&lt;=$E38),1,"")))</f>
        <v/>
      </c>
      <c r="FS38" s="55" t="str">
        <f aca="false">IF(OR(FS$2="",$D38=""),"",IF(IF(ISNUMBER($F38),AND(FS$2&gt;=$F38,FS$2&lt;=IF(ISNUMBER($G38),$G38,$F38+$E38-$D38)),FALSE()),2,IF(AND(FS$2&gt;=$D38,FS$2&lt;=$E38),1,"")))</f>
        <v/>
      </c>
      <c r="FT38" s="55" t="str">
        <f aca="false">IF(OR(FT$2="",$D38=""),"",IF(IF(ISNUMBER($F38),AND(FT$2&gt;=$F38,FT$2&lt;=IF(ISNUMBER($G38),$G38,$F38+$E38-$D38)),FALSE()),2,IF(AND(FT$2&gt;=$D38,FT$2&lt;=$E38),1,"")))</f>
        <v/>
      </c>
      <c r="FU38" s="55" t="str">
        <f aca="false">IF(OR(FU$2="",$D38=""),"",IF(IF(ISNUMBER($F38),AND(FU$2&gt;=$F38,FU$2&lt;=IF(ISNUMBER($G38),$G38,$F38+$E38-$D38)),FALSE()),2,IF(AND(FU$2&gt;=$D38,FU$2&lt;=$E38),1,"")))</f>
        <v/>
      </c>
      <c r="FV38" s="55" t="str">
        <f aca="false">IF(OR(FV$2="",$D38=""),"",IF(IF(ISNUMBER($F38),AND(FV$2&gt;=$F38,FV$2&lt;=IF(ISNUMBER($G38),$G38,$F38+$E38-$D38)),FALSE()),2,IF(AND(FV$2&gt;=$D38,FV$2&lt;=$E38),1,"")))</f>
        <v/>
      </c>
      <c r="FW38" s="55" t="str">
        <f aca="false">IF(OR(FW$2="",$D38=""),"",IF(IF(ISNUMBER($F38),AND(FW$2&gt;=$F38,FW$2&lt;=IF(ISNUMBER($G38),$G38,$F38+$E38-$D38)),FALSE()),2,IF(AND(FW$2&gt;=$D38,FW$2&lt;=$E38),1,"")))</f>
        <v/>
      </c>
      <c r="FX38" s="55" t="str">
        <f aca="false">IF(OR(FX$2="",$D38=""),"",IF(IF(ISNUMBER($F38),AND(FX$2&gt;=$F38,FX$2&lt;=IF(ISNUMBER($G38),$G38,$F38+$E38-$D38)),FALSE()),2,IF(AND(FX$2&gt;=$D38,FX$2&lt;=$E38),1,"")))</f>
        <v/>
      </c>
      <c r="FY38" s="55" t="str">
        <f aca="false">IF(OR(FY$2="",$D38=""),"",IF(IF(ISNUMBER($F38),AND(FY$2&gt;=$F38,FY$2&lt;=IF(ISNUMBER($G38),$G38,$F38+$E38-$D38)),FALSE()),2,IF(AND(FY$2&gt;=$D38,FY$2&lt;=$E38),1,"")))</f>
        <v/>
      </c>
      <c r="FZ38" s="55" t="str">
        <f aca="false">IF(OR(FZ$2="",$D38=""),"",IF(IF(ISNUMBER($F38),AND(FZ$2&gt;=$F38,FZ$2&lt;=IF(ISNUMBER($G38),$G38,$F38+$E38-$D38)),FALSE()),2,IF(AND(FZ$2&gt;=$D38,FZ$2&lt;=$E38),1,"")))</f>
        <v/>
      </c>
      <c r="GA38" s="55" t="str">
        <f aca="false">IF(OR(GA$2="",$D38=""),"",IF(IF(ISNUMBER($F38),AND(GA$2&gt;=$F38,GA$2&lt;=IF(ISNUMBER($G38),$G38,$F38+$E38-$D38)),FALSE()),2,IF(AND(GA$2&gt;=$D38,GA$2&lt;=$E38),1,"")))</f>
        <v/>
      </c>
      <c r="GB38" s="55" t="str">
        <f aca="false">IF(OR(GB$2="",$D38=""),"",IF(IF(ISNUMBER($F38),AND(GB$2&gt;=$F38,GB$2&lt;=IF(ISNUMBER($G38),$G38,$F38+$E38-$D38)),FALSE()),2,IF(AND(GB$2&gt;=$D38,GB$2&lt;=$E38),1,"")))</f>
        <v/>
      </c>
      <c r="GC38" s="55" t="str">
        <f aca="false">IF(OR(GC$2="",$D38=""),"",IF(IF(ISNUMBER($F38),AND(GC$2&gt;=$F38,GC$2&lt;=IF(ISNUMBER($G38),$G38,$F38+$E38-$D38)),FALSE()),2,IF(AND(GC$2&gt;=$D38,GC$2&lt;=$E38),1,"")))</f>
        <v/>
      </c>
      <c r="GD38" s="55" t="str">
        <f aca="false">IF(OR(GD$2="",$D38=""),"",IF(IF(ISNUMBER($F38),AND(GD$2&gt;=$F38,GD$2&lt;=IF(ISNUMBER($G38),$G38,$F38+$E38-$D38)),FALSE()),2,IF(AND(GD$2&gt;=$D38,GD$2&lt;=$E38),1,"")))</f>
        <v/>
      </c>
      <c r="GE38" s="55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false" outlineLevel="0" collapsed="false">
      <c r="A40" s="22" t="s">
        <v>401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OR(H5="LATE",H5="OVERDUE")</formula>
    </cfRule>
    <cfRule type="expression" priority="6" aboveAverage="0" equalAverage="0" bottom="0" percent="0" rank="0" text="" dxfId="6">
      <formula>H5="OK"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73" min="4" style="0" width="7.2"/>
  </cols>
  <sheetData>
    <row r="1" customFormat="false" ht="15" hidden="false" customHeight="false" outlineLevel="0" collapsed="false">
      <c r="A1" s="56" t="str">
        <f aca="false">IF(SiteName="","3F4D Water Monitor",SiteName)</f>
        <v>Demo Site-03</v>
      </c>
      <c r="B1" s="24" t="s">
        <v>402</v>
      </c>
      <c r="C1" s="24" t="s">
        <v>403</v>
      </c>
      <c r="D1" s="25" t="n">
        <f aca="false">IF(ISNUMBER(DataStart),DataStart+0,"")</f>
        <v>45986</v>
      </c>
      <c r="E1" s="25" t="n">
        <f aca="false">IF(ISNUMBER(DataStart),DataStart+1,"")</f>
        <v>45987</v>
      </c>
      <c r="F1" s="25" t="n">
        <f aca="false">IF(ISNUMBER(DataStart),DataStart+2,"")</f>
        <v>45988</v>
      </c>
      <c r="G1" s="25" t="n">
        <f aca="false">IF(ISNUMBER(DataStart),DataStart+3,"")</f>
        <v>45989</v>
      </c>
      <c r="H1" s="25" t="n">
        <f aca="false">IF(ISNUMBER(DataStart),DataStart+4,"")</f>
        <v>45990</v>
      </c>
      <c r="I1" s="25" t="n">
        <f aca="false">IF(ISNUMBER(DataStart),DataStart+5,"")</f>
        <v>45991</v>
      </c>
      <c r="J1" s="25" t="n">
        <f aca="false">IF(ISNUMBER(DataStart),DataStart+6,"")</f>
        <v>45992</v>
      </c>
      <c r="K1" s="25" t="n">
        <f aca="false">IF(ISNUMBER(DataStart),DataStart+7,"")</f>
        <v>45993</v>
      </c>
      <c r="L1" s="25" t="n">
        <f aca="false">IF(ISNUMBER(DataStart),DataStart+8,"")</f>
        <v>45994</v>
      </c>
      <c r="M1" s="25" t="n">
        <f aca="false">IF(ISNUMBER(DataStart),DataStart+9,"")</f>
        <v>45995</v>
      </c>
      <c r="N1" s="25" t="n">
        <f aca="false">IF(ISNUMBER(DataStart),DataStart+10,"")</f>
        <v>45996</v>
      </c>
      <c r="O1" s="25" t="n">
        <f aca="false">IF(ISNUMBER(DataStart),DataStart+11,"")</f>
        <v>45997</v>
      </c>
      <c r="P1" s="25" t="n">
        <f aca="false">IF(ISNUMBER(DataStart),DataStart+12,"")</f>
        <v>45998</v>
      </c>
      <c r="Q1" s="25" t="n">
        <f aca="false">IF(ISNUMBER(DataStart),DataStart+13,"")</f>
        <v>45999</v>
      </c>
      <c r="R1" s="25" t="n">
        <f aca="false">IF(ISNUMBER(DataStart),DataStart+14,"")</f>
        <v>46000</v>
      </c>
      <c r="S1" s="25" t="n">
        <f aca="false">IF(ISNUMBER(DataStart),DataStart+15,"")</f>
        <v>46001</v>
      </c>
      <c r="T1" s="25" t="n">
        <f aca="false">IF(ISNUMBER(DataStart),DataStart+16,"")</f>
        <v>46002</v>
      </c>
      <c r="U1" s="25" t="n">
        <f aca="false">IF(ISNUMBER(DataStart),DataStart+17,"")</f>
        <v>46003</v>
      </c>
      <c r="V1" s="25" t="n">
        <f aca="false">IF(ISNUMBER(DataStart),DataStart+18,"")</f>
        <v>46004</v>
      </c>
      <c r="W1" s="25" t="n">
        <f aca="false">IF(ISNUMBER(DataStart),DataStart+19,"")</f>
        <v>46005</v>
      </c>
      <c r="X1" s="25" t="n">
        <f aca="false">IF(ISNUMBER(DataStart),DataStart+20,"")</f>
        <v>46006</v>
      </c>
      <c r="Y1" s="25" t="n">
        <f aca="false">IF(ISNUMBER(DataStart),DataStart+21,"")</f>
        <v>46007</v>
      </c>
      <c r="Z1" s="25" t="n">
        <f aca="false">IF(ISNUMBER(DataStart),DataStart+22,"")</f>
        <v>46008</v>
      </c>
      <c r="AA1" s="25" t="n">
        <f aca="false">IF(ISNUMBER(DataStart),DataStart+23,"")</f>
        <v>46009</v>
      </c>
      <c r="AB1" s="25" t="n">
        <f aca="false">IF(ISNUMBER(DataStart),DataStart+24,"")</f>
        <v>46010</v>
      </c>
      <c r="AC1" s="25" t="n">
        <f aca="false">IF(ISNUMBER(DataStart),DataStart+25,"")</f>
        <v>46011</v>
      </c>
      <c r="AD1" s="25" t="n">
        <f aca="false">IF(ISNUMBER(DataStart),DataStart+26,"")</f>
        <v>46012</v>
      </c>
      <c r="AE1" s="25" t="n">
        <f aca="false">IF(ISNUMBER(DataStart),DataStart+27,"")</f>
        <v>46013</v>
      </c>
      <c r="AF1" s="25" t="n">
        <f aca="false">IF(ISNUMBER(DataStart),DataStart+28,"")</f>
        <v>46014</v>
      </c>
      <c r="AG1" s="25" t="n">
        <f aca="false">IF(ISNUMBER(DataStart),DataStart+29,"")</f>
        <v>46015</v>
      </c>
      <c r="AH1" s="25" t="n">
        <f aca="false">IF(ISNUMBER(DataStart),DataStart+30,"")</f>
        <v>46016</v>
      </c>
      <c r="AI1" s="25" t="n">
        <f aca="false">IF(ISNUMBER(DataStart),DataStart+31,"")</f>
        <v>46017</v>
      </c>
      <c r="AJ1" s="25" t="n">
        <f aca="false">IF(ISNUMBER(DataStart),DataStart+32,"")</f>
        <v>46018</v>
      </c>
      <c r="AK1" s="25" t="n">
        <f aca="false">IF(ISNUMBER(DataStart),DataStart+33,"")</f>
        <v>46019</v>
      </c>
      <c r="AL1" s="25" t="n">
        <f aca="false">IF(ISNUMBER(DataStart),DataStart+34,"")</f>
        <v>46020</v>
      </c>
      <c r="AM1" s="25" t="n">
        <f aca="false">IF(ISNUMBER(DataStart),DataStart+35,"")</f>
        <v>46021</v>
      </c>
      <c r="AN1" s="25" t="n">
        <f aca="false">IF(ISNUMBER(DataStart),DataStart+36,"")</f>
        <v>46022</v>
      </c>
      <c r="AO1" s="25" t="n">
        <f aca="false">IF(ISNUMBER(DataStart),DataStart+37,"")</f>
        <v>46023</v>
      </c>
      <c r="AP1" s="25" t="n">
        <f aca="false">IF(ISNUMBER(DataStart),DataStart+38,"")</f>
        <v>46024</v>
      </c>
      <c r="AQ1" s="25" t="n">
        <f aca="false">IF(ISNUMBER(DataStart),DataStart+39,"")</f>
        <v>46025</v>
      </c>
      <c r="AR1" s="25" t="n">
        <f aca="false">IF(ISNUMBER(DataStart),DataStart+40,"")</f>
        <v>46026</v>
      </c>
      <c r="AS1" s="25" t="n">
        <f aca="false">IF(ISNUMBER(DataStart),DataStart+41,"")</f>
        <v>46027</v>
      </c>
      <c r="AT1" s="25" t="n">
        <f aca="false">IF(ISNUMBER(DataStart),DataStart+42,"")</f>
        <v>46028</v>
      </c>
      <c r="AU1" s="25" t="n">
        <f aca="false">IF(ISNUMBER(DataStart),DataStart+43,"")</f>
        <v>46029</v>
      </c>
      <c r="AV1" s="25" t="n">
        <f aca="false">IF(ISNUMBER(DataStart),DataStart+44,"")</f>
        <v>46030</v>
      </c>
      <c r="AW1" s="25" t="n">
        <f aca="false">IF(ISNUMBER(DataStart),DataStart+45,"")</f>
        <v>46031</v>
      </c>
      <c r="AX1" s="25" t="n">
        <f aca="false">IF(ISNUMBER(DataStart),DataStart+46,"")</f>
        <v>46032</v>
      </c>
      <c r="AY1" s="25" t="n">
        <f aca="false">IF(ISNUMBER(DataStart),DataStart+47,"")</f>
        <v>46033</v>
      </c>
      <c r="AZ1" s="25" t="n">
        <f aca="false">IF(ISNUMBER(DataStart),DataStart+48,"")</f>
        <v>46034</v>
      </c>
      <c r="BA1" s="25" t="n">
        <f aca="false">IF(ISNUMBER(DataStart),DataStart+49,"")</f>
        <v>46035</v>
      </c>
      <c r="BB1" s="25" t="n">
        <f aca="false">IF(ISNUMBER(DataStart),DataStart+50,"")</f>
        <v>46036</v>
      </c>
      <c r="BC1" s="25" t="n">
        <f aca="false">IF(ISNUMBER(DataStart),DataStart+51,"")</f>
        <v>46037</v>
      </c>
      <c r="BD1" s="25" t="n">
        <f aca="false">IF(ISNUMBER(DataStart),DataStart+52,"")</f>
        <v>46038</v>
      </c>
      <c r="BE1" s="25" t="n">
        <f aca="false">IF(ISNUMBER(DataStart),DataStart+53,"")</f>
        <v>46039</v>
      </c>
      <c r="BF1" s="25" t="n">
        <f aca="false">IF(ISNUMBER(DataStart),DataStart+54,"")</f>
        <v>46040</v>
      </c>
      <c r="BG1" s="25" t="n">
        <f aca="false">IF(ISNUMBER(DataStart),DataStart+55,"")</f>
        <v>46041</v>
      </c>
      <c r="BH1" s="25" t="n">
        <f aca="false">IF(ISNUMBER(DataStart),DataStart+56,"")</f>
        <v>46042</v>
      </c>
      <c r="BI1" s="25" t="n">
        <f aca="false">IF(ISNUMBER(DataStart),DataStart+57,"")</f>
        <v>46043</v>
      </c>
      <c r="BJ1" s="25" t="n">
        <f aca="false">IF(ISNUMBER(DataStart),DataStart+58,"")</f>
        <v>46044</v>
      </c>
      <c r="BK1" s="25" t="n">
        <f aca="false">IF(ISNUMBER(DataStart),DataStart+59,"")</f>
        <v>46045</v>
      </c>
      <c r="BL1" s="25" t="n">
        <f aca="false">IF(ISNUMBER(DataStart),DataStart+60,"")</f>
        <v>46046</v>
      </c>
      <c r="BM1" s="25" t="n">
        <f aca="false">IF(ISNUMBER(DataStart),DataStart+61,"")</f>
        <v>46047</v>
      </c>
      <c r="BN1" s="25" t="n">
        <f aca="false">IF(ISNUMBER(DataStart),DataStart+62,"")</f>
        <v>46048</v>
      </c>
      <c r="BO1" s="25" t="n">
        <f aca="false">IF(ISNUMBER(DataStart),DataStart+63,"")</f>
        <v>46049</v>
      </c>
      <c r="BP1" s="25" t="n">
        <f aca="false">IF(ISNUMBER(DataStart),DataStart+64,"")</f>
        <v>46050</v>
      </c>
      <c r="BQ1" s="25" t="n">
        <f aca="false">IF(ISNUMBER(DataStart),DataStart+65,"")</f>
        <v>46051</v>
      </c>
      <c r="BR1" s="25" t="n">
        <f aca="false">IF(ISNUMBER(DataStart),DataStart+66,"")</f>
        <v>46052</v>
      </c>
      <c r="BS1" s="25" t="n">
        <f aca="false">IF(ISNUMBER(DataStart),DataStart+67,"")</f>
        <v>46053</v>
      </c>
      <c r="BT1" s="25" t="n">
        <f aca="false">IF(ISNUMBER(DataStart),DataStart+68,"")</f>
        <v>46054</v>
      </c>
      <c r="BU1" s="25" t="n">
        <f aca="false">IF(ISNUMBER(DataStart),DataStart+69,"")</f>
        <v>46055</v>
      </c>
      <c r="BV1" s="25" t="n">
        <f aca="false">IF(ISNUMBER(DataStart),DataStart+70,"")</f>
        <v>46056</v>
      </c>
      <c r="BW1" s="25" t="n">
        <f aca="false">IF(ISNUMBER(DataStart),DataStart+71,"")</f>
        <v>46057</v>
      </c>
      <c r="BX1" s="25" t="n">
        <f aca="false">IF(ISNUMBER(DataStart),DataStart+72,"")</f>
        <v>46058</v>
      </c>
      <c r="BY1" s="25" t="n">
        <f aca="false">IF(ISNUMBER(DataStart),DataStart+73,"")</f>
        <v>46059</v>
      </c>
      <c r="BZ1" s="25" t="n">
        <f aca="false">IF(ISNUMBER(DataStart),DataStart+74,"")</f>
        <v>46060</v>
      </c>
      <c r="CA1" s="25" t="n">
        <f aca="false">IF(ISNUMBER(DataStart),DataStart+75,"")</f>
        <v>46061</v>
      </c>
      <c r="CB1" s="25" t="n">
        <f aca="false">IF(ISNUMBER(DataStart),DataStart+76,"")</f>
        <v>46062</v>
      </c>
      <c r="CC1" s="25" t="n">
        <f aca="false">IF(ISNUMBER(DataStart),DataStart+77,"")</f>
        <v>46063</v>
      </c>
      <c r="CD1" s="25" t="n">
        <f aca="false">IF(ISNUMBER(DataStart),DataStart+78,"")</f>
        <v>46064</v>
      </c>
      <c r="CE1" s="25" t="n">
        <f aca="false">IF(ISNUMBER(DataStart),DataStart+79,"")</f>
        <v>46065</v>
      </c>
      <c r="CF1" s="25" t="n">
        <f aca="false">IF(ISNUMBER(DataStart),DataStart+80,"")</f>
        <v>46066</v>
      </c>
      <c r="CG1" s="25" t="n">
        <f aca="false">IF(ISNUMBER(DataStart),DataStart+81,"")</f>
        <v>46067</v>
      </c>
      <c r="CH1" s="25" t="n">
        <f aca="false">IF(ISNUMBER(DataStart),DataStart+82,"")</f>
        <v>46068</v>
      </c>
      <c r="CI1" s="25" t="n">
        <f aca="false">IF(ISNUMBER(DataStart),DataStart+83,"")</f>
        <v>46069</v>
      </c>
      <c r="CJ1" s="25" t="n">
        <f aca="false">IF(ISNUMBER(DataStart),DataStart+84,"")</f>
        <v>46070</v>
      </c>
      <c r="CK1" s="25" t="n">
        <f aca="false">IF(ISNUMBER(DataStart),DataStart+85,"")</f>
        <v>46071</v>
      </c>
      <c r="CL1" s="25" t="n">
        <f aca="false">IF(ISNUMBER(DataStart),DataStart+86,"")</f>
        <v>46072</v>
      </c>
      <c r="CM1" s="25" t="n">
        <f aca="false">IF(ISNUMBER(DataStart),DataStart+87,"")</f>
        <v>46073</v>
      </c>
      <c r="CN1" s="25" t="n">
        <f aca="false">IF(ISNUMBER(DataStart),DataStart+88,"")</f>
        <v>46074</v>
      </c>
      <c r="CO1" s="25" t="n">
        <f aca="false">IF(ISNUMBER(DataStart),DataStart+89,"")</f>
        <v>46075</v>
      </c>
      <c r="CP1" s="25" t="n">
        <f aca="false">IF(ISNUMBER(DataStart),DataStart+90,"")</f>
        <v>46076</v>
      </c>
      <c r="CQ1" s="25" t="n">
        <f aca="false">IF(ISNUMBER(DataStart),DataStart+91,"")</f>
        <v>46077</v>
      </c>
      <c r="CR1" s="25" t="n">
        <f aca="false">IF(ISNUMBER(DataStart),DataStart+92,"")</f>
        <v>46078</v>
      </c>
      <c r="CS1" s="25" t="n">
        <f aca="false">IF(ISNUMBER(DataStart),DataStart+93,"")</f>
        <v>46079</v>
      </c>
      <c r="CT1" s="25" t="n">
        <f aca="false">IF(ISNUMBER(DataStart),DataStart+94,"")</f>
        <v>46080</v>
      </c>
      <c r="CU1" s="25" t="n">
        <f aca="false">IF(ISNUMBER(DataStart),DataStart+95,"")</f>
        <v>46081</v>
      </c>
      <c r="CV1" s="25" t="n">
        <f aca="false">IF(ISNUMBER(DataStart),DataStart+96,"")</f>
        <v>46082</v>
      </c>
      <c r="CW1" s="25" t="n">
        <f aca="false">IF(ISNUMBER(DataStart),DataStart+97,"")</f>
        <v>46083</v>
      </c>
      <c r="CX1" s="25" t="n">
        <f aca="false">IF(ISNUMBER(DataStart),DataStart+98,"")</f>
        <v>46084</v>
      </c>
      <c r="CY1" s="25" t="n">
        <f aca="false">IF(ISNUMBER(DataStart),DataStart+99,"")</f>
        <v>46085</v>
      </c>
      <c r="CZ1" s="25" t="n">
        <f aca="false">IF(ISNUMBER(DataStart),DataStart+100,"")</f>
        <v>46086</v>
      </c>
      <c r="DA1" s="25" t="n">
        <f aca="false">IF(ISNUMBER(DataStart),DataStart+101,"")</f>
        <v>46087</v>
      </c>
      <c r="DB1" s="25" t="n">
        <f aca="false">IF(ISNUMBER(DataStart),DataStart+102,"")</f>
        <v>46088</v>
      </c>
      <c r="DC1" s="25" t="n">
        <f aca="false">IF(ISNUMBER(DataStart),DataStart+103,"")</f>
        <v>46089</v>
      </c>
      <c r="DD1" s="25" t="n">
        <f aca="false">IF(ISNUMBER(DataStart),DataStart+104,"")</f>
        <v>46090</v>
      </c>
      <c r="DE1" s="25" t="n">
        <f aca="false">IF(ISNUMBER(DataStart),DataStart+105,"")</f>
        <v>46091</v>
      </c>
      <c r="DF1" s="25" t="n">
        <f aca="false">IF(ISNUMBER(DataStart),DataStart+106,"")</f>
        <v>46092</v>
      </c>
      <c r="DG1" s="25" t="n">
        <f aca="false">IF(ISNUMBER(DataStart),DataStart+107,"")</f>
        <v>46093</v>
      </c>
      <c r="DH1" s="25" t="n">
        <f aca="false">IF(ISNUMBER(DataStart),DataStart+108,"")</f>
        <v>46094</v>
      </c>
      <c r="DI1" s="25" t="n">
        <f aca="false">IF(ISNUMBER(DataStart),DataStart+109,"")</f>
        <v>46095</v>
      </c>
      <c r="DJ1" s="25" t="n">
        <f aca="false">IF(ISNUMBER(DataStart),DataStart+110,"")</f>
        <v>46096</v>
      </c>
      <c r="DK1" s="25" t="n">
        <f aca="false">IF(ISNUMBER(DataStart),DataStart+111,"")</f>
        <v>46097</v>
      </c>
      <c r="DL1" s="25" t="n">
        <f aca="false">IF(ISNUMBER(DataStart),DataStart+112,"")</f>
        <v>46098</v>
      </c>
      <c r="DM1" s="25" t="n">
        <f aca="false">IF(ISNUMBER(DataStart),DataStart+113,"")</f>
        <v>46099</v>
      </c>
      <c r="DN1" s="25" t="n">
        <f aca="false">IF(ISNUMBER(DataStart),DataStart+114,"")</f>
        <v>46100</v>
      </c>
      <c r="DO1" s="25" t="n">
        <f aca="false">IF(ISNUMBER(DataStart),DataStart+115,"")</f>
        <v>46101</v>
      </c>
      <c r="DP1" s="25" t="n">
        <f aca="false">IF(ISNUMBER(DataStart),DataStart+116,"")</f>
        <v>46102</v>
      </c>
      <c r="DQ1" s="25" t="n">
        <f aca="false">IF(ISNUMBER(DataStart),DataStart+117,"")</f>
        <v>46103</v>
      </c>
      <c r="DR1" s="25" t="n">
        <f aca="false">IF(ISNUMBER(DataStart),DataStart+118,"")</f>
        <v>46104</v>
      </c>
      <c r="DS1" s="25" t="n">
        <f aca="false">IF(ISNUMBER(DataStart),DataStart+119,"")</f>
        <v>46105</v>
      </c>
      <c r="DT1" s="25" t="n">
        <f aca="false">IF(ISNUMBER(DataStart),DataStart+120,"")</f>
        <v>46106</v>
      </c>
      <c r="DU1" s="25" t="n">
        <f aca="false">IF(ISNUMBER(DataStart),DataStart+121,"")</f>
        <v>46107</v>
      </c>
      <c r="DV1" s="25" t="n">
        <f aca="false">IF(ISNUMBER(DataStart),DataStart+122,"")</f>
        <v>46108</v>
      </c>
      <c r="DW1" s="25" t="n">
        <f aca="false">IF(ISNUMBER(DataStart),DataStart+123,"")</f>
        <v>46109</v>
      </c>
      <c r="DX1" s="25" t="n">
        <f aca="false">IF(ISNUMBER(DataStart),DataStart+124,"")</f>
        <v>46110</v>
      </c>
      <c r="DY1" s="25" t="n">
        <f aca="false">IF(ISNUMBER(DataStart),DataStart+125,"")</f>
        <v>46111</v>
      </c>
      <c r="DZ1" s="25" t="n">
        <f aca="false">IF(ISNUMBER(DataStart),DataStart+126,"")</f>
        <v>46112</v>
      </c>
      <c r="EA1" s="25" t="n">
        <f aca="false">IF(ISNUMBER(DataStart),DataStart+127,"")</f>
        <v>46113</v>
      </c>
      <c r="EB1" s="25" t="n">
        <f aca="false">IF(ISNUMBER(DataStart),DataStart+128,"")</f>
        <v>46114</v>
      </c>
      <c r="EC1" s="25" t="n">
        <f aca="false">IF(ISNUMBER(DataStart),DataStart+129,"")</f>
        <v>46115</v>
      </c>
      <c r="ED1" s="25" t="n">
        <f aca="false">IF(ISNUMBER(DataStart),DataStart+130,"")</f>
        <v>46116</v>
      </c>
      <c r="EE1" s="25" t="n">
        <f aca="false">IF(ISNUMBER(DataStart),DataStart+131,"")</f>
        <v>46117</v>
      </c>
      <c r="EF1" s="25" t="n">
        <f aca="false">IF(ISNUMBER(DataStart),DataStart+132,"")</f>
        <v>46118</v>
      </c>
      <c r="EG1" s="25" t="n">
        <f aca="false">IF(ISNUMBER(DataStart),DataStart+133,"")</f>
        <v>46119</v>
      </c>
      <c r="EH1" s="25" t="n">
        <f aca="false">IF(ISNUMBER(DataStart),DataStart+134,"")</f>
        <v>46120</v>
      </c>
      <c r="EI1" s="25" t="n">
        <f aca="false">IF(ISNUMBER(DataStart),DataStart+135,"")</f>
        <v>46121</v>
      </c>
      <c r="EJ1" s="25" t="n">
        <f aca="false">IF(ISNUMBER(DataStart),DataStart+136,"")</f>
        <v>46122</v>
      </c>
      <c r="EK1" s="25" t="n">
        <f aca="false">IF(ISNUMBER(DataStart),DataStart+137,"")</f>
        <v>46123</v>
      </c>
      <c r="EL1" s="25" t="n">
        <f aca="false">IF(ISNUMBER(DataStart),DataStart+138,"")</f>
        <v>46124</v>
      </c>
      <c r="EM1" s="25" t="n">
        <f aca="false">IF(ISNUMBER(DataStart),DataStart+139,"")</f>
        <v>46125</v>
      </c>
      <c r="EN1" s="25" t="n">
        <f aca="false">IF(ISNUMBER(DataStart),DataStart+140,"")</f>
        <v>46126</v>
      </c>
      <c r="EO1" s="25" t="n">
        <f aca="false">IF(ISNUMBER(DataStart),DataStart+141,"")</f>
        <v>46127</v>
      </c>
      <c r="EP1" s="25" t="n">
        <f aca="false">IF(ISNUMBER(DataStart),DataStart+142,"")</f>
        <v>46128</v>
      </c>
      <c r="EQ1" s="25" t="n">
        <f aca="false">IF(ISNUMBER(DataStart),DataStart+143,"")</f>
        <v>46129</v>
      </c>
      <c r="ER1" s="25" t="n">
        <f aca="false">IF(ISNUMBER(DataStart),DataStart+144,"")</f>
        <v>46130</v>
      </c>
      <c r="ES1" s="25" t="n">
        <f aca="false">IF(ISNUMBER(DataStart),DataStart+145,"")</f>
        <v>46131</v>
      </c>
      <c r="ET1" s="25" t="n">
        <f aca="false">IF(ISNUMBER(DataStart),DataStart+146,"")</f>
        <v>46132</v>
      </c>
      <c r="EU1" s="25" t="n">
        <f aca="false">IF(ISNUMBER(DataStart),DataStart+147,"")</f>
        <v>46133</v>
      </c>
      <c r="EV1" s="25" t="n">
        <f aca="false">IF(ISNUMBER(DataStart),DataStart+148,"")</f>
        <v>46134</v>
      </c>
      <c r="EW1" s="25" t="n">
        <f aca="false">IF(ISNUMBER(DataStart),DataStart+149,"")</f>
        <v>46135</v>
      </c>
      <c r="EX1" s="25" t="n">
        <f aca="false">IF(ISNUMBER(DataStart),DataStart+150,"")</f>
        <v>46136</v>
      </c>
      <c r="EY1" s="25" t="n">
        <f aca="false">IF(ISNUMBER(DataStart),DataStart+151,"")</f>
        <v>46137</v>
      </c>
      <c r="EZ1" s="25" t="n">
        <f aca="false">IF(ISNUMBER(DataStart),DataStart+152,"")</f>
        <v>46138</v>
      </c>
      <c r="FA1" s="25" t="n">
        <f aca="false">IF(ISNUMBER(DataStart),DataStart+153,"")</f>
        <v>46139</v>
      </c>
      <c r="FB1" s="25" t="n">
        <f aca="false">IF(ISNUMBER(DataStart),DataStart+154,"")</f>
        <v>46140</v>
      </c>
      <c r="FC1" s="25" t="n">
        <f aca="false">IF(ISNUMBER(DataStart),DataStart+155,"")</f>
        <v>46141</v>
      </c>
      <c r="FD1" s="25" t="n">
        <f aca="false">IF(ISNUMBER(DataStart),DataStart+156,"")</f>
        <v>46142</v>
      </c>
      <c r="FE1" s="25" t="n">
        <f aca="false">IF(ISNUMBER(DataStart),DataStart+157,"")</f>
        <v>46143</v>
      </c>
      <c r="FF1" s="25" t="n">
        <f aca="false">IF(ISNUMBER(DataStart),DataStart+158,"")</f>
        <v>46144</v>
      </c>
      <c r="FG1" s="25" t="n">
        <f aca="false">IF(ISNUMBER(DataStart),DataStart+159,"")</f>
        <v>46145</v>
      </c>
      <c r="FH1" s="25" t="n">
        <f aca="false">IF(ISNUMBER(DataStart),DataStart+160,"")</f>
        <v>46146</v>
      </c>
      <c r="FI1" s="25" t="n">
        <f aca="false">IF(ISNUMBER(DataStart),DataStart+161,"")</f>
        <v>46147</v>
      </c>
      <c r="FJ1" s="25" t="n">
        <f aca="false">IF(ISNUMBER(DataStart),DataStart+162,"")</f>
        <v>46148</v>
      </c>
      <c r="FK1" s="25" t="n">
        <f aca="false">IF(ISNUMBER(DataStart),DataStart+163,"")</f>
        <v>46149</v>
      </c>
      <c r="FL1" s="25" t="n">
        <f aca="false">IF(ISNUMBER(DataStart),DataStart+164,"")</f>
        <v>46150</v>
      </c>
      <c r="FM1" s="25" t="n">
        <f aca="false">IF(ISNUMBER(DataStart),DataStart+165,"")</f>
        <v>46151</v>
      </c>
      <c r="FN1" s="25" t="n">
        <f aca="false">IF(ISNUMBER(DataStart),DataStart+166,"")</f>
        <v>46152</v>
      </c>
      <c r="FO1" s="25" t="n">
        <f aca="false">IF(ISNUMBER(DataStart),DataStart+167,"")</f>
        <v>46153</v>
      </c>
      <c r="FP1" s="25" t="n">
        <f aca="false">IF(ISNUMBER(DataStart),DataStart+168,"")</f>
        <v>46154</v>
      </c>
      <c r="FQ1" s="25" t="n">
        <f aca="false">IF(ISNUMBER(DataStart),DataStart+169,"")</f>
        <v>46155</v>
      </c>
    </row>
    <row r="2" customFormat="false" ht="15" hidden="false" customHeight="false" outlineLevel="0" collapsed="false">
      <c r="B2" s="48" t="s">
        <v>131</v>
      </c>
      <c r="D2" s="27" t="str">
        <f aca="false">IF(D1="","",TEXT(D1,"ddd"))</f>
        <v>Tue</v>
      </c>
      <c r="E2" s="27" t="str">
        <f aca="false">IF(E1="","",TEXT(E1,"ddd"))</f>
        <v>Wed</v>
      </c>
      <c r="F2" s="27" t="str">
        <f aca="false">IF(F1="","",TEXT(F1,"ddd"))</f>
        <v>Thu</v>
      </c>
      <c r="G2" s="27" t="str">
        <f aca="false">IF(G1="","",TEXT(G1,"ddd"))</f>
        <v>Fri</v>
      </c>
      <c r="H2" s="27" t="str">
        <f aca="false">IF(H1="","",TEXT(H1,"ddd"))</f>
        <v>Sat</v>
      </c>
      <c r="I2" s="27" t="str">
        <f aca="false">IF(I1="","",TEXT(I1,"ddd"))</f>
        <v>Sun</v>
      </c>
      <c r="J2" s="27" t="str">
        <f aca="false">IF(J1="","",TEXT(J1,"ddd"))</f>
        <v>Mon</v>
      </c>
      <c r="K2" s="27" t="str">
        <f aca="false">IF(K1="","",TEXT(K1,"ddd"))</f>
        <v>Tue</v>
      </c>
      <c r="L2" s="27" t="str">
        <f aca="false">IF(L1="","",TEXT(L1,"ddd"))</f>
        <v>Wed</v>
      </c>
      <c r="M2" s="27" t="str">
        <f aca="false">IF(M1="","",TEXT(M1,"ddd"))</f>
        <v>Thu</v>
      </c>
      <c r="N2" s="27" t="str">
        <f aca="false">IF(N1="","",TEXT(N1,"ddd"))</f>
        <v>Fri</v>
      </c>
      <c r="O2" s="27" t="str">
        <f aca="false">IF(O1="","",TEXT(O1,"ddd"))</f>
        <v>Sat</v>
      </c>
      <c r="P2" s="27" t="str">
        <f aca="false">IF(P1="","",TEXT(P1,"ddd"))</f>
        <v>Sun</v>
      </c>
      <c r="Q2" s="27" t="str">
        <f aca="false">IF(Q1="","",TEXT(Q1,"ddd"))</f>
        <v>Mon</v>
      </c>
      <c r="R2" s="27" t="str">
        <f aca="false">IF(R1="","",TEXT(R1,"ddd"))</f>
        <v>Tue</v>
      </c>
      <c r="S2" s="27" t="str">
        <f aca="false">IF(S1="","",TEXT(S1,"ddd"))</f>
        <v>Wed</v>
      </c>
      <c r="T2" s="27" t="str">
        <f aca="false">IF(T1="","",TEXT(T1,"ddd"))</f>
        <v>Thu</v>
      </c>
      <c r="U2" s="27" t="str">
        <f aca="false">IF(U1="","",TEXT(U1,"ddd"))</f>
        <v>Fri</v>
      </c>
      <c r="V2" s="27" t="str">
        <f aca="false">IF(V1="","",TEXT(V1,"ddd"))</f>
        <v>Sat</v>
      </c>
      <c r="W2" s="27" t="str">
        <f aca="false">IF(W1="","",TEXT(W1,"ddd"))</f>
        <v>Sun</v>
      </c>
      <c r="X2" s="27" t="str">
        <f aca="false">IF(X1="","",TEXT(X1,"ddd"))</f>
        <v>Mon</v>
      </c>
      <c r="Y2" s="27" t="str">
        <f aca="false">IF(Y1="","",TEXT(Y1,"ddd"))</f>
        <v>Tue</v>
      </c>
      <c r="Z2" s="27" t="str">
        <f aca="false">IF(Z1="","",TEXT(Z1,"ddd"))</f>
        <v>Wed</v>
      </c>
      <c r="AA2" s="27" t="str">
        <f aca="false">IF(AA1="","",TEXT(AA1,"ddd"))</f>
        <v>Thu</v>
      </c>
      <c r="AB2" s="27" t="str">
        <f aca="false">IF(AB1="","",TEXT(AB1,"ddd"))</f>
        <v>Fri</v>
      </c>
      <c r="AC2" s="27" t="str">
        <f aca="false">IF(AC1="","",TEXT(AC1,"ddd"))</f>
        <v>Sat</v>
      </c>
      <c r="AD2" s="27" t="str">
        <f aca="false">IF(AD1="","",TEXT(AD1,"ddd"))</f>
        <v>Sun</v>
      </c>
      <c r="AE2" s="27" t="str">
        <f aca="false">IF(AE1="","",TEXT(AE1,"ddd"))</f>
        <v>Mon</v>
      </c>
      <c r="AF2" s="27" t="str">
        <f aca="false">IF(AF1="","",TEXT(AF1,"ddd"))</f>
        <v>Tue</v>
      </c>
      <c r="AG2" s="27" t="str">
        <f aca="false">IF(AG1="","",TEXT(AG1,"ddd"))</f>
        <v>Wed</v>
      </c>
      <c r="AH2" s="27" t="str">
        <f aca="false">IF(AH1="","",TEXT(AH1,"ddd"))</f>
        <v>Thu</v>
      </c>
      <c r="AI2" s="27" t="str">
        <f aca="false">IF(AI1="","",TEXT(AI1,"ddd"))</f>
        <v>Fri</v>
      </c>
      <c r="AJ2" s="27" t="str">
        <f aca="false">IF(AJ1="","",TEXT(AJ1,"ddd"))</f>
        <v>Sat</v>
      </c>
      <c r="AK2" s="27" t="str">
        <f aca="false">IF(AK1="","",TEXT(AK1,"ddd"))</f>
        <v>Sun</v>
      </c>
      <c r="AL2" s="27" t="str">
        <f aca="false">IF(AL1="","",TEXT(AL1,"ddd"))</f>
        <v>Mon</v>
      </c>
      <c r="AM2" s="27" t="str">
        <f aca="false">IF(AM1="","",TEXT(AM1,"ddd"))</f>
        <v>Tue</v>
      </c>
      <c r="AN2" s="27" t="str">
        <f aca="false">IF(AN1="","",TEXT(AN1,"ddd"))</f>
        <v>Wed</v>
      </c>
      <c r="AO2" s="27" t="str">
        <f aca="false">IF(AO1="","",TEXT(AO1,"ddd"))</f>
        <v>Thu</v>
      </c>
      <c r="AP2" s="27" t="str">
        <f aca="false">IF(AP1="","",TEXT(AP1,"ddd"))</f>
        <v>Fri</v>
      </c>
      <c r="AQ2" s="27" t="str">
        <f aca="false">IF(AQ1="","",TEXT(AQ1,"ddd"))</f>
        <v>Sat</v>
      </c>
      <c r="AR2" s="27" t="str">
        <f aca="false">IF(AR1="","",TEXT(AR1,"ddd"))</f>
        <v>Sun</v>
      </c>
      <c r="AS2" s="27" t="str">
        <f aca="false">IF(AS1="","",TEXT(AS1,"ddd"))</f>
        <v>Mon</v>
      </c>
      <c r="AT2" s="27" t="str">
        <f aca="false">IF(AT1="","",TEXT(AT1,"ddd"))</f>
        <v>Tue</v>
      </c>
      <c r="AU2" s="27" t="str">
        <f aca="false">IF(AU1="","",TEXT(AU1,"ddd"))</f>
        <v>Wed</v>
      </c>
      <c r="AV2" s="27" t="str">
        <f aca="false">IF(AV1="","",TEXT(AV1,"ddd"))</f>
        <v>Thu</v>
      </c>
      <c r="AW2" s="27" t="str">
        <f aca="false">IF(AW1="","",TEXT(AW1,"ddd"))</f>
        <v>Fri</v>
      </c>
      <c r="AX2" s="27" t="str">
        <f aca="false">IF(AX1="","",TEXT(AX1,"ddd"))</f>
        <v>Sat</v>
      </c>
      <c r="AY2" s="27" t="str">
        <f aca="false">IF(AY1="","",TEXT(AY1,"ddd"))</f>
        <v>Sun</v>
      </c>
      <c r="AZ2" s="27" t="str">
        <f aca="false">IF(AZ1="","",TEXT(AZ1,"ddd"))</f>
        <v>Mon</v>
      </c>
      <c r="BA2" s="27" t="str">
        <f aca="false">IF(BA1="","",TEXT(BA1,"ddd"))</f>
        <v>Tue</v>
      </c>
      <c r="BB2" s="27" t="str">
        <f aca="false">IF(BB1="","",TEXT(BB1,"ddd"))</f>
        <v>Wed</v>
      </c>
      <c r="BC2" s="27" t="str">
        <f aca="false">IF(BC1="","",TEXT(BC1,"ddd"))</f>
        <v>Thu</v>
      </c>
      <c r="BD2" s="27" t="str">
        <f aca="false">IF(BD1="","",TEXT(BD1,"ddd"))</f>
        <v>Fri</v>
      </c>
      <c r="BE2" s="27" t="str">
        <f aca="false">IF(BE1="","",TEXT(BE1,"ddd"))</f>
        <v>Sat</v>
      </c>
      <c r="BF2" s="27" t="str">
        <f aca="false">IF(BF1="","",TEXT(BF1,"ddd"))</f>
        <v>Sun</v>
      </c>
      <c r="BG2" s="27" t="str">
        <f aca="false">IF(BG1="","",TEXT(BG1,"ddd"))</f>
        <v>Mon</v>
      </c>
      <c r="BH2" s="27" t="str">
        <f aca="false">IF(BH1="","",TEXT(BH1,"ddd"))</f>
        <v>Tue</v>
      </c>
      <c r="BI2" s="27" t="str">
        <f aca="false">IF(BI1="","",TEXT(BI1,"ddd"))</f>
        <v>Wed</v>
      </c>
      <c r="BJ2" s="27" t="str">
        <f aca="false">IF(BJ1="","",TEXT(BJ1,"ddd"))</f>
        <v>Thu</v>
      </c>
      <c r="BK2" s="27" t="str">
        <f aca="false">IF(BK1="","",TEXT(BK1,"ddd"))</f>
        <v>Fri</v>
      </c>
      <c r="BL2" s="27" t="str">
        <f aca="false">IF(BL1="","",TEXT(BL1,"ddd"))</f>
        <v>Sat</v>
      </c>
      <c r="BM2" s="27" t="str">
        <f aca="false">IF(BM1="","",TEXT(BM1,"ddd"))</f>
        <v>Sun</v>
      </c>
      <c r="BN2" s="27" t="str">
        <f aca="false">IF(BN1="","",TEXT(BN1,"ddd"))</f>
        <v>Mon</v>
      </c>
      <c r="BO2" s="27" t="str">
        <f aca="false">IF(BO1="","",TEXT(BO1,"ddd"))</f>
        <v>Tue</v>
      </c>
      <c r="BP2" s="27" t="str">
        <f aca="false">IF(BP1="","",TEXT(BP1,"ddd"))</f>
        <v>Wed</v>
      </c>
      <c r="BQ2" s="27" t="str">
        <f aca="false">IF(BQ1="","",TEXT(BQ1,"ddd"))</f>
        <v>Thu</v>
      </c>
      <c r="BR2" s="27" t="str">
        <f aca="false">IF(BR1="","",TEXT(BR1,"ddd"))</f>
        <v>Fri</v>
      </c>
      <c r="BS2" s="27" t="str">
        <f aca="false">IF(BS1="","",TEXT(BS1,"ddd"))</f>
        <v>Sat</v>
      </c>
      <c r="BT2" s="27" t="str">
        <f aca="false">IF(BT1="","",TEXT(BT1,"ddd"))</f>
        <v>Sun</v>
      </c>
      <c r="BU2" s="27" t="str">
        <f aca="false">IF(BU1="","",TEXT(BU1,"ddd"))</f>
        <v>Mon</v>
      </c>
      <c r="BV2" s="27" t="str">
        <f aca="false">IF(BV1="","",TEXT(BV1,"ddd"))</f>
        <v>Tue</v>
      </c>
      <c r="BW2" s="27" t="str">
        <f aca="false">IF(BW1="","",TEXT(BW1,"ddd"))</f>
        <v>Wed</v>
      </c>
      <c r="BX2" s="27" t="str">
        <f aca="false">IF(BX1="","",TEXT(BX1,"ddd"))</f>
        <v>Thu</v>
      </c>
      <c r="BY2" s="27" t="str">
        <f aca="false">IF(BY1="","",TEXT(BY1,"ddd"))</f>
        <v>Fri</v>
      </c>
      <c r="BZ2" s="27" t="str">
        <f aca="false">IF(BZ1="","",TEXT(BZ1,"ddd"))</f>
        <v>Sat</v>
      </c>
      <c r="CA2" s="27" t="str">
        <f aca="false">IF(CA1="","",TEXT(CA1,"ddd"))</f>
        <v>Sun</v>
      </c>
      <c r="CB2" s="27" t="str">
        <f aca="false">IF(CB1="","",TEXT(CB1,"ddd"))</f>
        <v>Mon</v>
      </c>
      <c r="CC2" s="27" t="str">
        <f aca="false">IF(CC1="","",TEXT(CC1,"ddd"))</f>
        <v>Tue</v>
      </c>
      <c r="CD2" s="27" t="str">
        <f aca="false">IF(CD1="","",TEXT(CD1,"ddd"))</f>
        <v>Wed</v>
      </c>
      <c r="CE2" s="27" t="str">
        <f aca="false">IF(CE1="","",TEXT(CE1,"ddd"))</f>
        <v>Thu</v>
      </c>
      <c r="CF2" s="27" t="str">
        <f aca="false">IF(CF1="","",TEXT(CF1,"ddd"))</f>
        <v>Fri</v>
      </c>
      <c r="CG2" s="27" t="str">
        <f aca="false">IF(CG1="","",TEXT(CG1,"ddd"))</f>
        <v>Sat</v>
      </c>
      <c r="CH2" s="27" t="str">
        <f aca="false">IF(CH1="","",TEXT(CH1,"ddd"))</f>
        <v>Sun</v>
      </c>
      <c r="CI2" s="27" t="str">
        <f aca="false">IF(CI1="","",TEXT(CI1,"ddd"))</f>
        <v>Mon</v>
      </c>
      <c r="CJ2" s="27" t="str">
        <f aca="false">IF(CJ1="","",TEXT(CJ1,"ddd"))</f>
        <v>Tue</v>
      </c>
      <c r="CK2" s="27" t="str">
        <f aca="false">IF(CK1="","",TEXT(CK1,"ddd"))</f>
        <v>Wed</v>
      </c>
      <c r="CL2" s="27" t="str">
        <f aca="false">IF(CL1="","",TEXT(CL1,"ddd"))</f>
        <v>Thu</v>
      </c>
      <c r="CM2" s="27" t="str">
        <f aca="false">IF(CM1="","",TEXT(CM1,"ddd"))</f>
        <v>Fri</v>
      </c>
      <c r="CN2" s="27" t="str">
        <f aca="false">IF(CN1="","",TEXT(CN1,"ddd"))</f>
        <v>Sat</v>
      </c>
      <c r="CO2" s="27" t="str">
        <f aca="false">IF(CO1="","",TEXT(CO1,"ddd"))</f>
        <v>Sun</v>
      </c>
      <c r="CP2" s="27" t="str">
        <f aca="false">IF(CP1="","",TEXT(CP1,"ddd"))</f>
        <v>Mon</v>
      </c>
      <c r="CQ2" s="27" t="str">
        <f aca="false">IF(CQ1="","",TEXT(CQ1,"ddd"))</f>
        <v>Tue</v>
      </c>
      <c r="CR2" s="27" t="str">
        <f aca="false">IF(CR1="","",TEXT(CR1,"ddd"))</f>
        <v>Wed</v>
      </c>
      <c r="CS2" s="27" t="str">
        <f aca="false">IF(CS1="","",TEXT(CS1,"ddd"))</f>
        <v>Thu</v>
      </c>
      <c r="CT2" s="27" t="str">
        <f aca="false">IF(CT1="","",TEXT(CT1,"ddd"))</f>
        <v>Fri</v>
      </c>
      <c r="CU2" s="27" t="str">
        <f aca="false">IF(CU1="","",TEXT(CU1,"ddd"))</f>
        <v>Sat</v>
      </c>
      <c r="CV2" s="27" t="str">
        <f aca="false">IF(CV1="","",TEXT(CV1,"ddd"))</f>
        <v>Sun</v>
      </c>
      <c r="CW2" s="27" t="str">
        <f aca="false">IF(CW1="","",TEXT(CW1,"ddd"))</f>
        <v>Mon</v>
      </c>
      <c r="CX2" s="27" t="str">
        <f aca="false">IF(CX1="","",TEXT(CX1,"ddd"))</f>
        <v>Tue</v>
      </c>
      <c r="CY2" s="27" t="str">
        <f aca="false">IF(CY1="","",TEXT(CY1,"ddd"))</f>
        <v>Wed</v>
      </c>
      <c r="CZ2" s="27" t="str">
        <f aca="false">IF(CZ1="","",TEXT(CZ1,"ddd"))</f>
        <v>Thu</v>
      </c>
      <c r="DA2" s="27" t="str">
        <f aca="false">IF(DA1="","",TEXT(DA1,"ddd"))</f>
        <v>Fri</v>
      </c>
      <c r="DB2" s="27" t="str">
        <f aca="false">IF(DB1="","",TEXT(DB1,"ddd"))</f>
        <v>Sat</v>
      </c>
      <c r="DC2" s="27" t="str">
        <f aca="false">IF(DC1="","",TEXT(DC1,"ddd"))</f>
        <v>Sun</v>
      </c>
      <c r="DD2" s="27" t="str">
        <f aca="false">IF(DD1="","",TEXT(DD1,"ddd"))</f>
        <v>Mon</v>
      </c>
      <c r="DE2" s="27" t="str">
        <f aca="false">IF(DE1="","",TEXT(DE1,"ddd"))</f>
        <v>Tue</v>
      </c>
      <c r="DF2" s="27" t="str">
        <f aca="false">IF(DF1="","",TEXT(DF1,"ddd"))</f>
        <v>Wed</v>
      </c>
      <c r="DG2" s="27" t="str">
        <f aca="false">IF(DG1="","",TEXT(DG1,"ddd"))</f>
        <v>Thu</v>
      </c>
      <c r="DH2" s="27" t="str">
        <f aca="false">IF(DH1="","",TEXT(DH1,"ddd"))</f>
        <v>Fri</v>
      </c>
      <c r="DI2" s="27" t="str">
        <f aca="false">IF(DI1="","",TEXT(DI1,"ddd"))</f>
        <v>Sat</v>
      </c>
      <c r="DJ2" s="27" t="str">
        <f aca="false">IF(DJ1="","",TEXT(DJ1,"ddd"))</f>
        <v>Sun</v>
      </c>
      <c r="DK2" s="27" t="str">
        <f aca="false">IF(DK1="","",TEXT(DK1,"ddd"))</f>
        <v>Mon</v>
      </c>
      <c r="DL2" s="27" t="str">
        <f aca="false">IF(DL1="","",TEXT(DL1,"ddd"))</f>
        <v>Tue</v>
      </c>
      <c r="DM2" s="27" t="str">
        <f aca="false">IF(DM1="","",TEXT(DM1,"ddd"))</f>
        <v>Wed</v>
      </c>
      <c r="DN2" s="27" t="str">
        <f aca="false">IF(DN1="","",TEXT(DN1,"ddd"))</f>
        <v>Thu</v>
      </c>
      <c r="DO2" s="27" t="str">
        <f aca="false">IF(DO1="","",TEXT(DO1,"ddd"))</f>
        <v>Fri</v>
      </c>
      <c r="DP2" s="27" t="str">
        <f aca="false">IF(DP1="","",TEXT(DP1,"ddd"))</f>
        <v>Sat</v>
      </c>
      <c r="DQ2" s="27" t="str">
        <f aca="false">IF(DQ1="","",TEXT(DQ1,"ddd"))</f>
        <v>Sun</v>
      </c>
      <c r="DR2" s="27" t="str">
        <f aca="false">IF(DR1="","",TEXT(DR1,"ddd"))</f>
        <v>Mon</v>
      </c>
      <c r="DS2" s="27" t="str">
        <f aca="false">IF(DS1="","",TEXT(DS1,"ddd"))</f>
        <v>Tue</v>
      </c>
      <c r="DT2" s="27" t="str">
        <f aca="false">IF(DT1="","",TEXT(DT1,"ddd"))</f>
        <v>Wed</v>
      </c>
      <c r="DU2" s="27" t="str">
        <f aca="false">IF(DU1="","",TEXT(DU1,"ddd"))</f>
        <v>Thu</v>
      </c>
      <c r="DV2" s="27" t="str">
        <f aca="false">IF(DV1="","",TEXT(DV1,"ddd"))</f>
        <v>Fri</v>
      </c>
      <c r="DW2" s="27" t="str">
        <f aca="false">IF(DW1="","",TEXT(DW1,"ddd"))</f>
        <v>Sat</v>
      </c>
      <c r="DX2" s="27" t="str">
        <f aca="false">IF(DX1="","",TEXT(DX1,"ddd"))</f>
        <v>Sun</v>
      </c>
      <c r="DY2" s="27" t="str">
        <f aca="false">IF(DY1="","",TEXT(DY1,"ddd"))</f>
        <v>Mon</v>
      </c>
      <c r="DZ2" s="27" t="str">
        <f aca="false">IF(DZ1="","",TEXT(DZ1,"ddd"))</f>
        <v>Tue</v>
      </c>
      <c r="EA2" s="27" t="str">
        <f aca="false">IF(EA1="","",TEXT(EA1,"ddd"))</f>
        <v>Wed</v>
      </c>
      <c r="EB2" s="27" t="str">
        <f aca="false">IF(EB1="","",TEXT(EB1,"ddd"))</f>
        <v>Thu</v>
      </c>
      <c r="EC2" s="27" t="str">
        <f aca="false">IF(EC1="","",TEXT(EC1,"ddd"))</f>
        <v>Fri</v>
      </c>
      <c r="ED2" s="27" t="str">
        <f aca="false">IF(ED1="","",TEXT(ED1,"ddd"))</f>
        <v>Sat</v>
      </c>
      <c r="EE2" s="27" t="str">
        <f aca="false">IF(EE1="","",TEXT(EE1,"ddd"))</f>
        <v>Sun</v>
      </c>
      <c r="EF2" s="27" t="str">
        <f aca="false">IF(EF1="","",TEXT(EF1,"ddd"))</f>
        <v>Mon</v>
      </c>
      <c r="EG2" s="27" t="str">
        <f aca="false">IF(EG1="","",TEXT(EG1,"ddd"))</f>
        <v>Tue</v>
      </c>
      <c r="EH2" s="27" t="str">
        <f aca="false">IF(EH1="","",TEXT(EH1,"ddd"))</f>
        <v>Wed</v>
      </c>
      <c r="EI2" s="27" t="str">
        <f aca="false">IF(EI1="","",TEXT(EI1,"ddd"))</f>
        <v>Thu</v>
      </c>
      <c r="EJ2" s="27" t="str">
        <f aca="false">IF(EJ1="","",TEXT(EJ1,"ddd"))</f>
        <v>Fri</v>
      </c>
      <c r="EK2" s="27" t="str">
        <f aca="false">IF(EK1="","",TEXT(EK1,"ddd"))</f>
        <v>Sat</v>
      </c>
      <c r="EL2" s="27" t="str">
        <f aca="false">IF(EL1="","",TEXT(EL1,"ddd"))</f>
        <v>Sun</v>
      </c>
      <c r="EM2" s="27" t="str">
        <f aca="false">IF(EM1="","",TEXT(EM1,"ddd"))</f>
        <v>Mon</v>
      </c>
      <c r="EN2" s="27" t="str">
        <f aca="false">IF(EN1="","",TEXT(EN1,"ddd"))</f>
        <v>Tue</v>
      </c>
      <c r="EO2" s="27" t="str">
        <f aca="false">IF(EO1="","",TEXT(EO1,"ddd"))</f>
        <v>Wed</v>
      </c>
      <c r="EP2" s="27" t="str">
        <f aca="false">IF(EP1="","",TEXT(EP1,"ddd"))</f>
        <v>Thu</v>
      </c>
      <c r="EQ2" s="27" t="str">
        <f aca="false">IF(EQ1="","",TEXT(EQ1,"ddd"))</f>
        <v>Fri</v>
      </c>
      <c r="ER2" s="27" t="str">
        <f aca="false">IF(ER1="","",TEXT(ER1,"ddd"))</f>
        <v>Sat</v>
      </c>
      <c r="ES2" s="27" t="str">
        <f aca="false">IF(ES1="","",TEXT(ES1,"ddd"))</f>
        <v>Sun</v>
      </c>
      <c r="ET2" s="27" t="str">
        <f aca="false">IF(ET1="","",TEXT(ET1,"ddd"))</f>
        <v>Mon</v>
      </c>
      <c r="EU2" s="27" t="str">
        <f aca="false">IF(EU1="","",TEXT(EU1,"ddd"))</f>
        <v>Tue</v>
      </c>
      <c r="EV2" s="27" t="str">
        <f aca="false">IF(EV1="","",TEXT(EV1,"ddd"))</f>
        <v>Wed</v>
      </c>
      <c r="EW2" s="27" t="str">
        <f aca="false">IF(EW1="","",TEXT(EW1,"ddd"))</f>
        <v>Thu</v>
      </c>
      <c r="EX2" s="27" t="str">
        <f aca="false">IF(EX1="","",TEXT(EX1,"ddd"))</f>
        <v>Fri</v>
      </c>
      <c r="EY2" s="27" t="str">
        <f aca="false">IF(EY1="","",TEXT(EY1,"ddd"))</f>
        <v>Sat</v>
      </c>
      <c r="EZ2" s="27" t="str">
        <f aca="false">IF(EZ1="","",TEXT(EZ1,"ddd"))</f>
        <v>Sun</v>
      </c>
      <c r="FA2" s="27" t="str">
        <f aca="false">IF(FA1="","",TEXT(FA1,"ddd"))</f>
        <v>Mon</v>
      </c>
      <c r="FB2" s="27" t="str">
        <f aca="false">IF(FB1="","",TEXT(FB1,"ddd"))</f>
        <v>Tue</v>
      </c>
      <c r="FC2" s="27" t="str">
        <f aca="false">IF(FC1="","",TEXT(FC1,"ddd"))</f>
        <v>Wed</v>
      </c>
      <c r="FD2" s="27" t="str">
        <f aca="false">IF(FD1="","",TEXT(FD1,"ddd"))</f>
        <v>Thu</v>
      </c>
      <c r="FE2" s="27" t="str">
        <f aca="false">IF(FE1="","",TEXT(FE1,"ddd"))</f>
        <v>Fri</v>
      </c>
      <c r="FF2" s="27" t="str">
        <f aca="false">IF(FF1="","",TEXT(FF1,"ddd"))</f>
        <v>Sat</v>
      </c>
      <c r="FG2" s="27" t="str">
        <f aca="false">IF(FG1="","",TEXT(FG1,"ddd"))</f>
        <v>Sun</v>
      </c>
      <c r="FH2" s="27" t="str">
        <f aca="false">IF(FH1="","",TEXT(FH1,"ddd"))</f>
        <v>Mon</v>
      </c>
      <c r="FI2" s="27" t="str">
        <f aca="false">IF(FI1="","",TEXT(FI1,"ddd"))</f>
        <v>Tue</v>
      </c>
      <c r="FJ2" s="27" t="str">
        <f aca="false">IF(FJ1="","",TEXT(FJ1,"ddd"))</f>
        <v>Wed</v>
      </c>
      <c r="FK2" s="27" t="str">
        <f aca="false">IF(FK1="","",TEXT(FK1,"ddd"))</f>
        <v>Thu</v>
      </c>
      <c r="FL2" s="27" t="str">
        <f aca="false">IF(FL1="","",TEXT(FL1,"ddd"))</f>
        <v>Fri</v>
      </c>
      <c r="FM2" s="27" t="str">
        <f aca="false">IF(FM1="","",TEXT(FM1,"ddd"))</f>
        <v>Sat</v>
      </c>
      <c r="FN2" s="27" t="str">
        <f aca="false">IF(FN1="","",TEXT(FN1,"ddd"))</f>
        <v>Sun</v>
      </c>
      <c r="FO2" s="27" t="str">
        <f aca="false">IF(FO1="","",TEXT(FO1,"ddd"))</f>
        <v>Mon</v>
      </c>
      <c r="FP2" s="27" t="str">
        <f aca="false">IF(FP1="","",TEXT(FP1,"ddd"))</f>
        <v>Tue</v>
      </c>
      <c r="FQ2" s="27" t="str">
        <f aca="false">IF(FQ1="","",TEXT(FQ1,"ddd"))</f>
        <v>Wed</v>
      </c>
    </row>
    <row r="3" customFormat="false" ht="15" hidden="false" customHeight="false" outlineLevel="0" collapsed="false">
      <c r="B3" s="48" t="s">
        <v>132</v>
      </c>
      <c r="D3" s="27" t="n">
        <f aca="false">IF(D1="","",D1-TransDate)</f>
        <v>-52</v>
      </c>
      <c r="E3" s="27" t="n">
        <f aca="false">IF(E1="","",E1-TransDate)</f>
        <v>-51</v>
      </c>
      <c r="F3" s="27" t="n">
        <f aca="false">IF(F1="","",F1-TransDate)</f>
        <v>-50</v>
      </c>
      <c r="G3" s="27" t="n">
        <f aca="false">IF(G1="","",G1-TransDate)</f>
        <v>-49</v>
      </c>
      <c r="H3" s="27" t="n">
        <f aca="false">IF(H1="","",H1-TransDate)</f>
        <v>-48</v>
      </c>
      <c r="I3" s="27" t="n">
        <f aca="false">IF(I1="","",I1-TransDate)</f>
        <v>-47</v>
      </c>
      <c r="J3" s="27" t="n">
        <f aca="false">IF(J1="","",J1-TransDate)</f>
        <v>-46</v>
      </c>
      <c r="K3" s="27" t="n">
        <f aca="false">IF(K1="","",K1-TransDate)</f>
        <v>-45</v>
      </c>
      <c r="L3" s="27" t="n">
        <f aca="false">IF(L1="","",L1-TransDate)</f>
        <v>-44</v>
      </c>
      <c r="M3" s="27" t="n">
        <f aca="false">IF(M1="","",M1-TransDate)</f>
        <v>-43</v>
      </c>
      <c r="N3" s="27" t="n">
        <f aca="false">IF(N1="","",N1-TransDate)</f>
        <v>-42</v>
      </c>
      <c r="O3" s="27" t="n">
        <f aca="false">IF(O1="","",O1-TransDate)</f>
        <v>-41</v>
      </c>
      <c r="P3" s="27" t="n">
        <f aca="false">IF(P1="","",P1-TransDate)</f>
        <v>-40</v>
      </c>
      <c r="Q3" s="27" t="n">
        <f aca="false">IF(Q1="","",Q1-TransDate)</f>
        <v>-39</v>
      </c>
      <c r="R3" s="27" t="n">
        <f aca="false">IF(R1="","",R1-TransDate)</f>
        <v>-38</v>
      </c>
      <c r="S3" s="27" t="n">
        <f aca="false">IF(S1="","",S1-TransDate)</f>
        <v>-37</v>
      </c>
      <c r="T3" s="27" t="n">
        <f aca="false">IF(T1="","",T1-TransDate)</f>
        <v>-36</v>
      </c>
      <c r="U3" s="27" t="n">
        <f aca="false">IF(U1="","",U1-TransDate)</f>
        <v>-35</v>
      </c>
      <c r="V3" s="27" t="n">
        <f aca="false">IF(V1="","",V1-TransDate)</f>
        <v>-34</v>
      </c>
      <c r="W3" s="27" t="n">
        <f aca="false">IF(W1="","",W1-TransDate)</f>
        <v>-33</v>
      </c>
      <c r="X3" s="27" t="n">
        <f aca="false">IF(X1="","",X1-TransDate)</f>
        <v>-32</v>
      </c>
      <c r="Y3" s="27" t="n">
        <f aca="false">IF(Y1="","",Y1-TransDate)</f>
        <v>-31</v>
      </c>
      <c r="Z3" s="27" t="n">
        <f aca="false">IF(Z1="","",Z1-TransDate)</f>
        <v>-30</v>
      </c>
      <c r="AA3" s="27" t="n">
        <f aca="false">IF(AA1="","",AA1-TransDate)</f>
        <v>-29</v>
      </c>
      <c r="AB3" s="27" t="n">
        <f aca="false">IF(AB1="","",AB1-TransDate)</f>
        <v>-28</v>
      </c>
      <c r="AC3" s="27" t="n">
        <f aca="false">IF(AC1="","",AC1-TransDate)</f>
        <v>-27</v>
      </c>
      <c r="AD3" s="27" t="n">
        <f aca="false">IF(AD1="","",AD1-TransDate)</f>
        <v>-26</v>
      </c>
      <c r="AE3" s="27" t="n">
        <f aca="false">IF(AE1="","",AE1-TransDate)</f>
        <v>-25</v>
      </c>
      <c r="AF3" s="27" t="n">
        <f aca="false">IF(AF1="","",AF1-TransDate)</f>
        <v>-24</v>
      </c>
      <c r="AG3" s="27" t="n">
        <f aca="false">IF(AG1="","",AG1-TransDate)</f>
        <v>-23</v>
      </c>
      <c r="AH3" s="27" t="n">
        <f aca="false">IF(AH1="","",AH1-TransDate)</f>
        <v>-22</v>
      </c>
      <c r="AI3" s="27" t="n">
        <f aca="false">IF(AI1="","",AI1-TransDate)</f>
        <v>-21</v>
      </c>
      <c r="AJ3" s="27" t="n">
        <f aca="false">IF(AJ1="","",AJ1-TransDate)</f>
        <v>-20</v>
      </c>
      <c r="AK3" s="27" t="n">
        <f aca="false">IF(AK1="","",AK1-TransDate)</f>
        <v>-19</v>
      </c>
      <c r="AL3" s="27" t="n">
        <f aca="false">IF(AL1="","",AL1-TransDate)</f>
        <v>-18</v>
      </c>
      <c r="AM3" s="27" t="n">
        <f aca="false">IF(AM1="","",AM1-TransDate)</f>
        <v>-17</v>
      </c>
      <c r="AN3" s="27" t="n">
        <f aca="false">IF(AN1="","",AN1-TransDate)</f>
        <v>-16</v>
      </c>
      <c r="AO3" s="27" t="n">
        <f aca="false">IF(AO1="","",AO1-TransDate)</f>
        <v>-15</v>
      </c>
      <c r="AP3" s="27" t="n">
        <f aca="false">IF(AP1="","",AP1-TransDate)</f>
        <v>-14</v>
      </c>
      <c r="AQ3" s="27" t="n">
        <f aca="false">IF(AQ1="","",AQ1-TransDate)</f>
        <v>-13</v>
      </c>
      <c r="AR3" s="27" t="n">
        <f aca="false">IF(AR1="","",AR1-TransDate)</f>
        <v>-12</v>
      </c>
      <c r="AS3" s="27" t="n">
        <f aca="false">IF(AS1="","",AS1-TransDate)</f>
        <v>-11</v>
      </c>
      <c r="AT3" s="27" t="n">
        <f aca="false">IF(AT1="","",AT1-TransDate)</f>
        <v>-10</v>
      </c>
      <c r="AU3" s="27" t="n">
        <f aca="false">IF(AU1="","",AU1-TransDate)</f>
        <v>-9</v>
      </c>
      <c r="AV3" s="27" t="n">
        <f aca="false">IF(AV1="","",AV1-TransDate)</f>
        <v>-8</v>
      </c>
      <c r="AW3" s="27" t="n">
        <f aca="false">IF(AW1="","",AW1-TransDate)</f>
        <v>-7</v>
      </c>
      <c r="AX3" s="27" t="n">
        <f aca="false">IF(AX1="","",AX1-TransDate)</f>
        <v>-6</v>
      </c>
      <c r="AY3" s="27" t="n">
        <f aca="false">IF(AY1="","",AY1-TransDate)</f>
        <v>-5</v>
      </c>
      <c r="AZ3" s="27" t="n">
        <f aca="false">IF(AZ1="","",AZ1-TransDate)</f>
        <v>-4</v>
      </c>
      <c r="BA3" s="27" t="n">
        <f aca="false">IF(BA1="","",BA1-TransDate)</f>
        <v>-3</v>
      </c>
      <c r="BB3" s="27" t="n">
        <f aca="false">IF(BB1="","",BB1-TransDate)</f>
        <v>-2</v>
      </c>
      <c r="BC3" s="27" t="n">
        <f aca="false">IF(BC1="","",BC1-TransDate)</f>
        <v>-1</v>
      </c>
      <c r="BD3" s="27" t="n">
        <f aca="false">IF(BD1="","",BD1-TransDate)</f>
        <v>0</v>
      </c>
      <c r="BE3" s="27" t="n">
        <f aca="false">IF(BE1="","",BE1-TransDate)</f>
        <v>1</v>
      </c>
      <c r="BF3" s="27" t="n">
        <f aca="false">IF(BF1="","",BF1-TransDate)</f>
        <v>2</v>
      </c>
      <c r="BG3" s="27" t="n">
        <f aca="false">IF(BG1="","",BG1-TransDate)</f>
        <v>3</v>
      </c>
      <c r="BH3" s="27" t="n">
        <f aca="false">IF(BH1="","",BH1-TransDate)</f>
        <v>4</v>
      </c>
      <c r="BI3" s="27" t="n">
        <f aca="false">IF(BI1="","",BI1-TransDate)</f>
        <v>5</v>
      </c>
      <c r="BJ3" s="27" t="n">
        <f aca="false">IF(BJ1="","",BJ1-TransDate)</f>
        <v>6</v>
      </c>
      <c r="BK3" s="27" t="n">
        <f aca="false">IF(BK1="","",BK1-TransDate)</f>
        <v>7</v>
      </c>
      <c r="BL3" s="27" t="n">
        <f aca="false">IF(BL1="","",BL1-TransDate)</f>
        <v>8</v>
      </c>
      <c r="BM3" s="27" t="n">
        <f aca="false">IF(BM1="","",BM1-TransDate)</f>
        <v>9</v>
      </c>
      <c r="BN3" s="27" t="n">
        <f aca="false">IF(BN1="","",BN1-TransDate)</f>
        <v>10</v>
      </c>
      <c r="BO3" s="27" t="n">
        <f aca="false">IF(BO1="","",BO1-TransDate)</f>
        <v>11</v>
      </c>
      <c r="BP3" s="27" t="n">
        <f aca="false">IF(BP1="","",BP1-TransDate)</f>
        <v>12</v>
      </c>
      <c r="BQ3" s="27" t="n">
        <f aca="false">IF(BQ1="","",BQ1-TransDate)</f>
        <v>13</v>
      </c>
      <c r="BR3" s="27" t="n">
        <f aca="false">IF(BR1="","",BR1-TransDate)</f>
        <v>14</v>
      </c>
      <c r="BS3" s="27" t="n">
        <f aca="false">IF(BS1="","",BS1-TransDate)</f>
        <v>15</v>
      </c>
      <c r="BT3" s="27" t="n">
        <f aca="false">IF(BT1="","",BT1-TransDate)</f>
        <v>16</v>
      </c>
      <c r="BU3" s="27" t="n">
        <f aca="false">IF(BU1="","",BU1-TransDate)</f>
        <v>17</v>
      </c>
      <c r="BV3" s="27" t="n">
        <f aca="false">IF(BV1="","",BV1-TransDate)</f>
        <v>18</v>
      </c>
      <c r="BW3" s="27" t="n">
        <f aca="false">IF(BW1="","",BW1-TransDate)</f>
        <v>19</v>
      </c>
      <c r="BX3" s="27" t="n">
        <f aca="false">IF(BX1="","",BX1-TransDate)</f>
        <v>20</v>
      </c>
      <c r="BY3" s="27" t="n">
        <f aca="false">IF(BY1="","",BY1-TransDate)</f>
        <v>21</v>
      </c>
      <c r="BZ3" s="27" t="n">
        <f aca="false">IF(BZ1="","",BZ1-TransDate)</f>
        <v>22</v>
      </c>
      <c r="CA3" s="27" t="n">
        <f aca="false">IF(CA1="","",CA1-TransDate)</f>
        <v>23</v>
      </c>
      <c r="CB3" s="27" t="n">
        <f aca="false">IF(CB1="","",CB1-TransDate)</f>
        <v>24</v>
      </c>
      <c r="CC3" s="27" t="n">
        <f aca="false">IF(CC1="","",CC1-TransDate)</f>
        <v>25</v>
      </c>
      <c r="CD3" s="27" t="n">
        <f aca="false">IF(CD1="","",CD1-TransDate)</f>
        <v>26</v>
      </c>
      <c r="CE3" s="27" t="n">
        <f aca="false">IF(CE1="","",CE1-TransDate)</f>
        <v>27</v>
      </c>
      <c r="CF3" s="27" t="n">
        <f aca="false">IF(CF1="","",CF1-TransDate)</f>
        <v>28</v>
      </c>
      <c r="CG3" s="27" t="n">
        <f aca="false">IF(CG1="","",CG1-TransDate)</f>
        <v>29</v>
      </c>
      <c r="CH3" s="27" t="n">
        <f aca="false">IF(CH1="","",CH1-TransDate)</f>
        <v>30</v>
      </c>
      <c r="CI3" s="27" t="n">
        <f aca="false">IF(CI1="","",CI1-TransDate)</f>
        <v>31</v>
      </c>
      <c r="CJ3" s="27" t="n">
        <f aca="false">IF(CJ1="","",CJ1-TransDate)</f>
        <v>32</v>
      </c>
      <c r="CK3" s="27" t="n">
        <f aca="false">IF(CK1="","",CK1-TransDate)</f>
        <v>33</v>
      </c>
      <c r="CL3" s="27" t="n">
        <f aca="false">IF(CL1="","",CL1-TransDate)</f>
        <v>34</v>
      </c>
      <c r="CM3" s="27" t="n">
        <f aca="false">IF(CM1="","",CM1-TransDate)</f>
        <v>35</v>
      </c>
      <c r="CN3" s="27" t="n">
        <f aca="false">IF(CN1="","",CN1-TransDate)</f>
        <v>36</v>
      </c>
      <c r="CO3" s="27" t="n">
        <f aca="false">IF(CO1="","",CO1-TransDate)</f>
        <v>37</v>
      </c>
      <c r="CP3" s="27" t="n">
        <f aca="false">IF(CP1="","",CP1-TransDate)</f>
        <v>38</v>
      </c>
      <c r="CQ3" s="27" t="n">
        <f aca="false">IF(CQ1="","",CQ1-TransDate)</f>
        <v>39</v>
      </c>
      <c r="CR3" s="27" t="n">
        <f aca="false">IF(CR1="","",CR1-TransDate)</f>
        <v>40</v>
      </c>
      <c r="CS3" s="27" t="n">
        <f aca="false">IF(CS1="","",CS1-TransDate)</f>
        <v>41</v>
      </c>
      <c r="CT3" s="27" t="n">
        <f aca="false">IF(CT1="","",CT1-TransDate)</f>
        <v>42</v>
      </c>
      <c r="CU3" s="27" t="n">
        <f aca="false">IF(CU1="","",CU1-TransDate)</f>
        <v>43</v>
      </c>
      <c r="CV3" s="27" t="n">
        <f aca="false">IF(CV1="","",CV1-TransDate)</f>
        <v>44</v>
      </c>
      <c r="CW3" s="27" t="n">
        <f aca="false">IF(CW1="","",CW1-TransDate)</f>
        <v>45</v>
      </c>
      <c r="CX3" s="27" t="n">
        <f aca="false">IF(CX1="","",CX1-TransDate)</f>
        <v>46</v>
      </c>
      <c r="CY3" s="27" t="n">
        <f aca="false">IF(CY1="","",CY1-TransDate)</f>
        <v>47</v>
      </c>
      <c r="CZ3" s="27" t="n">
        <f aca="false">IF(CZ1="","",CZ1-TransDate)</f>
        <v>48</v>
      </c>
      <c r="DA3" s="27" t="n">
        <f aca="false">IF(DA1="","",DA1-TransDate)</f>
        <v>49</v>
      </c>
      <c r="DB3" s="27" t="n">
        <f aca="false">IF(DB1="","",DB1-TransDate)</f>
        <v>50</v>
      </c>
      <c r="DC3" s="27" t="n">
        <f aca="false">IF(DC1="","",DC1-TransDate)</f>
        <v>51</v>
      </c>
      <c r="DD3" s="27" t="n">
        <f aca="false">IF(DD1="","",DD1-TransDate)</f>
        <v>52</v>
      </c>
      <c r="DE3" s="27" t="n">
        <f aca="false">IF(DE1="","",DE1-TransDate)</f>
        <v>53</v>
      </c>
      <c r="DF3" s="27" t="n">
        <f aca="false">IF(DF1="","",DF1-TransDate)</f>
        <v>54</v>
      </c>
      <c r="DG3" s="27" t="n">
        <f aca="false">IF(DG1="","",DG1-TransDate)</f>
        <v>55</v>
      </c>
      <c r="DH3" s="27" t="n">
        <f aca="false">IF(DH1="","",DH1-TransDate)</f>
        <v>56</v>
      </c>
      <c r="DI3" s="27" t="n">
        <f aca="false">IF(DI1="","",DI1-TransDate)</f>
        <v>57</v>
      </c>
      <c r="DJ3" s="27" t="n">
        <f aca="false">IF(DJ1="","",DJ1-TransDate)</f>
        <v>58</v>
      </c>
      <c r="DK3" s="27" t="n">
        <f aca="false">IF(DK1="","",DK1-TransDate)</f>
        <v>59</v>
      </c>
      <c r="DL3" s="27" t="n">
        <f aca="false">IF(DL1="","",DL1-TransDate)</f>
        <v>60</v>
      </c>
      <c r="DM3" s="27" t="n">
        <f aca="false">IF(DM1="","",DM1-TransDate)</f>
        <v>61</v>
      </c>
      <c r="DN3" s="27" t="n">
        <f aca="false">IF(DN1="","",DN1-TransDate)</f>
        <v>62</v>
      </c>
      <c r="DO3" s="27" t="n">
        <f aca="false">IF(DO1="","",DO1-TransDate)</f>
        <v>63</v>
      </c>
      <c r="DP3" s="27" t="n">
        <f aca="false">IF(DP1="","",DP1-TransDate)</f>
        <v>64</v>
      </c>
      <c r="DQ3" s="27" t="n">
        <f aca="false">IF(DQ1="","",DQ1-TransDate)</f>
        <v>65</v>
      </c>
      <c r="DR3" s="27" t="n">
        <f aca="false">IF(DR1="","",DR1-TransDate)</f>
        <v>66</v>
      </c>
      <c r="DS3" s="27" t="n">
        <f aca="false">IF(DS1="","",DS1-TransDate)</f>
        <v>67</v>
      </c>
      <c r="DT3" s="27" t="n">
        <f aca="false">IF(DT1="","",DT1-TransDate)</f>
        <v>68</v>
      </c>
      <c r="DU3" s="27" t="n">
        <f aca="false">IF(DU1="","",DU1-TransDate)</f>
        <v>69</v>
      </c>
      <c r="DV3" s="27" t="n">
        <f aca="false">IF(DV1="","",DV1-TransDate)</f>
        <v>70</v>
      </c>
      <c r="DW3" s="27" t="n">
        <f aca="false">IF(DW1="","",DW1-TransDate)</f>
        <v>71</v>
      </c>
      <c r="DX3" s="27" t="n">
        <f aca="false">IF(DX1="","",DX1-TransDate)</f>
        <v>72</v>
      </c>
      <c r="DY3" s="27" t="n">
        <f aca="false">IF(DY1="","",DY1-TransDate)</f>
        <v>73</v>
      </c>
      <c r="DZ3" s="27" t="n">
        <f aca="false">IF(DZ1="","",DZ1-TransDate)</f>
        <v>74</v>
      </c>
      <c r="EA3" s="27" t="n">
        <f aca="false">IF(EA1="","",EA1-TransDate)</f>
        <v>75</v>
      </c>
      <c r="EB3" s="27" t="n">
        <f aca="false">IF(EB1="","",EB1-TransDate)</f>
        <v>76</v>
      </c>
      <c r="EC3" s="27" t="n">
        <f aca="false">IF(EC1="","",EC1-TransDate)</f>
        <v>77</v>
      </c>
      <c r="ED3" s="27" t="n">
        <f aca="false">IF(ED1="","",ED1-TransDate)</f>
        <v>78</v>
      </c>
      <c r="EE3" s="27" t="n">
        <f aca="false">IF(EE1="","",EE1-TransDate)</f>
        <v>79</v>
      </c>
      <c r="EF3" s="27" t="n">
        <f aca="false">IF(EF1="","",EF1-TransDate)</f>
        <v>80</v>
      </c>
      <c r="EG3" s="27" t="n">
        <f aca="false">IF(EG1="","",EG1-TransDate)</f>
        <v>81</v>
      </c>
      <c r="EH3" s="27" t="n">
        <f aca="false">IF(EH1="","",EH1-TransDate)</f>
        <v>82</v>
      </c>
      <c r="EI3" s="27" t="n">
        <f aca="false">IF(EI1="","",EI1-TransDate)</f>
        <v>83</v>
      </c>
      <c r="EJ3" s="27" t="n">
        <f aca="false">IF(EJ1="","",EJ1-TransDate)</f>
        <v>84</v>
      </c>
      <c r="EK3" s="27" t="n">
        <f aca="false">IF(EK1="","",EK1-TransDate)</f>
        <v>85</v>
      </c>
      <c r="EL3" s="27" t="n">
        <f aca="false">IF(EL1="","",EL1-TransDate)</f>
        <v>86</v>
      </c>
      <c r="EM3" s="27" t="n">
        <f aca="false">IF(EM1="","",EM1-TransDate)</f>
        <v>87</v>
      </c>
      <c r="EN3" s="27" t="n">
        <f aca="false">IF(EN1="","",EN1-TransDate)</f>
        <v>88</v>
      </c>
      <c r="EO3" s="27" t="n">
        <f aca="false">IF(EO1="","",EO1-TransDate)</f>
        <v>89</v>
      </c>
      <c r="EP3" s="27" t="n">
        <f aca="false">IF(EP1="","",EP1-TransDate)</f>
        <v>90</v>
      </c>
      <c r="EQ3" s="27" t="n">
        <f aca="false">IF(EQ1="","",EQ1-TransDate)</f>
        <v>91</v>
      </c>
      <c r="ER3" s="27" t="n">
        <f aca="false">IF(ER1="","",ER1-TransDate)</f>
        <v>92</v>
      </c>
      <c r="ES3" s="27" t="n">
        <f aca="false">IF(ES1="","",ES1-TransDate)</f>
        <v>93</v>
      </c>
      <c r="ET3" s="27" t="n">
        <f aca="false">IF(ET1="","",ET1-TransDate)</f>
        <v>94</v>
      </c>
      <c r="EU3" s="27" t="n">
        <f aca="false">IF(EU1="","",EU1-TransDate)</f>
        <v>95</v>
      </c>
      <c r="EV3" s="27" t="n">
        <f aca="false">IF(EV1="","",EV1-TransDate)</f>
        <v>96</v>
      </c>
      <c r="EW3" s="27" t="n">
        <f aca="false">IF(EW1="","",EW1-TransDate)</f>
        <v>97</v>
      </c>
      <c r="EX3" s="27" t="n">
        <f aca="false">IF(EX1="","",EX1-TransDate)</f>
        <v>98</v>
      </c>
      <c r="EY3" s="27" t="n">
        <f aca="false">IF(EY1="","",EY1-TransDate)</f>
        <v>99</v>
      </c>
      <c r="EZ3" s="27" t="n">
        <f aca="false">IF(EZ1="","",EZ1-TransDate)</f>
        <v>100</v>
      </c>
      <c r="FA3" s="27" t="n">
        <f aca="false">IF(FA1="","",FA1-TransDate)</f>
        <v>101</v>
      </c>
      <c r="FB3" s="27" t="n">
        <f aca="false">IF(FB1="","",FB1-TransDate)</f>
        <v>102</v>
      </c>
      <c r="FC3" s="27" t="n">
        <f aca="false">IF(FC1="","",FC1-TransDate)</f>
        <v>103</v>
      </c>
      <c r="FD3" s="27" t="n">
        <f aca="false">IF(FD1="","",FD1-TransDate)</f>
        <v>104</v>
      </c>
      <c r="FE3" s="27" t="n">
        <f aca="false">IF(FE1="","",FE1-TransDate)</f>
        <v>105</v>
      </c>
      <c r="FF3" s="27" t="n">
        <f aca="false">IF(FF1="","",FF1-TransDate)</f>
        <v>106</v>
      </c>
      <c r="FG3" s="27" t="n">
        <f aca="false">IF(FG1="","",FG1-TransDate)</f>
        <v>107</v>
      </c>
      <c r="FH3" s="27" t="n">
        <f aca="false">IF(FH1="","",FH1-TransDate)</f>
        <v>108</v>
      </c>
      <c r="FI3" s="27" t="n">
        <f aca="false">IF(FI1="","",FI1-TransDate)</f>
        <v>109</v>
      </c>
      <c r="FJ3" s="27" t="n">
        <f aca="false">IF(FJ1="","",FJ1-TransDate)</f>
        <v>110</v>
      </c>
      <c r="FK3" s="27" t="n">
        <f aca="false">IF(FK1="","",FK1-TransDate)</f>
        <v>111</v>
      </c>
      <c r="FL3" s="27" t="n">
        <f aca="false">IF(FL1="","",FL1-TransDate)</f>
        <v>112</v>
      </c>
      <c r="FM3" s="27" t="n">
        <f aca="false">IF(FM1="","",FM1-TransDate)</f>
        <v>113</v>
      </c>
      <c r="FN3" s="27" t="n">
        <f aca="false">IF(FN1="","",FN1-TransDate)</f>
        <v>114</v>
      </c>
      <c r="FO3" s="27" t="n">
        <f aca="false">IF(FO1="","",FO1-TransDate)</f>
        <v>115</v>
      </c>
      <c r="FP3" s="27" t="n">
        <f aca="false">IF(FP1="","",FP1-TransDate)</f>
        <v>116</v>
      </c>
      <c r="FQ3" s="27" t="n">
        <f aca="false">IF(FQ1="","",FQ1-TransDate)</f>
        <v>117</v>
      </c>
    </row>
    <row r="4" customFormat="false" ht="15" hidden="false" customHeight="false" outlineLevel="0" collapsed="false">
      <c r="B4" s="48" t="s">
        <v>404</v>
      </c>
      <c r="D4" s="27" t="n">
        <f aca="false">IF(OR(D1="",NOT(ISNUMBER(SowDate))),"",D1-SowDate)</f>
        <v>-3</v>
      </c>
      <c r="E4" s="27" t="n">
        <f aca="false">IF(OR(E1="",NOT(ISNUMBER(SowDate))),"",E1-SowDate)</f>
        <v>-2</v>
      </c>
      <c r="F4" s="27" t="n">
        <f aca="false">IF(OR(F1="",NOT(ISNUMBER(SowDate))),"",F1-SowDate)</f>
        <v>-1</v>
      </c>
      <c r="G4" s="27" t="n">
        <f aca="false">IF(OR(G1="",NOT(ISNUMBER(SowDate))),"",G1-SowDate)</f>
        <v>0</v>
      </c>
      <c r="H4" s="27" t="n">
        <f aca="false">IF(OR(H1="",NOT(ISNUMBER(SowDate))),"",H1-SowDate)</f>
        <v>1</v>
      </c>
      <c r="I4" s="27" t="n">
        <f aca="false">IF(OR(I1="",NOT(ISNUMBER(SowDate))),"",I1-SowDate)</f>
        <v>2</v>
      </c>
      <c r="J4" s="27" t="n">
        <f aca="false">IF(OR(J1="",NOT(ISNUMBER(SowDate))),"",J1-SowDate)</f>
        <v>3</v>
      </c>
      <c r="K4" s="27" t="n">
        <f aca="false">IF(OR(K1="",NOT(ISNUMBER(SowDate))),"",K1-SowDate)</f>
        <v>4</v>
      </c>
      <c r="L4" s="27" t="n">
        <f aca="false">IF(OR(L1="",NOT(ISNUMBER(SowDate))),"",L1-SowDate)</f>
        <v>5</v>
      </c>
      <c r="M4" s="27" t="n">
        <f aca="false">IF(OR(M1="",NOT(ISNUMBER(SowDate))),"",M1-SowDate)</f>
        <v>6</v>
      </c>
      <c r="N4" s="27" t="n">
        <f aca="false">IF(OR(N1="",NOT(ISNUMBER(SowDate))),"",N1-SowDate)</f>
        <v>7</v>
      </c>
      <c r="O4" s="27" t="n">
        <f aca="false">IF(OR(O1="",NOT(ISNUMBER(SowDate))),"",O1-SowDate)</f>
        <v>8</v>
      </c>
      <c r="P4" s="27" t="n">
        <f aca="false">IF(OR(P1="",NOT(ISNUMBER(SowDate))),"",P1-SowDate)</f>
        <v>9</v>
      </c>
      <c r="Q4" s="27" t="n">
        <f aca="false">IF(OR(Q1="",NOT(ISNUMBER(SowDate))),"",Q1-SowDate)</f>
        <v>10</v>
      </c>
      <c r="R4" s="27" t="n">
        <f aca="false">IF(OR(R1="",NOT(ISNUMBER(SowDate))),"",R1-SowDate)</f>
        <v>11</v>
      </c>
      <c r="S4" s="27" t="n">
        <f aca="false">IF(OR(S1="",NOT(ISNUMBER(SowDate))),"",S1-SowDate)</f>
        <v>12</v>
      </c>
      <c r="T4" s="27" t="n">
        <f aca="false">IF(OR(T1="",NOT(ISNUMBER(SowDate))),"",T1-SowDate)</f>
        <v>13</v>
      </c>
      <c r="U4" s="27" t="n">
        <f aca="false">IF(OR(U1="",NOT(ISNUMBER(SowDate))),"",U1-SowDate)</f>
        <v>14</v>
      </c>
      <c r="V4" s="27" t="n">
        <f aca="false">IF(OR(V1="",NOT(ISNUMBER(SowDate))),"",V1-SowDate)</f>
        <v>15</v>
      </c>
      <c r="W4" s="27" t="n">
        <f aca="false">IF(OR(W1="",NOT(ISNUMBER(SowDate))),"",W1-SowDate)</f>
        <v>16</v>
      </c>
      <c r="X4" s="27" t="n">
        <f aca="false">IF(OR(X1="",NOT(ISNUMBER(SowDate))),"",X1-SowDate)</f>
        <v>17</v>
      </c>
      <c r="Y4" s="27" t="n">
        <f aca="false">IF(OR(Y1="",NOT(ISNUMBER(SowDate))),"",Y1-SowDate)</f>
        <v>18</v>
      </c>
      <c r="Z4" s="27" t="n">
        <f aca="false">IF(OR(Z1="",NOT(ISNUMBER(SowDate))),"",Z1-SowDate)</f>
        <v>19</v>
      </c>
      <c r="AA4" s="27" t="n">
        <f aca="false">IF(OR(AA1="",NOT(ISNUMBER(SowDate))),"",AA1-SowDate)</f>
        <v>20</v>
      </c>
      <c r="AB4" s="27" t="n">
        <f aca="false">IF(OR(AB1="",NOT(ISNUMBER(SowDate))),"",AB1-SowDate)</f>
        <v>21</v>
      </c>
      <c r="AC4" s="27" t="n">
        <f aca="false">IF(OR(AC1="",NOT(ISNUMBER(SowDate))),"",AC1-SowDate)</f>
        <v>22</v>
      </c>
      <c r="AD4" s="27" t="n">
        <f aca="false">IF(OR(AD1="",NOT(ISNUMBER(SowDate))),"",AD1-SowDate)</f>
        <v>23</v>
      </c>
      <c r="AE4" s="27" t="n">
        <f aca="false">IF(OR(AE1="",NOT(ISNUMBER(SowDate))),"",AE1-SowDate)</f>
        <v>24</v>
      </c>
      <c r="AF4" s="27" t="n">
        <f aca="false">IF(OR(AF1="",NOT(ISNUMBER(SowDate))),"",AF1-SowDate)</f>
        <v>25</v>
      </c>
      <c r="AG4" s="27" t="n">
        <f aca="false">IF(OR(AG1="",NOT(ISNUMBER(SowDate))),"",AG1-SowDate)</f>
        <v>26</v>
      </c>
      <c r="AH4" s="27" t="n">
        <f aca="false">IF(OR(AH1="",NOT(ISNUMBER(SowDate))),"",AH1-SowDate)</f>
        <v>27</v>
      </c>
      <c r="AI4" s="27" t="n">
        <f aca="false">IF(OR(AI1="",NOT(ISNUMBER(SowDate))),"",AI1-SowDate)</f>
        <v>28</v>
      </c>
      <c r="AJ4" s="27" t="n">
        <f aca="false">IF(OR(AJ1="",NOT(ISNUMBER(SowDate))),"",AJ1-SowDate)</f>
        <v>29</v>
      </c>
      <c r="AK4" s="27" t="n">
        <f aca="false">IF(OR(AK1="",NOT(ISNUMBER(SowDate))),"",AK1-SowDate)</f>
        <v>30</v>
      </c>
      <c r="AL4" s="27" t="n">
        <f aca="false">IF(OR(AL1="",NOT(ISNUMBER(SowDate))),"",AL1-SowDate)</f>
        <v>31</v>
      </c>
      <c r="AM4" s="27" t="n">
        <f aca="false">IF(OR(AM1="",NOT(ISNUMBER(SowDate))),"",AM1-SowDate)</f>
        <v>32</v>
      </c>
      <c r="AN4" s="27" t="n">
        <f aca="false">IF(OR(AN1="",NOT(ISNUMBER(SowDate))),"",AN1-SowDate)</f>
        <v>33</v>
      </c>
      <c r="AO4" s="27" t="n">
        <f aca="false">IF(OR(AO1="",NOT(ISNUMBER(SowDate))),"",AO1-SowDate)</f>
        <v>34</v>
      </c>
      <c r="AP4" s="27" t="n">
        <f aca="false">IF(OR(AP1="",NOT(ISNUMBER(SowDate))),"",AP1-SowDate)</f>
        <v>35</v>
      </c>
      <c r="AQ4" s="27" t="n">
        <f aca="false">IF(OR(AQ1="",NOT(ISNUMBER(SowDate))),"",AQ1-SowDate)</f>
        <v>36</v>
      </c>
      <c r="AR4" s="27" t="n">
        <f aca="false">IF(OR(AR1="",NOT(ISNUMBER(SowDate))),"",AR1-SowDate)</f>
        <v>37</v>
      </c>
      <c r="AS4" s="27" t="n">
        <f aca="false">IF(OR(AS1="",NOT(ISNUMBER(SowDate))),"",AS1-SowDate)</f>
        <v>38</v>
      </c>
      <c r="AT4" s="27" t="n">
        <f aca="false">IF(OR(AT1="",NOT(ISNUMBER(SowDate))),"",AT1-SowDate)</f>
        <v>39</v>
      </c>
      <c r="AU4" s="27" t="n">
        <f aca="false">IF(OR(AU1="",NOT(ISNUMBER(SowDate))),"",AU1-SowDate)</f>
        <v>40</v>
      </c>
      <c r="AV4" s="27" t="n">
        <f aca="false">IF(OR(AV1="",NOT(ISNUMBER(SowDate))),"",AV1-SowDate)</f>
        <v>41</v>
      </c>
      <c r="AW4" s="27" t="n">
        <f aca="false">IF(OR(AW1="",NOT(ISNUMBER(SowDate))),"",AW1-SowDate)</f>
        <v>42</v>
      </c>
      <c r="AX4" s="27" t="n">
        <f aca="false">IF(OR(AX1="",NOT(ISNUMBER(SowDate))),"",AX1-SowDate)</f>
        <v>43</v>
      </c>
      <c r="AY4" s="27" t="n">
        <f aca="false">IF(OR(AY1="",NOT(ISNUMBER(SowDate))),"",AY1-SowDate)</f>
        <v>44</v>
      </c>
      <c r="AZ4" s="27" t="n">
        <f aca="false">IF(OR(AZ1="",NOT(ISNUMBER(SowDate))),"",AZ1-SowDate)</f>
        <v>45</v>
      </c>
      <c r="BA4" s="27" t="n">
        <f aca="false">IF(OR(BA1="",NOT(ISNUMBER(SowDate))),"",BA1-SowDate)</f>
        <v>46</v>
      </c>
      <c r="BB4" s="27" t="n">
        <f aca="false">IF(OR(BB1="",NOT(ISNUMBER(SowDate))),"",BB1-SowDate)</f>
        <v>47</v>
      </c>
      <c r="BC4" s="27" t="n">
        <f aca="false">IF(OR(BC1="",NOT(ISNUMBER(SowDate))),"",BC1-SowDate)</f>
        <v>48</v>
      </c>
      <c r="BD4" s="27" t="n">
        <f aca="false">IF(OR(BD1="",NOT(ISNUMBER(SowDate))),"",BD1-SowDate)</f>
        <v>49</v>
      </c>
      <c r="BE4" s="27" t="n">
        <f aca="false">IF(OR(BE1="",NOT(ISNUMBER(SowDate))),"",BE1-SowDate)</f>
        <v>50</v>
      </c>
      <c r="BF4" s="27" t="n">
        <f aca="false">IF(OR(BF1="",NOT(ISNUMBER(SowDate))),"",BF1-SowDate)</f>
        <v>51</v>
      </c>
      <c r="BG4" s="27" t="n">
        <f aca="false">IF(OR(BG1="",NOT(ISNUMBER(SowDate))),"",BG1-SowDate)</f>
        <v>52</v>
      </c>
      <c r="BH4" s="27" t="n">
        <f aca="false">IF(OR(BH1="",NOT(ISNUMBER(SowDate))),"",BH1-SowDate)</f>
        <v>53</v>
      </c>
      <c r="BI4" s="27" t="n">
        <f aca="false">IF(OR(BI1="",NOT(ISNUMBER(SowDate))),"",BI1-SowDate)</f>
        <v>54</v>
      </c>
      <c r="BJ4" s="27" t="n">
        <f aca="false">IF(OR(BJ1="",NOT(ISNUMBER(SowDate))),"",BJ1-SowDate)</f>
        <v>55</v>
      </c>
      <c r="BK4" s="27" t="n">
        <f aca="false">IF(OR(BK1="",NOT(ISNUMBER(SowDate))),"",BK1-SowDate)</f>
        <v>56</v>
      </c>
      <c r="BL4" s="27" t="n">
        <f aca="false">IF(OR(BL1="",NOT(ISNUMBER(SowDate))),"",BL1-SowDate)</f>
        <v>57</v>
      </c>
      <c r="BM4" s="27" t="n">
        <f aca="false">IF(OR(BM1="",NOT(ISNUMBER(SowDate))),"",BM1-SowDate)</f>
        <v>58</v>
      </c>
      <c r="BN4" s="27" t="n">
        <f aca="false">IF(OR(BN1="",NOT(ISNUMBER(SowDate))),"",BN1-SowDate)</f>
        <v>59</v>
      </c>
      <c r="BO4" s="27" t="n">
        <f aca="false">IF(OR(BO1="",NOT(ISNUMBER(SowDate))),"",BO1-SowDate)</f>
        <v>60</v>
      </c>
      <c r="BP4" s="27" t="n">
        <f aca="false">IF(OR(BP1="",NOT(ISNUMBER(SowDate))),"",BP1-SowDate)</f>
        <v>61</v>
      </c>
      <c r="BQ4" s="27" t="n">
        <f aca="false">IF(OR(BQ1="",NOT(ISNUMBER(SowDate))),"",BQ1-SowDate)</f>
        <v>62</v>
      </c>
      <c r="BR4" s="27" t="n">
        <f aca="false">IF(OR(BR1="",NOT(ISNUMBER(SowDate))),"",BR1-SowDate)</f>
        <v>63</v>
      </c>
      <c r="BS4" s="27" t="n">
        <f aca="false">IF(OR(BS1="",NOT(ISNUMBER(SowDate))),"",BS1-SowDate)</f>
        <v>64</v>
      </c>
      <c r="BT4" s="27" t="n">
        <f aca="false">IF(OR(BT1="",NOT(ISNUMBER(SowDate))),"",BT1-SowDate)</f>
        <v>65</v>
      </c>
      <c r="BU4" s="27" t="n">
        <f aca="false">IF(OR(BU1="",NOT(ISNUMBER(SowDate))),"",BU1-SowDate)</f>
        <v>66</v>
      </c>
      <c r="BV4" s="27" t="n">
        <f aca="false">IF(OR(BV1="",NOT(ISNUMBER(SowDate))),"",BV1-SowDate)</f>
        <v>67</v>
      </c>
      <c r="BW4" s="27" t="n">
        <f aca="false">IF(OR(BW1="",NOT(ISNUMBER(SowDate))),"",BW1-SowDate)</f>
        <v>68</v>
      </c>
      <c r="BX4" s="27" t="n">
        <f aca="false">IF(OR(BX1="",NOT(ISNUMBER(SowDate))),"",BX1-SowDate)</f>
        <v>69</v>
      </c>
      <c r="BY4" s="27" t="n">
        <f aca="false">IF(OR(BY1="",NOT(ISNUMBER(SowDate))),"",BY1-SowDate)</f>
        <v>70</v>
      </c>
      <c r="BZ4" s="27" t="n">
        <f aca="false">IF(OR(BZ1="",NOT(ISNUMBER(SowDate))),"",BZ1-SowDate)</f>
        <v>71</v>
      </c>
      <c r="CA4" s="27" t="n">
        <f aca="false">IF(OR(CA1="",NOT(ISNUMBER(SowDate))),"",CA1-SowDate)</f>
        <v>72</v>
      </c>
      <c r="CB4" s="27" t="n">
        <f aca="false">IF(OR(CB1="",NOT(ISNUMBER(SowDate))),"",CB1-SowDate)</f>
        <v>73</v>
      </c>
      <c r="CC4" s="27" t="n">
        <f aca="false">IF(OR(CC1="",NOT(ISNUMBER(SowDate))),"",CC1-SowDate)</f>
        <v>74</v>
      </c>
      <c r="CD4" s="27" t="n">
        <f aca="false">IF(OR(CD1="",NOT(ISNUMBER(SowDate))),"",CD1-SowDate)</f>
        <v>75</v>
      </c>
      <c r="CE4" s="27" t="n">
        <f aca="false">IF(OR(CE1="",NOT(ISNUMBER(SowDate))),"",CE1-SowDate)</f>
        <v>76</v>
      </c>
      <c r="CF4" s="27" t="n">
        <f aca="false">IF(OR(CF1="",NOT(ISNUMBER(SowDate))),"",CF1-SowDate)</f>
        <v>77</v>
      </c>
      <c r="CG4" s="27" t="n">
        <f aca="false">IF(OR(CG1="",NOT(ISNUMBER(SowDate))),"",CG1-SowDate)</f>
        <v>78</v>
      </c>
      <c r="CH4" s="27" t="n">
        <f aca="false">IF(OR(CH1="",NOT(ISNUMBER(SowDate))),"",CH1-SowDate)</f>
        <v>79</v>
      </c>
      <c r="CI4" s="27" t="n">
        <f aca="false">IF(OR(CI1="",NOT(ISNUMBER(SowDate))),"",CI1-SowDate)</f>
        <v>80</v>
      </c>
      <c r="CJ4" s="27" t="n">
        <f aca="false">IF(OR(CJ1="",NOT(ISNUMBER(SowDate))),"",CJ1-SowDate)</f>
        <v>81</v>
      </c>
      <c r="CK4" s="27" t="n">
        <f aca="false">IF(OR(CK1="",NOT(ISNUMBER(SowDate))),"",CK1-SowDate)</f>
        <v>82</v>
      </c>
      <c r="CL4" s="27" t="n">
        <f aca="false">IF(OR(CL1="",NOT(ISNUMBER(SowDate))),"",CL1-SowDate)</f>
        <v>83</v>
      </c>
      <c r="CM4" s="27" t="n">
        <f aca="false">IF(OR(CM1="",NOT(ISNUMBER(SowDate))),"",CM1-SowDate)</f>
        <v>84</v>
      </c>
      <c r="CN4" s="27" t="n">
        <f aca="false">IF(OR(CN1="",NOT(ISNUMBER(SowDate))),"",CN1-SowDate)</f>
        <v>85</v>
      </c>
      <c r="CO4" s="27" t="n">
        <f aca="false">IF(OR(CO1="",NOT(ISNUMBER(SowDate))),"",CO1-SowDate)</f>
        <v>86</v>
      </c>
      <c r="CP4" s="27" t="n">
        <f aca="false">IF(OR(CP1="",NOT(ISNUMBER(SowDate))),"",CP1-SowDate)</f>
        <v>87</v>
      </c>
      <c r="CQ4" s="27" t="n">
        <f aca="false">IF(OR(CQ1="",NOT(ISNUMBER(SowDate))),"",CQ1-SowDate)</f>
        <v>88</v>
      </c>
      <c r="CR4" s="27" t="n">
        <f aca="false">IF(OR(CR1="",NOT(ISNUMBER(SowDate))),"",CR1-SowDate)</f>
        <v>89</v>
      </c>
      <c r="CS4" s="27" t="n">
        <f aca="false">IF(OR(CS1="",NOT(ISNUMBER(SowDate))),"",CS1-SowDate)</f>
        <v>90</v>
      </c>
      <c r="CT4" s="27" t="n">
        <f aca="false">IF(OR(CT1="",NOT(ISNUMBER(SowDate))),"",CT1-SowDate)</f>
        <v>91</v>
      </c>
      <c r="CU4" s="27" t="n">
        <f aca="false">IF(OR(CU1="",NOT(ISNUMBER(SowDate))),"",CU1-SowDate)</f>
        <v>92</v>
      </c>
      <c r="CV4" s="27" t="n">
        <f aca="false">IF(OR(CV1="",NOT(ISNUMBER(SowDate))),"",CV1-SowDate)</f>
        <v>93</v>
      </c>
      <c r="CW4" s="27" t="n">
        <f aca="false">IF(OR(CW1="",NOT(ISNUMBER(SowDate))),"",CW1-SowDate)</f>
        <v>94</v>
      </c>
      <c r="CX4" s="27" t="n">
        <f aca="false">IF(OR(CX1="",NOT(ISNUMBER(SowDate))),"",CX1-SowDate)</f>
        <v>95</v>
      </c>
      <c r="CY4" s="27" t="n">
        <f aca="false">IF(OR(CY1="",NOT(ISNUMBER(SowDate))),"",CY1-SowDate)</f>
        <v>96</v>
      </c>
      <c r="CZ4" s="27" t="n">
        <f aca="false">IF(OR(CZ1="",NOT(ISNUMBER(SowDate))),"",CZ1-SowDate)</f>
        <v>97</v>
      </c>
      <c r="DA4" s="27" t="n">
        <f aca="false">IF(OR(DA1="",NOT(ISNUMBER(SowDate))),"",DA1-SowDate)</f>
        <v>98</v>
      </c>
      <c r="DB4" s="27" t="n">
        <f aca="false">IF(OR(DB1="",NOT(ISNUMBER(SowDate))),"",DB1-SowDate)</f>
        <v>99</v>
      </c>
      <c r="DC4" s="27" t="n">
        <f aca="false">IF(OR(DC1="",NOT(ISNUMBER(SowDate))),"",DC1-SowDate)</f>
        <v>100</v>
      </c>
      <c r="DD4" s="27" t="n">
        <f aca="false">IF(OR(DD1="",NOT(ISNUMBER(SowDate))),"",DD1-SowDate)</f>
        <v>101</v>
      </c>
      <c r="DE4" s="27" t="n">
        <f aca="false">IF(OR(DE1="",NOT(ISNUMBER(SowDate))),"",DE1-SowDate)</f>
        <v>102</v>
      </c>
      <c r="DF4" s="27" t="n">
        <f aca="false">IF(OR(DF1="",NOT(ISNUMBER(SowDate))),"",DF1-SowDate)</f>
        <v>103</v>
      </c>
      <c r="DG4" s="27" t="n">
        <f aca="false">IF(OR(DG1="",NOT(ISNUMBER(SowDate))),"",DG1-SowDate)</f>
        <v>104</v>
      </c>
      <c r="DH4" s="27" t="n">
        <f aca="false">IF(OR(DH1="",NOT(ISNUMBER(SowDate))),"",DH1-SowDate)</f>
        <v>105</v>
      </c>
      <c r="DI4" s="27" t="n">
        <f aca="false">IF(OR(DI1="",NOT(ISNUMBER(SowDate))),"",DI1-SowDate)</f>
        <v>106</v>
      </c>
      <c r="DJ4" s="27" t="n">
        <f aca="false">IF(OR(DJ1="",NOT(ISNUMBER(SowDate))),"",DJ1-SowDate)</f>
        <v>107</v>
      </c>
      <c r="DK4" s="27" t="n">
        <f aca="false">IF(OR(DK1="",NOT(ISNUMBER(SowDate))),"",DK1-SowDate)</f>
        <v>108</v>
      </c>
      <c r="DL4" s="27" t="n">
        <f aca="false">IF(OR(DL1="",NOT(ISNUMBER(SowDate))),"",DL1-SowDate)</f>
        <v>109</v>
      </c>
      <c r="DM4" s="27" t="n">
        <f aca="false">IF(OR(DM1="",NOT(ISNUMBER(SowDate))),"",DM1-SowDate)</f>
        <v>110</v>
      </c>
      <c r="DN4" s="27" t="n">
        <f aca="false">IF(OR(DN1="",NOT(ISNUMBER(SowDate))),"",DN1-SowDate)</f>
        <v>111</v>
      </c>
      <c r="DO4" s="27" t="n">
        <f aca="false">IF(OR(DO1="",NOT(ISNUMBER(SowDate))),"",DO1-SowDate)</f>
        <v>112</v>
      </c>
      <c r="DP4" s="27" t="n">
        <f aca="false">IF(OR(DP1="",NOT(ISNUMBER(SowDate))),"",DP1-SowDate)</f>
        <v>113</v>
      </c>
      <c r="DQ4" s="27" t="n">
        <f aca="false">IF(OR(DQ1="",NOT(ISNUMBER(SowDate))),"",DQ1-SowDate)</f>
        <v>114</v>
      </c>
      <c r="DR4" s="27" t="n">
        <f aca="false">IF(OR(DR1="",NOT(ISNUMBER(SowDate))),"",DR1-SowDate)</f>
        <v>115</v>
      </c>
      <c r="DS4" s="27" t="n">
        <f aca="false">IF(OR(DS1="",NOT(ISNUMBER(SowDate))),"",DS1-SowDate)</f>
        <v>116</v>
      </c>
      <c r="DT4" s="27" t="n">
        <f aca="false">IF(OR(DT1="",NOT(ISNUMBER(SowDate))),"",DT1-SowDate)</f>
        <v>117</v>
      </c>
      <c r="DU4" s="27" t="n">
        <f aca="false">IF(OR(DU1="",NOT(ISNUMBER(SowDate))),"",DU1-SowDate)</f>
        <v>118</v>
      </c>
      <c r="DV4" s="27" t="n">
        <f aca="false">IF(OR(DV1="",NOT(ISNUMBER(SowDate))),"",DV1-SowDate)</f>
        <v>119</v>
      </c>
      <c r="DW4" s="27" t="n">
        <f aca="false">IF(OR(DW1="",NOT(ISNUMBER(SowDate))),"",DW1-SowDate)</f>
        <v>120</v>
      </c>
      <c r="DX4" s="27" t="n">
        <f aca="false">IF(OR(DX1="",NOT(ISNUMBER(SowDate))),"",DX1-SowDate)</f>
        <v>121</v>
      </c>
      <c r="DY4" s="27" t="n">
        <f aca="false">IF(OR(DY1="",NOT(ISNUMBER(SowDate))),"",DY1-SowDate)</f>
        <v>122</v>
      </c>
      <c r="DZ4" s="27" t="n">
        <f aca="false">IF(OR(DZ1="",NOT(ISNUMBER(SowDate))),"",DZ1-SowDate)</f>
        <v>123</v>
      </c>
      <c r="EA4" s="27" t="n">
        <f aca="false">IF(OR(EA1="",NOT(ISNUMBER(SowDate))),"",EA1-SowDate)</f>
        <v>124</v>
      </c>
      <c r="EB4" s="27" t="n">
        <f aca="false">IF(OR(EB1="",NOT(ISNUMBER(SowDate))),"",EB1-SowDate)</f>
        <v>125</v>
      </c>
      <c r="EC4" s="27" t="n">
        <f aca="false">IF(OR(EC1="",NOT(ISNUMBER(SowDate))),"",EC1-SowDate)</f>
        <v>126</v>
      </c>
      <c r="ED4" s="27" t="n">
        <f aca="false">IF(OR(ED1="",NOT(ISNUMBER(SowDate))),"",ED1-SowDate)</f>
        <v>127</v>
      </c>
      <c r="EE4" s="27" t="n">
        <f aca="false">IF(OR(EE1="",NOT(ISNUMBER(SowDate))),"",EE1-SowDate)</f>
        <v>128</v>
      </c>
      <c r="EF4" s="27" t="n">
        <f aca="false">IF(OR(EF1="",NOT(ISNUMBER(SowDate))),"",EF1-SowDate)</f>
        <v>129</v>
      </c>
      <c r="EG4" s="27" t="n">
        <f aca="false">IF(OR(EG1="",NOT(ISNUMBER(SowDate))),"",EG1-SowDate)</f>
        <v>130</v>
      </c>
      <c r="EH4" s="27" t="n">
        <f aca="false">IF(OR(EH1="",NOT(ISNUMBER(SowDate))),"",EH1-SowDate)</f>
        <v>131</v>
      </c>
      <c r="EI4" s="27" t="n">
        <f aca="false">IF(OR(EI1="",NOT(ISNUMBER(SowDate))),"",EI1-SowDate)</f>
        <v>132</v>
      </c>
      <c r="EJ4" s="27" t="n">
        <f aca="false">IF(OR(EJ1="",NOT(ISNUMBER(SowDate))),"",EJ1-SowDate)</f>
        <v>133</v>
      </c>
      <c r="EK4" s="27" t="n">
        <f aca="false">IF(OR(EK1="",NOT(ISNUMBER(SowDate))),"",EK1-SowDate)</f>
        <v>134</v>
      </c>
      <c r="EL4" s="27" t="n">
        <f aca="false">IF(OR(EL1="",NOT(ISNUMBER(SowDate))),"",EL1-SowDate)</f>
        <v>135</v>
      </c>
      <c r="EM4" s="27" t="n">
        <f aca="false">IF(OR(EM1="",NOT(ISNUMBER(SowDate))),"",EM1-SowDate)</f>
        <v>136</v>
      </c>
      <c r="EN4" s="27" t="n">
        <f aca="false">IF(OR(EN1="",NOT(ISNUMBER(SowDate))),"",EN1-SowDate)</f>
        <v>137</v>
      </c>
      <c r="EO4" s="27" t="n">
        <f aca="false">IF(OR(EO1="",NOT(ISNUMBER(SowDate))),"",EO1-SowDate)</f>
        <v>138</v>
      </c>
      <c r="EP4" s="27" t="n">
        <f aca="false">IF(OR(EP1="",NOT(ISNUMBER(SowDate))),"",EP1-SowDate)</f>
        <v>139</v>
      </c>
      <c r="EQ4" s="27" t="n">
        <f aca="false">IF(OR(EQ1="",NOT(ISNUMBER(SowDate))),"",EQ1-SowDate)</f>
        <v>140</v>
      </c>
      <c r="ER4" s="27" t="n">
        <f aca="false">IF(OR(ER1="",NOT(ISNUMBER(SowDate))),"",ER1-SowDate)</f>
        <v>141</v>
      </c>
      <c r="ES4" s="27" t="n">
        <f aca="false">IF(OR(ES1="",NOT(ISNUMBER(SowDate))),"",ES1-SowDate)</f>
        <v>142</v>
      </c>
      <c r="ET4" s="27" t="n">
        <f aca="false">IF(OR(ET1="",NOT(ISNUMBER(SowDate))),"",ET1-SowDate)</f>
        <v>143</v>
      </c>
      <c r="EU4" s="27" t="n">
        <f aca="false">IF(OR(EU1="",NOT(ISNUMBER(SowDate))),"",EU1-SowDate)</f>
        <v>144</v>
      </c>
      <c r="EV4" s="27" t="n">
        <f aca="false">IF(OR(EV1="",NOT(ISNUMBER(SowDate))),"",EV1-SowDate)</f>
        <v>145</v>
      </c>
      <c r="EW4" s="27" t="n">
        <f aca="false">IF(OR(EW1="",NOT(ISNUMBER(SowDate))),"",EW1-SowDate)</f>
        <v>146</v>
      </c>
      <c r="EX4" s="27" t="n">
        <f aca="false">IF(OR(EX1="",NOT(ISNUMBER(SowDate))),"",EX1-SowDate)</f>
        <v>147</v>
      </c>
      <c r="EY4" s="27" t="n">
        <f aca="false">IF(OR(EY1="",NOT(ISNUMBER(SowDate))),"",EY1-SowDate)</f>
        <v>148</v>
      </c>
      <c r="EZ4" s="27" t="n">
        <f aca="false">IF(OR(EZ1="",NOT(ISNUMBER(SowDate))),"",EZ1-SowDate)</f>
        <v>149</v>
      </c>
      <c r="FA4" s="27" t="n">
        <f aca="false">IF(OR(FA1="",NOT(ISNUMBER(SowDate))),"",FA1-SowDate)</f>
        <v>150</v>
      </c>
      <c r="FB4" s="27" t="n">
        <f aca="false">IF(OR(FB1="",NOT(ISNUMBER(SowDate))),"",FB1-SowDate)</f>
        <v>151</v>
      </c>
      <c r="FC4" s="27" t="n">
        <f aca="false">IF(OR(FC1="",NOT(ISNUMBER(SowDate))),"",FC1-SowDate)</f>
        <v>152</v>
      </c>
      <c r="FD4" s="27" t="n">
        <f aca="false">IF(OR(FD1="",NOT(ISNUMBER(SowDate))),"",FD1-SowDate)</f>
        <v>153</v>
      </c>
      <c r="FE4" s="27" t="n">
        <f aca="false">IF(OR(FE1="",NOT(ISNUMBER(SowDate))),"",FE1-SowDate)</f>
        <v>154</v>
      </c>
      <c r="FF4" s="27" t="n">
        <f aca="false">IF(OR(FF1="",NOT(ISNUMBER(SowDate))),"",FF1-SowDate)</f>
        <v>155</v>
      </c>
      <c r="FG4" s="27" t="n">
        <f aca="false">IF(OR(FG1="",NOT(ISNUMBER(SowDate))),"",FG1-SowDate)</f>
        <v>156</v>
      </c>
      <c r="FH4" s="27" t="n">
        <f aca="false">IF(OR(FH1="",NOT(ISNUMBER(SowDate))),"",FH1-SowDate)</f>
        <v>157</v>
      </c>
      <c r="FI4" s="27" t="n">
        <f aca="false">IF(OR(FI1="",NOT(ISNUMBER(SowDate))),"",FI1-SowDate)</f>
        <v>158</v>
      </c>
      <c r="FJ4" s="27" t="n">
        <f aca="false">IF(OR(FJ1="",NOT(ISNUMBER(SowDate))),"",FJ1-SowDate)</f>
        <v>159</v>
      </c>
      <c r="FK4" s="27" t="n">
        <f aca="false">IF(OR(FK1="",NOT(ISNUMBER(SowDate))),"",FK1-SowDate)</f>
        <v>160</v>
      </c>
      <c r="FL4" s="27" t="n">
        <f aca="false">IF(OR(FL1="",NOT(ISNUMBER(SowDate))),"",FL1-SowDate)</f>
        <v>161</v>
      </c>
      <c r="FM4" s="27" t="n">
        <f aca="false">IF(OR(FM1="",NOT(ISNUMBER(SowDate))),"",FM1-SowDate)</f>
        <v>162</v>
      </c>
      <c r="FN4" s="27" t="n">
        <f aca="false">IF(OR(FN1="",NOT(ISNUMBER(SowDate))),"",FN1-SowDate)</f>
        <v>163</v>
      </c>
      <c r="FO4" s="27" t="n">
        <f aca="false">IF(OR(FO1="",NOT(ISNUMBER(SowDate))),"",FO1-SowDate)</f>
        <v>164</v>
      </c>
      <c r="FP4" s="27" t="n">
        <f aca="false">IF(OR(FP1="",NOT(ISNUMBER(SowDate))),"",FP1-SowDate)</f>
        <v>165</v>
      </c>
      <c r="FQ4" s="27" t="n">
        <f aca="false">IF(OR(FQ1="",NOT(ISNUMBER(SowDate))),"",FQ1-SowDate)</f>
        <v>166</v>
      </c>
    </row>
    <row r="5" customFormat="false" ht="15" hidden="false" customHeight="false" outlineLevel="0" collapsed="false">
      <c r="B5" s="48" t="s">
        <v>405</v>
      </c>
      <c r="D5" s="27" t="n">
        <f aca="false">IF(OR(D1="",NOT(ISNUMBER(HeadD))),"",D1-HeadD)</f>
        <v>-128</v>
      </c>
      <c r="E5" s="27" t="n">
        <f aca="false">IF(OR(E1="",NOT(ISNUMBER(HeadD))),"",E1-HeadD)</f>
        <v>-127</v>
      </c>
      <c r="F5" s="27" t="n">
        <f aca="false">IF(OR(F1="",NOT(ISNUMBER(HeadD))),"",F1-HeadD)</f>
        <v>-126</v>
      </c>
      <c r="G5" s="27" t="n">
        <f aca="false">IF(OR(G1="",NOT(ISNUMBER(HeadD))),"",G1-HeadD)</f>
        <v>-125</v>
      </c>
      <c r="H5" s="27" t="n">
        <f aca="false">IF(OR(H1="",NOT(ISNUMBER(HeadD))),"",H1-HeadD)</f>
        <v>-124</v>
      </c>
      <c r="I5" s="27" t="n">
        <f aca="false">IF(OR(I1="",NOT(ISNUMBER(HeadD))),"",I1-HeadD)</f>
        <v>-123</v>
      </c>
      <c r="J5" s="27" t="n">
        <f aca="false">IF(OR(J1="",NOT(ISNUMBER(HeadD))),"",J1-HeadD)</f>
        <v>-122</v>
      </c>
      <c r="K5" s="27" t="n">
        <f aca="false">IF(OR(K1="",NOT(ISNUMBER(HeadD))),"",K1-HeadD)</f>
        <v>-121</v>
      </c>
      <c r="L5" s="27" t="n">
        <f aca="false">IF(OR(L1="",NOT(ISNUMBER(HeadD))),"",L1-HeadD)</f>
        <v>-120</v>
      </c>
      <c r="M5" s="27" t="n">
        <f aca="false">IF(OR(M1="",NOT(ISNUMBER(HeadD))),"",M1-HeadD)</f>
        <v>-119</v>
      </c>
      <c r="N5" s="27" t="n">
        <f aca="false">IF(OR(N1="",NOT(ISNUMBER(HeadD))),"",N1-HeadD)</f>
        <v>-118</v>
      </c>
      <c r="O5" s="27" t="n">
        <f aca="false">IF(OR(O1="",NOT(ISNUMBER(HeadD))),"",O1-HeadD)</f>
        <v>-117</v>
      </c>
      <c r="P5" s="27" t="n">
        <f aca="false">IF(OR(P1="",NOT(ISNUMBER(HeadD))),"",P1-HeadD)</f>
        <v>-116</v>
      </c>
      <c r="Q5" s="27" t="n">
        <f aca="false">IF(OR(Q1="",NOT(ISNUMBER(HeadD))),"",Q1-HeadD)</f>
        <v>-115</v>
      </c>
      <c r="R5" s="27" t="n">
        <f aca="false">IF(OR(R1="",NOT(ISNUMBER(HeadD))),"",R1-HeadD)</f>
        <v>-114</v>
      </c>
      <c r="S5" s="27" t="n">
        <f aca="false">IF(OR(S1="",NOT(ISNUMBER(HeadD))),"",S1-HeadD)</f>
        <v>-113</v>
      </c>
      <c r="T5" s="27" t="n">
        <f aca="false">IF(OR(T1="",NOT(ISNUMBER(HeadD))),"",T1-HeadD)</f>
        <v>-112</v>
      </c>
      <c r="U5" s="27" t="n">
        <f aca="false">IF(OR(U1="",NOT(ISNUMBER(HeadD))),"",U1-HeadD)</f>
        <v>-111</v>
      </c>
      <c r="V5" s="27" t="n">
        <f aca="false">IF(OR(V1="",NOT(ISNUMBER(HeadD))),"",V1-HeadD)</f>
        <v>-110</v>
      </c>
      <c r="W5" s="27" t="n">
        <f aca="false">IF(OR(W1="",NOT(ISNUMBER(HeadD))),"",W1-HeadD)</f>
        <v>-109</v>
      </c>
      <c r="X5" s="27" t="n">
        <f aca="false">IF(OR(X1="",NOT(ISNUMBER(HeadD))),"",X1-HeadD)</f>
        <v>-108</v>
      </c>
      <c r="Y5" s="27" t="n">
        <f aca="false">IF(OR(Y1="",NOT(ISNUMBER(HeadD))),"",Y1-HeadD)</f>
        <v>-107</v>
      </c>
      <c r="Z5" s="27" t="n">
        <f aca="false">IF(OR(Z1="",NOT(ISNUMBER(HeadD))),"",Z1-HeadD)</f>
        <v>-106</v>
      </c>
      <c r="AA5" s="27" t="n">
        <f aca="false">IF(OR(AA1="",NOT(ISNUMBER(HeadD))),"",AA1-HeadD)</f>
        <v>-105</v>
      </c>
      <c r="AB5" s="27" t="n">
        <f aca="false">IF(OR(AB1="",NOT(ISNUMBER(HeadD))),"",AB1-HeadD)</f>
        <v>-104</v>
      </c>
      <c r="AC5" s="27" t="n">
        <f aca="false">IF(OR(AC1="",NOT(ISNUMBER(HeadD))),"",AC1-HeadD)</f>
        <v>-103</v>
      </c>
      <c r="AD5" s="27" t="n">
        <f aca="false">IF(OR(AD1="",NOT(ISNUMBER(HeadD))),"",AD1-HeadD)</f>
        <v>-102</v>
      </c>
      <c r="AE5" s="27" t="n">
        <f aca="false">IF(OR(AE1="",NOT(ISNUMBER(HeadD))),"",AE1-HeadD)</f>
        <v>-101</v>
      </c>
      <c r="AF5" s="27" t="n">
        <f aca="false">IF(OR(AF1="",NOT(ISNUMBER(HeadD))),"",AF1-HeadD)</f>
        <v>-100</v>
      </c>
      <c r="AG5" s="27" t="n">
        <f aca="false">IF(OR(AG1="",NOT(ISNUMBER(HeadD))),"",AG1-HeadD)</f>
        <v>-99</v>
      </c>
      <c r="AH5" s="27" t="n">
        <f aca="false">IF(OR(AH1="",NOT(ISNUMBER(HeadD))),"",AH1-HeadD)</f>
        <v>-98</v>
      </c>
      <c r="AI5" s="27" t="n">
        <f aca="false">IF(OR(AI1="",NOT(ISNUMBER(HeadD))),"",AI1-HeadD)</f>
        <v>-97</v>
      </c>
      <c r="AJ5" s="27" t="n">
        <f aca="false">IF(OR(AJ1="",NOT(ISNUMBER(HeadD))),"",AJ1-HeadD)</f>
        <v>-96</v>
      </c>
      <c r="AK5" s="27" t="n">
        <f aca="false">IF(OR(AK1="",NOT(ISNUMBER(HeadD))),"",AK1-HeadD)</f>
        <v>-95</v>
      </c>
      <c r="AL5" s="27" t="n">
        <f aca="false">IF(OR(AL1="",NOT(ISNUMBER(HeadD))),"",AL1-HeadD)</f>
        <v>-94</v>
      </c>
      <c r="AM5" s="27" t="n">
        <f aca="false">IF(OR(AM1="",NOT(ISNUMBER(HeadD))),"",AM1-HeadD)</f>
        <v>-93</v>
      </c>
      <c r="AN5" s="27" t="n">
        <f aca="false">IF(OR(AN1="",NOT(ISNUMBER(HeadD))),"",AN1-HeadD)</f>
        <v>-92</v>
      </c>
      <c r="AO5" s="27" t="n">
        <f aca="false">IF(OR(AO1="",NOT(ISNUMBER(HeadD))),"",AO1-HeadD)</f>
        <v>-91</v>
      </c>
      <c r="AP5" s="27" t="n">
        <f aca="false">IF(OR(AP1="",NOT(ISNUMBER(HeadD))),"",AP1-HeadD)</f>
        <v>-90</v>
      </c>
      <c r="AQ5" s="27" t="n">
        <f aca="false">IF(OR(AQ1="",NOT(ISNUMBER(HeadD))),"",AQ1-HeadD)</f>
        <v>-89</v>
      </c>
      <c r="AR5" s="27" t="n">
        <f aca="false">IF(OR(AR1="",NOT(ISNUMBER(HeadD))),"",AR1-HeadD)</f>
        <v>-88</v>
      </c>
      <c r="AS5" s="27" t="n">
        <f aca="false">IF(OR(AS1="",NOT(ISNUMBER(HeadD))),"",AS1-HeadD)</f>
        <v>-87</v>
      </c>
      <c r="AT5" s="27" t="n">
        <f aca="false">IF(OR(AT1="",NOT(ISNUMBER(HeadD))),"",AT1-HeadD)</f>
        <v>-86</v>
      </c>
      <c r="AU5" s="27" t="n">
        <f aca="false">IF(OR(AU1="",NOT(ISNUMBER(HeadD))),"",AU1-HeadD)</f>
        <v>-85</v>
      </c>
      <c r="AV5" s="27" t="n">
        <f aca="false">IF(OR(AV1="",NOT(ISNUMBER(HeadD))),"",AV1-HeadD)</f>
        <v>-84</v>
      </c>
      <c r="AW5" s="27" t="n">
        <f aca="false">IF(OR(AW1="",NOT(ISNUMBER(HeadD))),"",AW1-HeadD)</f>
        <v>-83</v>
      </c>
      <c r="AX5" s="27" t="n">
        <f aca="false">IF(OR(AX1="",NOT(ISNUMBER(HeadD))),"",AX1-HeadD)</f>
        <v>-82</v>
      </c>
      <c r="AY5" s="27" t="n">
        <f aca="false">IF(OR(AY1="",NOT(ISNUMBER(HeadD))),"",AY1-HeadD)</f>
        <v>-81</v>
      </c>
      <c r="AZ5" s="27" t="n">
        <f aca="false">IF(OR(AZ1="",NOT(ISNUMBER(HeadD))),"",AZ1-HeadD)</f>
        <v>-80</v>
      </c>
      <c r="BA5" s="27" t="n">
        <f aca="false">IF(OR(BA1="",NOT(ISNUMBER(HeadD))),"",BA1-HeadD)</f>
        <v>-79</v>
      </c>
      <c r="BB5" s="27" t="n">
        <f aca="false">IF(OR(BB1="",NOT(ISNUMBER(HeadD))),"",BB1-HeadD)</f>
        <v>-78</v>
      </c>
      <c r="BC5" s="27" t="n">
        <f aca="false">IF(OR(BC1="",NOT(ISNUMBER(HeadD))),"",BC1-HeadD)</f>
        <v>-77</v>
      </c>
      <c r="BD5" s="27" t="n">
        <f aca="false">IF(OR(BD1="",NOT(ISNUMBER(HeadD))),"",BD1-HeadD)</f>
        <v>-76</v>
      </c>
      <c r="BE5" s="27" t="n">
        <f aca="false">IF(OR(BE1="",NOT(ISNUMBER(HeadD))),"",BE1-HeadD)</f>
        <v>-75</v>
      </c>
      <c r="BF5" s="27" t="n">
        <f aca="false">IF(OR(BF1="",NOT(ISNUMBER(HeadD))),"",BF1-HeadD)</f>
        <v>-74</v>
      </c>
      <c r="BG5" s="27" t="n">
        <f aca="false">IF(OR(BG1="",NOT(ISNUMBER(HeadD))),"",BG1-HeadD)</f>
        <v>-73</v>
      </c>
      <c r="BH5" s="27" t="n">
        <f aca="false">IF(OR(BH1="",NOT(ISNUMBER(HeadD))),"",BH1-HeadD)</f>
        <v>-72</v>
      </c>
      <c r="BI5" s="27" t="n">
        <f aca="false">IF(OR(BI1="",NOT(ISNUMBER(HeadD))),"",BI1-HeadD)</f>
        <v>-71</v>
      </c>
      <c r="BJ5" s="27" t="n">
        <f aca="false">IF(OR(BJ1="",NOT(ISNUMBER(HeadD))),"",BJ1-HeadD)</f>
        <v>-70</v>
      </c>
      <c r="BK5" s="27" t="n">
        <f aca="false">IF(OR(BK1="",NOT(ISNUMBER(HeadD))),"",BK1-HeadD)</f>
        <v>-69</v>
      </c>
      <c r="BL5" s="27" t="n">
        <f aca="false">IF(OR(BL1="",NOT(ISNUMBER(HeadD))),"",BL1-HeadD)</f>
        <v>-68</v>
      </c>
      <c r="BM5" s="27" t="n">
        <f aca="false">IF(OR(BM1="",NOT(ISNUMBER(HeadD))),"",BM1-HeadD)</f>
        <v>-67</v>
      </c>
      <c r="BN5" s="27" t="n">
        <f aca="false">IF(OR(BN1="",NOT(ISNUMBER(HeadD))),"",BN1-HeadD)</f>
        <v>-66</v>
      </c>
      <c r="BO5" s="27" t="n">
        <f aca="false">IF(OR(BO1="",NOT(ISNUMBER(HeadD))),"",BO1-HeadD)</f>
        <v>-65</v>
      </c>
      <c r="BP5" s="27" t="n">
        <f aca="false">IF(OR(BP1="",NOT(ISNUMBER(HeadD))),"",BP1-HeadD)</f>
        <v>-64</v>
      </c>
      <c r="BQ5" s="27" t="n">
        <f aca="false">IF(OR(BQ1="",NOT(ISNUMBER(HeadD))),"",BQ1-HeadD)</f>
        <v>-63</v>
      </c>
      <c r="BR5" s="27" t="n">
        <f aca="false">IF(OR(BR1="",NOT(ISNUMBER(HeadD))),"",BR1-HeadD)</f>
        <v>-62</v>
      </c>
      <c r="BS5" s="27" t="n">
        <f aca="false">IF(OR(BS1="",NOT(ISNUMBER(HeadD))),"",BS1-HeadD)</f>
        <v>-61</v>
      </c>
      <c r="BT5" s="27" t="n">
        <f aca="false">IF(OR(BT1="",NOT(ISNUMBER(HeadD))),"",BT1-HeadD)</f>
        <v>-60</v>
      </c>
      <c r="BU5" s="27" t="n">
        <f aca="false">IF(OR(BU1="",NOT(ISNUMBER(HeadD))),"",BU1-HeadD)</f>
        <v>-59</v>
      </c>
      <c r="BV5" s="27" t="n">
        <f aca="false">IF(OR(BV1="",NOT(ISNUMBER(HeadD))),"",BV1-HeadD)</f>
        <v>-58</v>
      </c>
      <c r="BW5" s="27" t="n">
        <f aca="false">IF(OR(BW1="",NOT(ISNUMBER(HeadD))),"",BW1-HeadD)</f>
        <v>-57</v>
      </c>
      <c r="BX5" s="27" t="n">
        <f aca="false">IF(OR(BX1="",NOT(ISNUMBER(HeadD))),"",BX1-HeadD)</f>
        <v>-56</v>
      </c>
      <c r="BY5" s="27" t="n">
        <f aca="false">IF(OR(BY1="",NOT(ISNUMBER(HeadD))),"",BY1-HeadD)</f>
        <v>-55</v>
      </c>
      <c r="BZ5" s="27" t="n">
        <f aca="false">IF(OR(BZ1="",NOT(ISNUMBER(HeadD))),"",BZ1-HeadD)</f>
        <v>-54</v>
      </c>
      <c r="CA5" s="27" t="n">
        <f aca="false">IF(OR(CA1="",NOT(ISNUMBER(HeadD))),"",CA1-HeadD)</f>
        <v>-53</v>
      </c>
      <c r="CB5" s="27" t="n">
        <f aca="false">IF(OR(CB1="",NOT(ISNUMBER(HeadD))),"",CB1-HeadD)</f>
        <v>-52</v>
      </c>
      <c r="CC5" s="27" t="n">
        <f aca="false">IF(OR(CC1="",NOT(ISNUMBER(HeadD))),"",CC1-HeadD)</f>
        <v>-51</v>
      </c>
      <c r="CD5" s="27" t="n">
        <f aca="false">IF(OR(CD1="",NOT(ISNUMBER(HeadD))),"",CD1-HeadD)</f>
        <v>-50</v>
      </c>
      <c r="CE5" s="27" t="n">
        <f aca="false">IF(OR(CE1="",NOT(ISNUMBER(HeadD))),"",CE1-HeadD)</f>
        <v>-49</v>
      </c>
      <c r="CF5" s="27" t="n">
        <f aca="false">IF(OR(CF1="",NOT(ISNUMBER(HeadD))),"",CF1-HeadD)</f>
        <v>-48</v>
      </c>
      <c r="CG5" s="27" t="n">
        <f aca="false">IF(OR(CG1="",NOT(ISNUMBER(HeadD))),"",CG1-HeadD)</f>
        <v>-47</v>
      </c>
      <c r="CH5" s="27" t="n">
        <f aca="false">IF(OR(CH1="",NOT(ISNUMBER(HeadD))),"",CH1-HeadD)</f>
        <v>-46</v>
      </c>
      <c r="CI5" s="27" t="n">
        <f aca="false">IF(OR(CI1="",NOT(ISNUMBER(HeadD))),"",CI1-HeadD)</f>
        <v>-45</v>
      </c>
      <c r="CJ5" s="27" t="n">
        <f aca="false">IF(OR(CJ1="",NOT(ISNUMBER(HeadD))),"",CJ1-HeadD)</f>
        <v>-44</v>
      </c>
      <c r="CK5" s="27" t="n">
        <f aca="false">IF(OR(CK1="",NOT(ISNUMBER(HeadD))),"",CK1-HeadD)</f>
        <v>-43</v>
      </c>
      <c r="CL5" s="27" t="n">
        <f aca="false">IF(OR(CL1="",NOT(ISNUMBER(HeadD))),"",CL1-HeadD)</f>
        <v>-42</v>
      </c>
      <c r="CM5" s="27" t="n">
        <f aca="false">IF(OR(CM1="",NOT(ISNUMBER(HeadD))),"",CM1-HeadD)</f>
        <v>-41</v>
      </c>
      <c r="CN5" s="27" t="n">
        <f aca="false">IF(OR(CN1="",NOT(ISNUMBER(HeadD))),"",CN1-HeadD)</f>
        <v>-40</v>
      </c>
      <c r="CO5" s="27" t="n">
        <f aca="false">IF(OR(CO1="",NOT(ISNUMBER(HeadD))),"",CO1-HeadD)</f>
        <v>-39</v>
      </c>
      <c r="CP5" s="27" t="n">
        <f aca="false">IF(OR(CP1="",NOT(ISNUMBER(HeadD))),"",CP1-HeadD)</f>
        <v>-38</v>
      </c>
      <c r="CQ5" s="27" t="n">
        <f aca="false">IF(OR(CQ1="",NOT(ISNUMBER(HeadD))),"",CQ1-HeadD)</f>
        <v>-37</v>
      </c>
      <c r="CR5" s="27" t="n">
        <f aca="false">IF(OR(CR1="",NOT(ISNUMBER(HeadD))),"",CR1-HeadD)</f>
        <v>-36</v>
      </c>
      <c r="CS5" s="27" t="n">
        <f aca="false">IF(OR(CS1="",NOT(ISNUMBER(HeadD))),"",CS1-HeadD)</f>
        <v>-35</v>
      </c>
      <c r="CT5" s="27" t="n">
        <f aca="false">IF(OR(CT1="",NOT(ISNUMBER(HeadD))),"",CT1-HeadD)</f>
        <v>-34</v>
      </c>
      <c r="CU5" s="27" t="n">
        <f aca="false">IF(OR(CU1="",NOT(ISNUMBER(HeadD))),"",CU1-HeadD)</f>
        <v>-33</v>
      </c>
      <c r="CV5" s="27" t="n">
        <f aca="false">IF(OR(CV1="",NOT(ISNUMBER(HeadD))),"",CV1-HeadD)</f>
        <v>-32</v>
      </c>
      <c r="CW5" s="27" t="n">
        <f aca="false">IF(OR(CW1="",NOT(ISNUMBER(HeadD))),"",CW1-HeadD)</f>
        <v>-31</v>
      </c>
      <c r="CX5" s="27" t="n">
        <f aca="false">IF(OR(CX1="",NOT(ISNUMBER(HeadD))),"",CX1-HeadD)</f>
        <v>-30</v>
      </c>
      <c r="CY5" s="27" t="n">
        <f aca="false">IF(OR(CY1="",NOT(ISNUMBER(HeadD))),"",CY1-HeadD)</f>
        <v>-29</v>
      </c>
      <c r="CZ5" s="27" t="n">
        <f aca="false">IF(OR(CZ1="",NOT(ISNUMBER(HeadD))),"",CZ1-HeadD)</f>
        <v>-28</v>
      </c>
      <c r="DA5" s="27" t="n">
        <f aca="false">IF(OR(DA1="",NOT(ISNUMBER(HeadD))),"",DA1-HeadD)</f>
        <v>-27</v>
      </c>
      <c r="DB5" s="27" t="n">
        <f aca="false">IF(OR(DB1="",NOT(ISNUMBER(HeadD))),"",DB1-HeadD)</f>
        <v>-26</v>
      </c>
      <c r="DC5" s="27" t="n">
        <f aca="false">IF(OR(DC1="",NOT(ISNUMBER(HeadD))),"",DC1-HeadD)</f>
        <v>-25</v>
      </c>
      <c r="DD5" s="27" t="n">
        <f aca="false">IF(OR(DD1="",NOT(ISNUMBER(HeadD))),"",DD1-HeadD)</f>
        <v>-24</v>
      </c>
      <c r="DE5" s="27" t="n">
        <f aca="false">IF(OR(DE1="",NOT(ISNUMBER(HeadD))),"",DE1-HeadD)</f>
        <v>-23</v>
      </c>
      <c r="DF5" s="27" t="n">
        <f aca="false">IF(OR(DF1="",NOT(ISNUMBER(HeadD))),"",DF1-HeadD)</f>
        <v>-22</v>
      </c>
      <c r="DG5" s="27" t="n">
        <f aca="false">IF(OR(DG1="",NOT(ISNUMBER(HeadD))),"",DG1-HeadD)</f>
        <v>-21</v>
      </c>
      <c r="DH5" s="27" t="n">
        <f aca="false">IF(OR(DH1="",NOT(ISNUMBER(HeadD))),"",DH1-HeadD)</f>
        <v>-20</v>
      </c>
      <c r="DI5" s="27" t="n">
        <f aca="false">IF(OR(DI1="",NOT(ISNUMBER(HeadD))),"",DI1-HeadD)</f>
        <v>-19</v>
      </c>
      <c r="DJ5" s="27" t="n">
        <f aca="false">IF(OR(DJ1="",NOT(ISNUMBER(HeadD))),"",DJ1-HeadD)</f>
        <v>-18</v>
      </c>
      <c r="DK5" s="27" t="n">
        <f aca="false">IF(OR(DK1="",NOT(ISNUMBER(HeadD))),"",DK1-HeadD)</f>
        <v>-17</v>
      </c>
      <c r="DL5" s="27" t="n">
        <f aca="false">IF(OR(DL1="",NOT(ISNUMBER(HeadD))),"",DL1-HeadD)</f>
        <v>-16</v>
      </c>
      <c r="DM5" s="27" t="n">
        <f aca="false">IF(OR(DM1="",NOT(ISNUMBER(HeadD))),"",DM1-HeadD)</f>
        <v>-15</v>
      </c>
      <c r="DN5" s="27" t="n">
        <f aca="false">IF(OR(DN1="",NOT(ISNUMBER(HeadD))),"",DN1-HeadD)</f>
        <v>-14</v>
      </c>
      <c r="DO5" s="27" t="n">
        <f aca="false">IF(OR(DO1="",NOT(ISNUMBER(HeadD))),"",DO1-HeadD)</f>
        <v>-13</v>
      </c>
      <c r="DP5" s="27" t="n">
        <f aca="false">IF(OR(DP1="",NOT(ISNUMBER(HeadD))),"",DP1-HeadD)</f>
        <v>-12</v>
      </c>
      <c r="DQ5" s="27" t="n">
        <f aca="false">IF(OR(DQ1="",NOT(ISNUMBER(HeadD))),"",DQ1-HeadD)</f>
        <v>-11</v>
      </c>
      <c r="DR5" s="27" t="n">
        <f aca="false">IF(OR(DR1="",NOT(ISNUMBER(HeadD))),"",DR1-HeadD)</f>
        <v>-10</v>
      </c>
      <c r="DS5" s="27" t="n">
        <f aca="false">IF(OR(DS1="",NOT(ISNUMBER(HeadD))),"",DS1-HeadD)</f>
        <v>-9</v>
      </c>
      <c r="DT5" s="27" t="n">
        <f aca="false">IF(OR(DT1="",NOT(ISNUMBER(HeadD))),"",DT1-HeadD)</f>
        <v>-8</v>
      </c>
      <c r="DU5" s="27" t="n">
        <f aca="false">IF(OR(DU1="",NOT(ISNUMBER(HeadD))),"",DU1-HeadD)</f>
        <v>-7</v>
      </c>
      <c r="DV5" s="27" t="n">
        <f aca="false">IF(OR(DV1="",NOT(ISNUMBER(HeadD))),"",DV1-HeadD)</f>
        <v>-6</v>
      </c>
      <c r="DW5" s="27" t="n">
        <f aca="false">IF(OR(DW1="",NOT(ISNUMBER(HeadD))),"",DW1-HeadD)</f>
        <v>-5</v>
      </c>
      <c r="DX5" s="27" t="n">
        <f aca="false">IF(OR(DX1="",NOT(ISNUMBER(HeadD))),"",DX1-HeadD)</f>
        <v>-4</v>
      </c>
      <c r="DY5" s="27" t="n">
        <f aca="false">IF(OR(DY1="",NOT(ISNUMBER(HeadD))),"",DY1-HeadD)</f>
        <v>-3</v>
      </c>
      <c r="DZ5" s="27" t="n">
        <f aca="false">IF(OR(DZ1="",NOT(ISNUMBER(HeadD))),"",DZ1-HeadD)</f>
        <v>-2</v>
      </c>
      <c r="EA5" s="27" t="n">
        <f aca="false">IF(OR(EA1="",NOT(ISNUMBER(HeadD))),"",EA1-HeadD)</f>
        <v>-1</v>
      </c>
      <c r="EB5" s="27" t="n">
        <f aca="false">IF(OR(EB1="",NOT(ISNUMBER(HeadD))),"",EB1-HeadD)</f>
        <v>0</v>
      </c>
      <c r="EC5" s="27" t="n">
        <f aca="false">IF(OR(EC1="",NOT(ISNUMBER(HeadD))),"",EC1-HeadD)</f>
        <v>1</v>
      </c>
      <c r="ED5" s="27" t="n">
        <f aca="false">IF(OR(ED1="",NOT(ISNUMBER(HeadD))),"",ED1-HeadD)</f>
        <v>2</v>
      </c>
      <c r="EE5" s="27" t="n">
        <f aca="false">IF(OR(EE1="",NOT(ISNUMBER(HeadD))),"",EE1-HeadD)</f>
        <v>3</v>
      </c>
      <c r="EF5" s="27" t="n">
        <f aca="false">IF(OR(EF1="",NOT(ISNUMBER(HeadD))),"",EF1-HeadD)</f>
        <v>4</v>
      </c>
      <c r="EG5" s="27" t="n">
        <f aca="false">IF(OR(EG1="",NOT(ISNUMBER(HeadD))),"",EG1-HeadD)</f>
        <v>5</v>
      </c>
      <c r="EH5" s="27" t="n">
        <f aca="false">IF(OR(EH1="",NOT(ISNUMBER(HeadD))),"",EH1-HeadD)</f>
        <v>6</v>
      </c>
      <c r="EI5" s="27" t="n">
        <f aca="false">IF(OR(EI1="",NOT(ISNUMBER(HeadD))),"",EI1-HeadD)</f>
        <v>7</v>
      </c>
      <c r="EJ5" s="27" t="n">
        <f aca="false">IF(OR(EJ1="",NOT(ISNUMBER(HeadD))),"",EJ1-HeadD)</f>
        <v>8</v>
      </c>
      <c r="EK5" s="27" t="n">
        <f aca="false">IF(OR(EK1="",NOT(ISNUMBER(HeadD))),"",EK1-HeadD)</f>
        <v>9</v>
      </c>
      <c r="EL5" s="27" t="n">
        <f aca="false">IF(OR(EL1="",NOT(ISNUMBER(HeadD))),"",EL1-HeadD)</f>
        <v>10</v>
      </c>
      <c r="EM5" s="27" t="n">
        <f aca="false">IF(OR(EM1="",NOT(ISNUMBER(HeadD))),"",EM1-HeadD)</f>
        <v>11</v>
      </c>
      <c r="EN5" s="27" t="n">
        <f aca="false">IF(OR(EN1="",NOT(ISNUMBER(HeadD))),"",EN1-HeadD)</f>
        <v>12</v>
      </c>
      <c r="EO5" s="27" t="n">
        <f aca="false">IF(OR(EO1="",NOT(ISNUMBER(HeadD))),"",EO1-HeadD)</f>
        <v>13</v>
      </c>
      <c r="EP5" s="27" t="n">
        <f aca="false">IF(OR(EP1="",NOT(ISNUMBER(HeadD))),"",EP1-HeadD)</f>
        <v>14</v>
      </c>
      <c r="EQ5" s="27" t="n">
        <f aca="false">IF(OR(EQ1="",NOT(ISNUMBER(HeadD))),"",EQ1-HeadD)</f>
        <v>15</v>
      </c>
      <c r="ER5" s="27" t="n">
        <f aca="false">IF(OR(ER1="",NOT(ISNUMBER(HeadD))),"",ER1-HeadD)</f>
        <v>16</v>
      </c>
      <c r="ES5" s="27" t="n">
        <f aca="false">IF(OR(ES1="",NOT(ISNUMBER(HeadD))),"",ES1-HeadD)</f>
        <v>17</v>
      </c>
      <c r="ET5" s="27" t="n">
        <f aca="false">IF(OR(ET1="",NOT(ISNUMBER(HeadD))),"",ET1-HeadD)</f>
        <v>18</v>
      </c>
      <c r="EU5" s="27" t="n">
        <f aca="false">IF(OR(EU1="",NOT(ISNUMBER(HeadD))),"",EU1-HeadD)</f>
        <v>19</v>
      </c>
      <c r="EV5" s="27" t="n">
        <f aca="false">IF(OR(EV1="",NOT(ISNUMBER(HeadD))),"",EV1-HeadD)</f>
        <v>20</v>
      </c>
      <c r="EW5" s="27" t="n">
        <f aca="false">IF(OR(EW1="",NOT(ISNUMBER(HeadD))),"",EW1-HeadD)</f>
        <v>21</v>
      </c>
      <c r="EX5" s="27" t="n">
        <f aca="false">IF(OR(EX1="",NOT(ISNUMBER(HeadD))),"",EX1-HeadD)</f>
        <v>22</v>
      </c>
      <c r="EY5" s="27" t="n">
        <f aca="false">IF(OR(EY1="",NOT(ISNUMBER(HeadD))),"",EY1-HeadD)</f>
        <v>23</v>
      </c>
      <c r="EZ5" s="27" t="n">
        <f aca="false">IF(OR(EZ1="",NOT(ISNUMBER(HeadD))),"",EZ1-HeadD)</f>
        <v>24</v>
      </c>
      <c r="FA5" s="27" t="n">
        <f aca="false">IF(OR(FA1="",NOT(ISNUMBER(HeadD))),"",FA1-HeadD)</f>
        <v>25</v>
      </c>
      <c r="FB5" s="27" t="n">
        <f aca="false">IF(OR(FB1="",NOT(ISNUMBER(HeadD))),"",FB1-HeadD)</f>
        <v>26</v>
      </c>
      <c r="FC5" s="27" t="n">
        <f aca="false">IF(OR(FC1="",NOT(ISNUMBER(HeadD))),"",FC1-HeadD)</f>
        <v>27</v>
      </c>
      <c r="FD5" s="27" t="n">
        <f aca="false">IF(OR(FD1="",NOT(ISNUMBER(HeadD))),"",FD1-HeadD)</f>
        <v>28</v>
      </c>
      <c r="FE5" s="27" t="n">
        <f aca="false">IF(OR(FE1="",NOT(ISNUMBER(HeadD))),"",FE1-HeadD)</f>
        <v>29</v>
      </c>
      <c r="FF5" s="27" t="n">
        <f aca="false">IF(OR(FF1="",NOT(ISNUMBER(HeadD))),"",FF1-HeadD)</f>
        <v>30</v>
      </c>
      <c r="FG5" s="27" t="n">
        <f aca="false">IF(OR(FG1="",NOT(ISNUMBER(HeadD))),"",FG1-HeadD)</f>
        <v>31</v>
      </c>
      <c r="FH5" s="27" t="n">
        <f aca="false">IF(OR(FH1="",NOT(ISNUMBER(HeadD))),"",FH1-HeadD)</f>
        <v>32</v>
      </c>
      <c r="FI5" s="27" t="n">
        <f aca="false">IF(OR(FI1="",NOT(ISNUMBER(HeadD))),"",FI1-HeadD)</f>
        <v>33</v>
      </c>
      <c r="FJ5" s="27" t="n">
        <f aca="false">IF(OR(FJ1="",NOT(ISNUMBER(HeadD))),"",FJ1-HeadD)</f>
        <v>34</v>
      </c>
      <c r="FK5" s="27" t="n">
        <f aca="false">IF(OR(FK1="",NOT(ISNUMBER(HeadD))),"",FK1-HeadD)</f>
        <v>35</v>
      </c>
      <c r="FL5" s="27" t="n">
        <f aca="false">IF(OR(FL1="",NOT(ISNUMBER(HeadD))),"",FL1-HeadD)</f>
        <v>36</v>
      </c>
      <c r="FM5" s="27" t="n">
        <f aca="false">IF(OR(FM1="",NOT(ISNUMBER(HeadD))),"",FM1-HeadD)</f>
        <v>37</v>
      </c>
      <c r="FN5" s="27" t="n">
        <f aca="false">IF(OR(FN1="",NOT(ISNUMBER(HeadD))),"",FN1-HeadD)</f>
        <v>38</v>
      </c>
      <c r="FO5" s="27" t="n">
        <f aca="false">IF(OR(FO1="",NOT(ISNUMBER(HeadD))),"",FO1-HeadD)</f>
        <v>39</v>
      </c>
      <c r="FP5" s="27" t="n">
        <f aca="false">IF(OR(FP1="",NOT(ISNUMBER(HeadD))),"",FP1-HeadD)</f>
        <v>40</v>
      </c>
      <c r="FQ5" s="27" t="n">
        <f aca="false">IF(OR(FQ1="",NOT(ISNUMBER(HeadD))),"",FQ1-HeadD)</f>
        <v>41</v>
      </c>
    </row>
    <row r="6" customFormat="false" ht="15" hidden="false" customHeight="false" outlineLevel="0" collapsed="false">
      <c r="B6" s="48" t="s">
        <v>134</v>
      </c>
      <c r="D6" s="29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29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29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29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29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29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29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29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29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29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29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29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29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29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29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29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29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29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29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29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29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29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29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29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29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29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29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29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29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29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29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29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29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29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29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29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29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29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29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29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29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29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29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29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29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29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29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29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29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29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29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29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29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29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29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29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29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29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29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29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29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29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29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29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29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29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29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29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29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29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29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29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29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29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29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29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29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29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29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29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29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29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29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>Pitan</v>
      </c>
      <c r="CI6" s="29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>Pitan MD</v>
      </c>
      <c r="CJ6" s="29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>Pitan MD</v>
      </c>
      <c r="CK6" s="29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>Pitan MD</v>
      </c>
      <c r="CL6" s="29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>MD</v>
      </c>
      <c r="CM6" s="29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>MD</v>
      </c>
      <c r="CN6" s="29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>MD</v>
      </c>
      <c r="CO6" s="29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>MD</v>
      </c>
      <c r="CP6" s="29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>MD</v>
      </c>
      <c r="CQ6" s="29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>MD</v>
      </c>
      <c r="CR6" s="29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29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29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29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29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29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29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29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29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29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29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29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>PI-flood</v>
      </c>
      <c r="DD6" s="29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>PI-flood</v>
      </c>
      <c r="DE6" s="29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>PI-flood</v>
      </c>
      <c r="DF6" s="29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>PI-flood</v>
      </c>
      <c r="DG6" s="29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>3F4D-1</v>
      </c>
      <c r="DH6" s="29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>3F4D-1</v>
      </c>
      <c r="DI6" s="29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>3F4D-1</v>
      </c>
      <c r="DJ6" s="29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>3F4D-1</v>
      </c>
      <c r="DK6" s="29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>3F4D-1</v>
      </c>
      <c r="DL6" s="29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>3F4D-1</v>
      </c>
      <c r="DM6" s="29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>3F4D-1</v>
      </c>
      <c r="DN6" s="29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>3F4D-2</v>
      </c>
      <c r="DO6" s="29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>3F4D-2</v>
      </c>
      <c r="DP6" s="29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>3F4D-2</v>
      </c>
      <c r="DQ6" s="29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>3F4D-2</v>
      </c>
      <c r="DR6" s="29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>3F4D-2</v>
      </c>
      <c r="DS6" s="29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>3F4D-2</v>
      </c>
      <c r="DT6" s="29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>3F4D-2</v>
      </c>
      <c r="DU6" s="29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>3F4D-3</v>
      </c>
      <c r="DV6" s="29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>3F4D-3</v>
      </c>
      <c r="DW6" s="29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>3F4D-3</v>
      </c>
      <c r="DX6" s="29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>3F4D-3</v>
      </c>
      <c r="DY6" s="29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>3F4D-3</v>
      </c>
      <c r="DZ6" s="29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>3F4D-3</v>
      </c>
      <c r="EA6" s="29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>3F4D-3</v>
      </c>
      <c r="EB6" s="29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>3F4D-4 Heading</v>
      </c>
      <c r="EC6" s="29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>3F4D-4</v>
      </c>
      <c r="ED6" s="29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>3F4D-4</v>
      </c>
      <c r="EE6" s="29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>3F4D-4</v>
      </c>
      <c r="EF6" s="29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>3F4D-4</v>
      </c>
      <c r="EG6" s="29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>3F4D-4</v>
      </c>
      <c r="EH6" s="29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>3F4D-4</v>
      </c>
      <c r="EI6" s="29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>3F4D-5</v>
      </c>
      <c r="EJ6" s="29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>3F4D-5</v>
      </c>
      <c r="EK6" s="29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>3F4D-5</v>
      </c>
      <c r="EL6" s="29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>3F4D-5</v>
      </c>
      <c r="EM6" s="29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>3F4D-5</v>
      </c>
      <c r="EN6" s="29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>3F4D-5</v>
      </c>
      <c r="EO6" s="29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>3F4D-5</v>
      </c>
      <c r="EP6" s="29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>3F4D-6</v>
      </c>
      <c r="EQ6" s="29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>3F4D-6</v>
      </c>
      <c r="ER6" s="29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>3F4D-6</v>
      </c>
      <c r="ES6" s="29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>3F4D-6</v>
      </c>
      <c r="ET6" s="29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>3F4D-6</v>
      </c>
      <c r="EU6" s="29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>3F4D-6</v>
      </c>
      <c r="EV6" s="29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>3F4D-6</v>
      </c>
      <c r="EW6" s="29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>3F4D-6</v>
      </c>
      <c r="EX6" s="29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>3F4D-6</v>
      </c>
      <c r="EY6" s="29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29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29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29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29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29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29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29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29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29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29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29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29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29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29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29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29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29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29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 customFormat="false" ht="15" hidden="false" customHeight="false" outlineLevel="0" collapsed="false">
      <c r="A7" s="38" t="s">
        <v>406</v>
      </c>
      <c r="B7" s="38" t="s">
        <v>407</v>
      </c>
    </row>
    <row r="8" customFormat="false" ht="15" hidden="false" customHeight="false" outlineLevel="0" collapsed="false">
      <c r="A8" s="37" t="s">
        <v>406</v>
      </c>
      <c r="B8" s="38" t="s">
        <v>164</v>
      </c>
      <c r="C8" s="48" t="n">
        <f aca="false">SUM($D$8:$FQ$8)</f>
        <v>59.9</v>
      </c>
      <c r="D8" s="57" t="str">
        <f aca="false">IF(2_Daily_input!D25="","",2_Daily_input!D25)</f>
        <v/>
      </c>
      <c r="E8" s="57" t="str">
        <f aca="false">IF(2_Daily_input!E25="","",2_Daily_input!E25)</f>
        <v/>
      </c>
      <c r="F8" s="57" t="str">
        <f aca="false">IF(2_Daily_input!F25="","",2_Daily_input!F25)</f>
        <v/>
      </c>
      <c r="G8" s="57" t="str">
        <f aca="false">IF(2_Daily_input!G25="","",2_Daily_input!G25)</f>
        <v/>
      </c>
      <c r="H8" s="57" t="str">
        <f aca="false">IF(2_Daily_input!H25="","",2_Daily_input!H25)</f>
        <v/>
      </c>
      <c r="I8" s="57" t="str">
        <f aca="false">IF(2_Daily_input!I25="","",2_Daily_input!I25)</f>
        <v/>
      </c>
      <c r="J8" s="57" t="str">
        <f aca="false">IF(2_Daily_input!J25="","",2_Daily_input!J25)</f>
        <v/>
      </c>
      <c r="K8" s="57" t="str">
        <f aca="false">IF(2_Daily_input!K25="","",2_Daily_input!K25)</f>
        <v/>
      </c>
      <c r="L8" s="57" t="str">
        <f aca="false">IF(2_Daily_input!L25="","",2_Daily_input!L25)</f>
        <v/>
      </c>
      <c r="M8" s="57" t="str">
        <f aca="false">IF(2_Daily_input!M25="","",2_Daily_input!M25)</f>
        <v/>
      </c>
      <c r="N8" s="57" t="str">
        <f aca="false">IF(2_Daily_input!N25="","",2_Daily_input!N25)</f>
        <v/>
      </c>
      <c r="O8" s="57" t="str">
        <f aca="false">IF(2_Daily_input!O25="","",2_Daily_input!O25)</f>
        <v/>
      </c>
      <c r="P8" s="57" t="str">
        <f aca="false">IF(2_Daily_input!P25="","",2_Daily_input!P25)</f>
        <v/>
      </c>
      <c r="Q8" s="57" t="str">
        <f aca="false">IF(2_Daily_input!Q25="","",2_Daily_input!Q25)</f>
        <v/>
      </c>
      <c r="R8" s="57" t="str">
        <f aca="false">IF(2_Daily_input!R25="","",2_Daily_input!R25)</f>
        <v/>
      </c>
      <c r="S8" s="57" t="str">
        <f aca="false">IF(2_Daily_input!S25="","",2_Daily_input!S25)</f>
        <v/>
      </c>
      <c r="T8" s="57" t="str">
        <f aca="false">IF(2_Daily_input!T25="","",2_Daily_input!T25)</f>
        <v/>
      </c>
      <c r="U8" s="57" t="str">
        <f aca="false">IF(2_Daily_input!U25="","",2_Daily_input!U25)</f>
        <v/>
      </c>
      <c r="V8" s="57" t="str">
        <f aca="false">IF(2_Daily_input!V25="","",2_Daily_input!V25)</f>
        <v/>
      </c>
      <c r="W8" s="57" t="str">
        <f aca="false">IF(2_Daily_input!W25="","",2_Daily_input!W25)</f>
        <v/>
      </c>
      <c r="X8" s="57" t="str">
        <f aca="false">IF(2_Daily_input!X25="","",2_Daily_input!X25)</f>
        <v/>
      </c>
      <c r="Y8" s="57" t="str">
        <f aca="false">IF(2_Daily_input!Y25="","",2_Daily_input!Y25)</f>
        <v/>
      </c>
      <c r="Z8" s="57" t="str">
        <f aca="false">IF(2_Daily_input!Z25="","",2_Daily_input!Z25)</f>
        <v/>
      </c>
      <c r="AA8" s="57" t="str">
        <f aca="false">IF(2_Daily_input!AA25="","",2_Daily_input!AA25)</f>
        <v/>
      </c>
      <c r="AB8" s="57" t="str">
        <f aca="false">IF(2_Daily_input!AB25="","",2_Daily_input!AB25)</f>
        <v/>
      </c>
      <c r="AC8" s="57" t="str">
        <f aca="false">IF(2_Daily_input!AC25="","",2_Daily_input!AC25)</f>
        <v/>
      </c>
      <c r="AD8" s="57" t="str">
        <f aca="false">IF(2_Daily_input!AD25="","",2_Daily_input!AD25)</f>
        <v/>
      </c>
      <c r="AE8" s="57" t="str">
        <f aca="false">IF(2_Daily_input!AE25="","",2_Daily_input!AE25)</f>
        <v/>
      </c>
      <c r="AF8" s="57" t="str">
        <f aca="false">IF(2_Daily_input!AF25="","",2_Daily_input!AF25)</f>
        <v/>
      </c>
      <c r="AG8" s="57" t="str">
        <f aca="false">IF(2_Daily_input!AG25="","",2_Daily_input!AG25)</f>
        <v/>
      </c>
      <c r="AH8" s="57" t="str">
        <f aca="false">IF(2_Daily_input!AH25="","",2_Daily_input!AH25)</f>
        <v/>
      </c>
      <c r="AI8" s="57" t="str">
        <f aca="false">IF(2_Daily_input!AI25="","",2_Daily_input!AI25)</f>
        <v/>
      </c>
      <c r="AJ8" s="57" t="str">
        <f aca="false">IF(2_Daily_input!AJ25="","",2_Daily_input!AJ25)</f>
        <v/>
      </c>
      <c r="AK8" s="57" t="str">
        <f aca="false">IF(2_Daily_input!AK25="","",2_Daily_input!AK25)</f>
        <v/>
      </c>
      <c r="AL8" s="57" t="str">
        <f aca="false">IF(2_Daily_input!AL25="","",2_Daily_input!AL25)</f>
        <v/>
      </c>
      <c r="AM8" s="57" t="str">
        <f aca="false">IF(2_Daily_input!AM25="","",2_Daily_input!AM25)</f>
        <v/>
      </c>
      <c r="AN8" s="57" t="str">
        <f aca="false">IF(2_Daily_input!AN25="","",2_Daily_input!AN25)</f>
        <v/>
      </c>
      <c r="AO8" s="57" t="str">
        <f aca="false">IF(2_Daily_input!AO25="","",2_Daily_input!AO25)</f>
        <v/>
      </c>
      <c r="AP8" s="57" t="str">
        <f aca="false">IF(2_Daily_input!AP25="","",2_Daily_input!AP25)</f>
        <v/>
      </c>
      <c r="AQ8" s="57" t="str">
        <f aca="false">IF(2_Daily_input!AQ25="","",2_Daily_input!AQ25)</f>
        <v/>
      </c>
      <c r="AR8" s="57" t="str">
        <f aca="false">IF(2_Daily_input!AR25="","",2_Daily_input!AR25)</f>
        <v/>
      </c>
      <c r="AS8" s="57" t="str">
        <f aca="false">IF(2_Daily_input!AS25="","",2_Daily_input!AS25)</f>
        <v/>
      </c>
      <c r="AT8" s="57" t="str">
        <f aca="false">IF(2_Daily_input!AT25="","",2_Daily_input!AT25)</f>
        <v/>
      </c>
      <c r="AU8" s="57" t="str">
        <f aca="false">IF(2_Daily_input!AU25="","",2_Daily_input!AU25)</f>
        <v/>
      </c>
      <c r="AV8" s="57" t="str">
        <f aca="false">IF(2_Daily_input!AV25="","",2_Daily_input!AV25)</f>
        <v/>
      </c>
      <c r="AW8" s="57" t="str">
        <f aca="false">IF(2_Daily_input!AW25="","",2_Daily_input!AW25)</f>
        <v/>
      </c>
      <c r="AX8" s="57" t="str">
        <f aca="false">IF(2_Daily_input!AX25="","",2_Daily_input!AX25)</f>
        <v/>
      </c>
      <c r="AY8" s="57" t="str">
        <f aca="false">IF(2_Daily_input!AY25="","",2_Daily_input!AY25)</f>
        <v/>
      </c>
      <c r="AZ8" s="57" t="str">
        <f aca="false">IF(2_Daily_input!AZ25="","",2_Daily_input!AZ25)</f>
        <v/>
      </c>
      <c r="BA8" s="57" t="str">
        <f aca="false">IF(2_Daily_input!BA25="","",2_Daily_input!BA25)</f>
        <v/>
      </c>
      <c r="BB8" s="57" t="str">
        <f aca="false">IF(2_Daily_input!BB25="","",2_Daily_input!BB25)</f>
        <v/>
      </c>
      <c r="BC8" s="57" t="str">
        <f aca="false">IF(2_Daily_input!BC25="","",2_Daily_input!BC25)</f>
        <v/>
      </c>
      <c r="BD8" s="57" t="str">
        <f aca="false">IF(2_Daily_input!BD25="","",2_Daily_input!BD25)</f>
        <v/>
      </c>
      <c r="BE8" s="57" t="str">
        <f aca="false">IF(2_Daily_input!BE25="","",2_Daily_input!BE25)</f>
        <v/>
      </c>
      <c r="BF8" s="57" t="str">
        <f aca="false">IF(2_Daily_input!BF25="","",2_Daily_input!BF25)</f>
        <v/>
      </c>
      <c r="BG8" s="57" t="str">
        <f aca="false">IF(2_Daily_input!BG25="","",2_Daily_input!BG25)</f>
        <v/>
      </c>
      <c r="BH8" s="57" t="str">
        <f aca="false">IF(2_Daily_input!BH25="","",2_Daily_input!BH25)</f>
        <v/>
      </c>
      <c r="BI8" s="57" t="str">
        <f aca="false">IF(2_Daily_input!BI25="","",2_Daily_input!BI25)</f>
        <v/>
      </c>
      <c r="BJ8" s="57" t="str">
        <f aca="false">IF(2_Daily_input!BJ25="","",2_Daily_input!BJ25)</f>
        <v/>
      </c>
      <c r="BK8" s="57" t="str">
        <f aca="false">IF(2_Daily_input!BK25="","",2_Daily_input!BK25)</f>
        <v/>
      </c>
      <c r="BL8" s="57" t="str">
        <f aca="false">IF(2_Daily_input!BL25="","",2_Daily_input!BL25)</f>
        <v/>
      </c>
      <c r="BM8" s="57" t="str">
        <f aca="false">IF(2_Daily_input!BM25="","",2_Daily_input!BM25)</f>
        <v/>
      </c>
      <c r="BN8" s="57" t="str">
        <f aca="false">IF(2_Daily_input!BN25="","",2_Daily_input!BN25)</f>
        <v/>
      </c>
      <c r="BO8" s="57" t="str">
        <f aca="false">IF(2_Daily_input!BO25="","",2_Daily_input!BO25)</f>
        <v/>
      </c>
      <c r="BP8" s="57" t="str">
        <f aca="false">IF(2_Daily_input!BP25="","",2_Daily_input!BP25)</f>
        <v/>
      </c>
      <c r="BQ8" s="57" t="str">
        <f aca="false">IF(2_Daily_input!BQ25="","",2_Daily_input!BQ25)</f>
        <v/>
      </c>
      <c r="BR8" s="57" t="str">
        <f aca="false">IF(2_Daily_input!BR25="","",2_Daily_input!BR25)</f>
        <v/>
      </c>
      <c r="BS8" s="57" t="str">
        <f aca="false">IF(2_Daily_input!BS25="","",2_Daily_input!BS25)</f>
        <v/>
      </c>
      <c r="BT8" s="57" t="str">
        <f aca="false">IF(2_Daily_input!BT25="","",2_Daily_input!BT25)</f>
        <v/>
      </c>
      <c r="BU8" s="57" t="str">
        <f aca="false">IF(2_Daily_input!BU25="","",2_Daily_input!BU25)</f>
        <v/>
      </c>
      <c r="BV8" s="57" t="str">
        <f aca="false">IF(2_Daily_input!BV25="","",2_Daily_input!BV25)</f>
        <v/>
      </c>
      <c r="BW8" s="57" t="str">
        <f aca="false">IF(2_Daily_input!BW25="","",2_Daily_input!BW25)</f>
        <v/>
      </c>
      <c r="BX8" s="57" t="str">
        <f aca="false">IF(2_Daily_input!BX25="","",2_Daily_input!BX25)</f>
        <v/>
      </c>
      <c r="BY8" s="57" t="str">
        <f aca="false">IF(2_Daily_input!BY25="","",2_Daily_input!BY25)</f>
        <v/>
      </c>
      <c r="BZ8" s="57" t="str">
        <f aca="false">IF(2_Daily_input!BZ25="","",2_Daily_input!BZ25)</f>
        <v/>
      </c>
      <c r="CA8" s="57" t="str">
        <f aca="false">IF(2_Daily_input!CA25="","",2_Daily_input!CA25)</f>
        <v/>
      </c>
      <c r="CB8" s="57" t="str">
        <f aca="false">IF(2_Daily_input!CB25="","",2_Daily_input!CB25)</f>
        <v/>
      </c>
      <c r="CC8" s="57" t="str">
        <f aca="false">IF(2_Daily_input!CC25="","",2_Daily_input!CC25)</f>
        <v/>
      </c>
      <c r="CD8" s="57" t="str">
        <f aca="false">IF(2_Daily_input!CD25="","",2_Daily_input!CD25)</f>
        <v/>
      </c>
      <c r="CE8" s="57" t="str">
        <f aca="false">IF(2_Daily_input!CE25="","",2_Daily_input!CE25)</f>
        <v/>
      </c>
      <c r="CF8" s="57" t="str">
        <f aca="false">IF(2_Daily_input!CF25="","",2_Daily_input!CF25)</f>
        <v/>
      </c>
      <c r="CG8" s="57" t="str">
        <f aca="false">IF(2_Daily_input!CG25="","",2_Daily_input!CG25)</f>
        <v/>
      </c>
      <c r="CH8" s="57" t="str">
        <f aca="false">IF(2_Daily_input!CH25="","",2_Daily_input!CH25)</f>
        <v/>
      </c>
      <c r="CI8" s="57" t="str">
        <f aca="false">IF(2_Daily_input!CI25="","",2_Daily_input!CI25)</f>
        <v/>
      </c>
      <c r="CJ8" s="57" t="str">
        <f aca="false">IF(2_Daily_input!CJ25="","",2_Daily_input!CJ25)</f>
        <v/>
      </c>
      <c r="CK8" s="57" t="str">
        <f aca="false">IF(2_Daily_input!CK25="","",2_Daily_input!CK25)</f>
        <v/>
      </c>
      <c r="CL8" s="57" t="str">
        <f aca="false">IF(2_Daily_input!CL25="","",2_Daily_input!CL25)</f>
        <v/>
      </c>
      <c r="CM8" s="57" t="n">
        <f aca="false">IF(2_Daily_input!CM25="","",2_Daily_input!CM25)</f>
        <v>3.2</v>
      </c>
      <c r="CN8" s="57" t="str">
        <f aca="false">IF(2_Daily_input!CN25="","",2_Daily_input!CN25)</f>
        <v/>
      </c>
      <c r="CO8" s="57" t="str">
        <f aca="false">IF(2_Daily_input!CO25="","",2_Daily_input!CO25)</f>
        <v/>
      </c>
      <c r="CP8" s="57" t="str">
        <f aca="false">IF(2_Daily_input!CP25="","",2_Daily_input!CP25)</f>
        <v/>
      </c>
      <c r="CQ8" s="57" t="str">
        <f aca="false">IF(2_Daily_input!CQ25="","",2_Daily_input!CQ25)</f>
        <v/>
      </c>
      <c r="CR8" s="57" t="str">
        <f aca="false">IF(2_Daily_input!CR25="","",2_Daily_input!CR25)</f>
        <v/>
      </c>
      <c r="CS8" s="57" t="str">
        <f aca="false">IF(2_Daily_input!CS25="","",2_Daily_input!CS25)</f>
        <v/>
      </c>
      <c r="CT8" s="57" t="str">
        <f aca="false">IF(2_Daily_input!CT25="","",2_Daily_input!CT25)</f>
        <v/>
      </c>
      <c r="CU8" s="57" t="str">
        <f aca="false">IF(2_Daily_input!CU25="","",2_Daily_input!CU25)</f>
        <v/>
      </c>
      <c r="CV8" s="57" t="str">
        <f aca="false">IF(2_Daily_input!CV25="","",2_Daily_input!CV25)</f>
        <v/>
      </c>
      <c r="CW8" s="57" t="str">
        <f aca="false">IF(2_Daily_input!CW25="","",2_Daily_input!CW25)</f>
        <v/>
      </c>
      <c r="CX8" s="57" t="str">
        <f aca="false">IF(2_Daily_input!CX25="","",2_Daily_input!CX25)</f>
        <v/>
      </c>
      <c r="CY8" s="57" t="str">
        <f aca="false">IF(2_Daily_input!CY25="","",2_Daily_input!CY25)</f>
        <v/>
      </c>
      <c r="CZ8" s="57" t="str">
        <f aca="false">IF(2_Daily_input!CZ25="","",2_Daily_input!CZ25)</f>
        <v/>
      </c>
      <c r="DA8" s="57" t="str">
        <f aca="false">IF(2_Daily_input!DA25="","",2_Daily_input!DA25)</f>
        <v/>
      </c>
      <c r="DB8" s="57" t="str">
        <f aca="false">IF(2_Daily_input!DB25="","",2_Daily_input!DB25)</f>
        <v/>
      </c>
      <c r="DC8" s="57" t="str">
        <f aca="false">IF(2_Daily_input!DC25="","",2_Daily_input!DC25)</f>
        <v/>
      </c>
      <c r="DD8" s="57" t="str">
        <f aca="false">IF(2_Daily_input!DD25="","",2_Daily_input!DD25)</f>
        <v/>
      </c>
      <c r="DE8" s="57" t="str">
        <f aca="false">IF(2_Daily_input!DE25="","",2_Daily_input!DE25)</f>
        <v/>
      </c>
      <c r="DF8" s="57" t="str">
        <f aca="false">IF(2_Daily_input!DF25="","",2_Daily_input!DF25)</f>
        <v/>
      </c>
      <c r="DG8" s="57" t="str">
        <f aca="false">IF(2_Daily_input!DG25="","",2_Daily_input!DG25)</f>
        <v/>
      </c>
      <c r="DH8" s="57" t="str">
        <f aca="false">IF(2_Daily_input!DH25="","",2_Daily_input!DH25)</f>
        <v/>
      </c>
      <c r="DI8" s="57" t="str">
        <f aca="false">IF(2_Daily_input!DI25="","",2_Daily_input!DI25)</f>
        <v/>
      </c>
      <c r="DJ8" s="57" t="str">
        <f aca="false">IF(2_Daily_input!DJ25="","",2_Daily_input!DJ25)</f>
        <v/>
      </c>
      <c r="DK8" s="57" t="str">
        <f aca="false">IF(2_Daily_input!DK25="","",2_Daily_input!DK25)</f>
        <v/>
      </c>
      <c r="DL8" s="57" t="str">
        <f aca="false">IF(2_Daily_input!DL25="","",2_Daily_input!DL25)</f>
        <v/>
      </c>
      <c r="DM8" s="57" t="str">
        <f aca="false">IF(2_Daily_input!DM25="","",2_Daily_input!DM25)</f>
        <v/>
      </c>
      <c r="DN8" s="57" t="str">
        <f aca="false">IF(2_Daily_input!DN25="","",2_Daily_input!DN25)</f>
        <v/>
      </c>
      <c r="DO8" s="57" t="n">
        <f aca="false">IF(2_Daily_input!DO25="","",2_Daily_input!DO25)</f>
        <v>7.3</v>
      </c>
      <c r="DP8" s="57" t="str">
        <f aca="false">IF(2_Daily_input!DP25="","",2_Daily_input!DP25)</f>
        <v/>
      </c>
      <c r="DQ8" s="57" t="str">
        <f aca="false">IF(2_Daily_input!DQ25="","",2_Daily_input!DQ25)</f>
        <v/>
      </c>
      <c r="DR8" s="57" t="str">
        <f aca="false">IF(2_Daily_input!DR25="","",2_Daily_input!DR25)</f>
        <v/>
      </c>
      <c r="DS8" s="57" t="str">
        <f aca="false">IF(2_Daily_input!DS25="","",2_Daily_input!DS25)</f>
        <v/>
      </c>
      <c r="DT8" s="57" t="str">
        <f aca="false">IF(2_Daily_input!DT25="","",2_Daily_input!DT25)</f>
        <v/>
      </c>
      <c r="DU8" s="57" t="n">
        <f aca="false">IF(2_Daily_input!DU25="","",2_Daily_input!DU25)</f>
        <v>2.1</v>
      </c>
      <c r="DV8" s="57" t="str">
        <f aca="false">IF(2_Daily_input!DV25="","",2_Daily_input!DV25)</f>
        <v/>
      </c>
      <c r="DW8" s="57" t="str">
        <f aca="false">IF(2_Daily_input!DW25="","",2_Daily_input!DW25)</f>
        <v/>
      </c>
      <c r="DX8" s="57" t="str">
        <f aca="false">IF(2_Daily_input!DX25="","",2_Daily_input!DX25)</f>
        <v/>
      </c>
      <c r="DY8" s="57" t="str">
        <f aca="false">IF(2_Daily_input!DY25="","",2_Daily_input!DY25)</f>
        <v/>
      </c>
      <c r="DZ8" s="57" t="str">
        <f aca="false">IF(2_Daily_input!DZ25="","",2_Daily_input!DZ25)</f>
        <v/>
      </c>
      <c r="EA8" s="57" t="str">
        <f aca="false">IF(2_Daily_input!EA25="","",2_Daily_input!EA25)</f>
        <v/>
      </c>
      <c r="EB8" s="57" t="n">
        <f aca="false">IF(2_Daily_input!EB25="","",2_Daily_input!EB25)</f>
        <v>7.3</v>
      </c>
      <c r="EC8" s="57" t="n">
        <f aca="false">IF(2_Daily_input!EC25="","",2_Daily_input!EC25)</f>
        <v>2</v>
      </c>
      <c r="ED8" s="57" t="n">
        <f aca="false">IF(2_Daily_input!ED25="","",2_Daily_input!ED25)</f>
        <v>1.1</v>
      </c>
      <c r="EE8" s="57" t="n">
        <f aca="false">IF(2_Daily_input!EE25="","",2_Daily_input!EE25)</f>
        <v>21.1</v>
      </c>
      <c r="EF8" s="57" t="str">
        <f aca="false">IF(2_Daily_input!EF25="","",2_Daily_input!EF25)</f>
        <v/>
      </c>
      <c r="EG8" s="57" t="str">
        <f aca="false">IF(2_Daily_input!EG25="","",2_Daily_input!EG25)</f>
        <v/>
      </c>
      <c r="EH8" s="57" t="str">
        <f aca="false">IF(2_Daily_input!EH25="","",2_Daily_input!EH25)</f>
        <v/>
      </c>
      <c r="EI8" s="57" t="str">
        <f aca="false">IF(2_Daily_input!EI25="","",2_Daily_input!EI25)</f>
        <v/>
      </c>
      <c r="EJ8" s="57" t="str">
        <f aca="false">IF(2_Daily_input!EJ25="","",2_Daily_input!EJ25)</f>
        <v/>
      </c>
      <c r="EK8" s="57" t="str">
        <f aca="false">IF(2_Daily_input!EK25="","",2_Daily_input!EK25)</f>
        <v/>
      </c>
      <c r="EL8" s="57" t="str">
        <f aca="false">IF(2_Daily_input!EL25="","",2_Daily_input!EL25)</f>
        <v/>
      </c>
      <c r="EM8" s="57" t="n">
        <f aca="false">IF(2_Daily_input!EM25="","",2_Daily_input!EM25)</f>
        <v>15.8</v>
      </c>
      <c r="EN8" s="57" t="str">
        <f aca="false">IF(2_Daily_input!EN25="","",2_Daily_input!EN25)</f>
        <v/>
      </c>
      <c r="EO8" s="57" t="str">
        <f aca="false">IF(2_Daily_input!EO25="","",2_Daily_input!EO25)</f>
        <v/>
      </c>
      <c r="EP8" s="57" t="str">
        <f aca="false">IF(2_Daily_input!EP25="","",2_Daily_input!EP25)</f>
        <v/>
      </c>
      <c r="EQ8" s="57" t="str">
        <f aca="false">IF(2_Daily_input!EQ25="","",2_Daily_input!EQ25)</f>
        <v/>
      </c>
      <c r="ER8" s="57" t="str">
        <f aca="false">IF(2_Daily_input!ER25="","",2_Daily_input!ER25)</f>
        <v/>
      </c>
      <c r="ES8" s="57" t="str">
        <f aca="false">IF(2_Daily_input!ES25="","",2_Daily_input!ES25)</f>
        <v/>
      </c>
      <c r="ET8" s="57" t="str">
        <f aca="false">IF(2_Daily_input!ET25="","",2_Daily_input!ET25)</f>
        <v/>
      </c>
      <c r="EU8" s="57" t="str">
        <f aca="false">IF(2_Daily_input!EU25="","",2_Daily_input!EU25)</f>
        <v/>
      </c>
      <c r="EV8" s="57" t="str">
        <f aca="false">IF(2_Daily_input!EV25="","",2_Daily_input!EV25)</f>
        <v/>
      </c>
      <c r="EW8" s="57" t="str">
        <f aca="false">IF(2_Daily_input!EW25="","",2_Daily_input!EW25)</f>
        <v/>
      </c>
      <c r="EX8" s="57" t="str">
        <f aca="false">IF(2_Daily_input!EX25="","",2_Daily_input!EX25)</f>
        <v/>
      </c>
      <c r="EY8" s="57" t="str">
        <f aca="false">IF(2_Daily_input!EY25="","",2_Daily_input!EY25)</f>
        <v/>
      </c>
      <c r="EZ8" s="57" t="str">
        <f aca="false">IF(2_Daily_input!EZ25="","",2_Daily_input!EZ25)</f>
        <v/>
      </c>
      <c r="FA8" s="57" t="str">
        <f aca="false">IF(2_Daily_input!FA25="","",2_Daily_input!FA25)</f>
        <v/>
      </c>
      <c r="FB8" s="57" t="str">
        <f aca="false">IF(2_Daily_input!FB25="","",2_Daily_input!FB25)</f>
        <v/>
      </c>
      <c r="FC8" s="57" t="str">
        <f aca="false">IF(2_Daily_input!FC25="","",2_Daily_input!FC25)</f>
        <v/>
      </c>
      <c r="FD8" s="57" t="str">
        <f aca="false">IF(2_Daily_input!FD25="","",2_Daily_input!FD25)</f>
        <v/>
      </c>
      <c r="FE8" s="57" t="str">
        <f aca="false">IF(2_Daily_input!FE25="","",2_Daily_input!FE25)</f>
        <v/>
      </c>
      <c r="FF8" s="57" t="str">
        <f aca="false">IF(2_Daily_input!FF25="","",2_Daily_input!FF25)</f>
        <v/>
      </c>
      <c r="FG8" s="57" t="str">
        <f aca="false">IF(2_Daily_input!FG25="","",2_Daily_input!FG25)</f>
        <v/>
      </c>
      <c r="FH8" s="57" t="str">
        <f aca="false">IF(2_Daily_input!FH25="","",2_Daily_input!FH25)</f>
        <v/>
      </c>
      <c r="FI8" s="57" t="str">
        <f aca="false">IF(2_Daily_input!FI25="","",2_Daily_input!FI25)</f>
        <v/>
      </c>
      <c r="FJ8" s="57" t="str">
        <f aca="false">IF(2_Daily_input!FJ25="","",2_Daily_input!FJ25)</f>
        <v/>
      </c>
      <c r="FK8" s="57" t="str">
        <f aca="false">IF(2_Daily_input!FK25="","",2_Daily_input!FK25)</f>
        <v/>
      </c>
      <c r="FL8" s="57" t="str">
        <f aca="false">IF(2_Daily_input!FL25="","",2_Daily_input!FL25)</f>
        <v/>
      </c>
      <c r="FM8" s="57" t="str">
        <f aca="false">IF(2_Daily_input!FM25="","",2_Daily_input!FM25)</f>
        <v/>
      </c>
      <c r="FN8" s="57" t="str">
        <f aca="false">IF(2_Daily_input!FN25="","",2_Daily_input!FN25)</f>
        <v/>
      </c>
      <c r="FO8" s="57" t="str">
        <f aca="false">IF(2_Daily_input!FO25="","",2_Daily_input!FO25)</f>
        <v/>
      </c>
      <c r="FP8" s="57" t="str">
        <f aca="false">IF(2_Daily_input!FP25="","",2_Daily_input!FP25)</f>
        <v/>
      </c>
      <c r="FQ8" s="57" t="str">
        <f aca="false">IF(2_Daily_input!FQ25="","",2_Daily_input!FQ25)</f>
        <v/>
      </c>
    </row>
    <row r="9" customFormat="false" ht="15" hidden="false" customHeight="false" outlineLevel="0" collapsed="false">
      <c r="A9" s="37" t="s">
        <v>406</v>
      </c>
      <c r="B9" s="38" t="s">
        <v>408</v>
      </c>
      <c r="D9" s="57" t="str">
        <f aca="false">IF(2_Daily_input!D26="","",2_Daily_input!D26)</f>
        <v/>
      </c>
      <c r="E9" s="57" t="str">
        <f aca="false">IF(2_Daily_input!E26="","",2_Daily_input!E26)</f>
        <v/>
      </c>
      <c r="F9" s="57" t="str">
        <f aca="false">IF(2_Daily_input!F26="","",2_Daily_input!F26)</f>
        <v/>
      </c>
      <c r="G9" s="57" t="str">
        <f aca="false">IF(2_Daily_input!G26="","",2_Daily_input!G26)</f>
        <v/>
      </c>
      <c r="H9" s="57" t="str">
        <f aca="false">IF(2_Daily_input!H26="","",2_Daily_input!H26)</f>
        <v/>
      </c>
      <c r="I9" s="57" t="str">
        <f aca="false">IF(2_Daily_input!I26="","",2_Daily_input!I26)</f>
        <v/>
      </c>
      <c r="J9" s="57" t="str">
        <f aca="false">IF(2_Daily_input!J26="","",2_Daily_input!J26)</f>
        <v/>
      </c>
      <c r="K9" s="57" t="str">
        <f aca="false">IF(2_Daily_input!K26="","",2_Daily_input!K26)</f>
        <v/>
      </c>
      <c r="L9" s="57" t="str">
        <f aca="false">IF(2_Daily_input!L26="","",2_Daily_input!L26)</f>
        <v/>
      </c>
      <c r="M9" s="57" t="str">
        <f aca="false">IF(2_Daily_input!M26="","",2_Daily_input!M26)</f>
        <v/>
      </c>
      <c r="N9" s="57" t="str">
        <f aca="false">IF(2_Daily_input!N26="","",2_Daily_input!N26)</f>
        <v/>
      </c>
      <c r="O9" s="57" t="str">
        <f aca="false">IF(2_Daily_input!O26="","",2_Daily_input!O26)</f>
        <v/>
      </c>
      <c r="P9" s="57" t="str">
        <f aca="false">IF(2_Daily_input!P26="","",2_Daily_input!P26)</f>
        <v/>
      </c>
      <c r="Q9" s="57" t="str">
        <f aca="false">IF(2_Daily_input!Q26="","",2_Daily_input!Q26)</f>
        <v/>
      </c>
      <c r="R9" s="57" t="str">
        <f aca="false">IF(2_Daily_input!R26="","",2_Daily_input!R26)</f>
        <v/>
      </c>
      <c r="S9" s="57" t="str">
        <f aca="false">IF(2_Daily_input!S26="","",2_Daily_input!S26)</f>
        <v/>
      </c>
      <c r="T9" s="57" t="str">
        <f aca="false">IF(2_Daily_input!T26="","",2_Daily_input!T26)</f>
        <v/>
      </c>
      <c r="U9" s="57" t="str">
        <f aca="false">IF(2_Daily_input!U26="","",2_Daily_input!U26)</f>
        <v/>
      </c>
      <c r="V9" s="57" t="str">
        <f aca="false">IF(2_Daily_input!V26="","",2_Daily_input!V26)</f>
        <v/>
      </c>
      <c r="W9" s="57" t="str">
        <f aca="false">IF(2_Daily_input!W26="","",2_Daily_input!W26)</f>
        <v/>
      </c>
      <c r="X9" s="57" t="str">
        <f aca="false">IF(2_Daily_input!X26="","",2_Daily_input!X26)</f>
        <v/>
      </c>
      <c r="Y9" s="57" t="str">
        <f aca="false">IF(2_Daily_input!Y26="","",2_Daily_input!Y26)</f>
        <v/>
      </c>
      <c r="Z9" s="57" t="str">
        <f aca="false">IF(2_Daily_input!Z26="","",2_Daily_input!Z26)</f>
        <v/>
      </c>
      <c r="AA9" s="57" t="str">
        <f aca="false">IF(2_Daily_input!AA26="","",2_Daily_input!AA26)</f>
        <v/>
      </c>
      <c r="AB9" s="57" t="str">
        <f aca="false">IF(2_Daily_input!AB26="","",2_Daily_input!AB26)</f>
        <v/>
      </c>
      <c r="AC9" s="57" t="str">
        <f aca="false">IF(2_Daily_input!AC26="","",2_Daily_input!AC26)</f>
        <v/>
      </c>
      <c r="AD9" s="57" t="str">
        <f aca="false">IF(2_Daily_input!AD26="","",2_Daily_input!AD26)</f>
        <v/>
      </c>
      <c r="AE9" s="57" t="str">
        <f aca="false">IF(2_Daily_input!AE26="","",2_Daily_input!AE26)</f>
        <v/>
      </c>
      <c r="AF9" s="57" t="str">
        <f aca="false">IF(2_Daily_input!AF26="","",2_Daily_input!AF26)</f>
        <v/>
      </c>
      <c r="AG9" s="57" t="str">
        <f aca="false">IF(2_Daily_input!AG26="","",2_Daily_input!AG26)</f>
        <v/>
      </c>
      <c r="AH9" s="57" t="str">
        <f aca="false">IF(2_Daily_input!AH26="","",2_Daily_input!AH26)</f>
        <v/>
      </c>
      <c r="AI9" s="57" t="str">
        <f aca="false">IF(2_Daily_input!AI26="","",2_Daily_input!AI26)</f>
        <v/>
      </c>
      <c r="AJ9" s="57" t="str">
        <f aca="false">IF(2_Daily_input!AJ26="","",2_Daily_input!AJ26)</f>
        <v/>
      </c>
      <c r="AK9" s="57" t="str">
        <f aca="false">IF(2_Daily_input!AK26="","",2_Daily_input!AK26)</f>
        <v/>
      </c>
      <c r="AL9" s="57" t="str">
        <f aca="false">IF(2_Daily_input!AL26="","",2_Daily_input!AL26)</f>
        <v/>
      </c>
      <c r="AM9" s="57" t="str">
        <f aca="false">IF(2_Daily_input!AM26="","",2_Daily_input!AM26)</f>
        <v/>
      </c>
      <c r="AN9" s="57" t="str">
        <f aca="false">IF(2_Daily_input!AN26="","",2_Daily_input!AN26)</f>
        <v/>
      </c>
      <c r="AO9" s="57" t="str">
        <f aca="false">IF(2_Daily_input!AO26="","",2_Daily_input!AO26)</f>
        <v/>
      </c>
      <c r="AP9" s="57" t="str">
        <f aca="false">IF(2_Daily_input!AP26="","",2_Daily_input!AP26)</f>
        <v/>
      </c>
      <c r="AQ9" s="57" t="str">
        <f aca="false">IF(2_Daily_input!AQ26="","",2_Daily_input!AQ26)</f>
        <v/>
      </c>
      <c r="AR9" s="57" t="str">
        <f aca="false">IF(2_Daily_input!AR26="","",2_Daily_input!AR26)</f>
        <v/>
      </c>
      <c r="AS9" s="57" t="str">
        <f aca="false">IF(2_Daily_input!AS26="","",2_Daily_input!AS26)</f>
        <v/>
      </c>
      <c r="AT9" s="57" t="str">
        <f aca="false">IF(2_Daily_input!AT26="","",2_Daily_input!AT26)</f>
        <v/>
      </c>
      <c r="AU9" s="57" t="str">
        <f aca="false">IF(2_Daily_input!AU26="","",2_Daily_input!AU26)</f>
        <v/>
      </c>
      <c r="AV9" s="57" t="str">
        <f aca="false">IF(2_Daily_input!AV26="","",2_Daily_input!AV26)</f>
        <v/>
      </c>
      <c r="AW9" s="57" t="str">
        <f aca="false">IF(2_Daily_input!AW26="","",2_Daily_input!AW26)</f>
        <v/>
      </c>
      <c r="AX9" s="57" t="str">
        <f aca="false">IF(2_Daily_input!AX26="","",2_Daily_input!AX26)</f>
        <v/>
      </c>
      <c r="AY9" s="57" t="str">
        <f aca="false">IF(2_Daily_input!AY26="","",2_Daily_input!AY26)</f>
        <v/>
      </c>
      <c r="AZ9" s="57" t="str">
        <f aca="false">IF(2_Daily_input!AZ26="","",2_Daily_input!AZ26)</f>
        <v/>
      </c>
      <c r="BA9" s="57" t="str">
        <f aca="false">IF(2_Daily_input!BA26="","",2_Daily_input!BA26)</f>
        <v/>
      </c>
      <c r="BB9" s="57" t="str">
        <f aca="false">IF(2_Daily_input!BB26="","",2_Daily_input!BB26)</f>
        <v/>
      </c>
      <c r="BC9" s="57" t="str">
        <f aca="false">IF(2_Daily_input!BC26="","",2_Daily_input!BC26)</f>
        <v/>
      </c>
      <c r="BD9" s="57" t="n">
        <f aca="false">IF(2_Daily_input!BD26="","",2_Daily_input!BD26)</f>
        <v>25</v>
      </c>
      <c r="BE9" s="57" t="n">
        <f aca="false">IF(2_Daily_input!BE26="","",2_Daily_input!BE26)</f>
        <v>25</v>
      </c>
      <c r="BF9" s="57" t="n">
        <f aca="false">IF(2_Daily_input!BF26="","",2_Daily_input!BF26)</f>
        <v>23</v>
      </c>
      <c r="BG9" s="57" t="n">
        <f aca="false">IF(2_Daily_input!BG26="","",2_Daily_input!BG26)</f>
        <v>20</v>
      </c>
      <c r="BH9" s="57" t="n">
        <f aca="false">IF(2_Daily_input!BH26="","",2_Daily_input!BH26)</f>
        <v>17</v>
      </c>
      <c r="BI9" s="57" t="n">
        <f aca="false">IF(2_Daily_input!BI26="","",2_Daily_input!BI26)</f>
        <v>23</v>
      </c>
      <c r="BJ9" s="57" t="n">
        <f aca="false">IF(2_Daily_input!BJ26="","",2_Daily_input!BJ26)</f>
        <v>22</v>
      </c>
      <c r="BK9" s="57" t="n">
        <f aca="false">IF(2_Daily_input!BK26="","",2_Daily_input!BK26)</f>
        <v>21</v>
      </c>
      <c r="BL9" s="57" t="n">
        <f aca="false">IF(2_Daily_input!BL26="","",2_Daily_input!BL26)</f>
        <v>23</v>
      </c>
      <c r="BM9" s="57" t="n">
        <f aca="false">IF(2_Daily_input!BM26="","",2_Daily_input!BM26)</f>
        <v>19</v>
      </c>
      <c r="BN9" s="57" t="n">
        <f aca="false">IF(2_Daily_input!BN26="","",2_Daily_input!BN26)</f>
        <v>24</v>
      </c>
      <c r="BO9" s="57" t="n">
        <f aca="false">IF(2_Daily_input!BO26="","",2_Daily_input!BO26)</f>
        <v>24</v>
      </c>
      <c r="BP9" s="57" t="n">
        <f aca="false">IF(2_Daily_input!BP26="","",2_Daily_input!BP26)</f>
        <v>24</v>
      </c>
      <c r="BQ9" s="57" t="n">
        <f aca="false">IF(2_Daily_input!BQ26="","",2_Daily_input!BQ26)</f>
        <v>23</v>
      </c>
      <c r="BR9" s="57" t="n">
        <f aca="false">IF(2_Daily_input!BR26="","",2_Daily_input!BR26)</f>
        <v>17</v>
      </c>
      <c r="BS9" s="57" t="n">
        <f aca="false">IF(2_Daily_input!BS26="","",2_Daily_input!BS26)</f>
        <v>24</v>
      </c>
      <c r="BT9" s="57" t="n">
        <f aca="false">IF(2_Daily_input!BT26="","",2_Daily_input!BT26)</f>
        <v>24</v>
      </c>
      <c r="BU9" s="57" t="n">
        <f aca="false">IF(2_Daily_input!BU26="","",2_Daily_input!BU26)</f>
        <v>23</v>
      </c>
      <c r="BV9" s="57" t="n">
        <f aca="false">IF(2_Daily_input!BV26="","",2_Daily_input!BV26)</f>
        <v>24</v>
      </c>
      <c r="BW9" s="57" t="n">
        <f aca="false">IF(2_Daily_input!BW26="","",2_Daily_input!BW26)</f>
        <v>21</v>
      </c>
      <c r="BX9" s="57" t="n">
        <f aca="false">IF(2_Daily_input!BX26="","",2_Daily_input!BX26)</f>
        <v>25</v>
      </c>
      <c r="BY9" s="57" t="n">
        <f aca="false">IF(2_Daily_input!BY26="","",2_Daily_input!BY26)</f>
        <v>19</v>
      </c>
      <c r="BZ9" s="57" t="n">
        <f aca="false">IF(2_Daily_input!BZ26="","",2_Daily_input!BZ26)</f>
        <v>25</v>
      </c>
      <c r="CA9" s="57" t="str">
        <f aca="false">IF(2_Daily_input!CA26="","",2_Daily_input!CA26)</f>
        <v/>
      </c>
      <c r="CB9" s="57" t="n">
        <f aca="false">IF(2_Daily_input!CB26="","",2_Daily_input!CB26)</f>
        <v>23</v>
      </c>
      <c r="CC9" s="57" t="n">
        <f aca="false">IF(2_Daily_input!CC26="","",2_Daily_input!CC26)</f>
        <v>24</v>
      </c>
      <c r="CD9" s="57" t="n">
        <f aca="false">IF(2_Daily_input!CD26="","",2_Daily_input!CD26)</f>
        <v>24</v>
      </c>
      <c r="CE9" s="57" t="n">
        <f aca="false">IF(2_Daily_input!CE26="","",2_Daily_input!CE26)</f>
        <v>20</v>
      </c>
      <c r="CF9" s="57" t="n">
        <f aca="false">IF(2_Daily_input!CF26="","",2_Daily_input!CF26)</f>
        <v>18</v>
      </c>
      <c r="CG9" s="57" t="n">
        <f aca="false">IF(2_Daily_input!CG26="","",2_Daily_input!CG26)</f>
        <v>21</v>
      </c>
      <c r="CH9" s="57" t="n">
        <f aca="false">IF(2_Daily_input!CH26="","",2_Daily_input!CH26)</f>
        <v>21</v>
      </c>
      <c r="CI9" s="57" t="n">
        <f aca="false">IF(2_Daily_input!CI26="","",2_Daily_input!CI26)</f>
        <v>25</v>
      </c>
      <c r="CJ9" s="57" t="n">
        <f aca="false">IF(2_Daily_input!CJ26="","",2_Daily_input!CJ26)</f>
        <v>28</v>
      </c>
      <c r="CK9" s="57" t="n">
        <f aca="false">IF(2_Daily_input!CK26="","",2_Daily_input!CK26)</f>
        <v>24</v>
      </c>
      <c r="CL9" s="57" t="n">
        <f aca="false">IF(2_Daily_input!CL26="","",2_Daily_input!CL26)</f>
        <v>24</v>
      </c>
      <c r="CM9" s="57" t="n">
        <f aca="false">IF(2_Daily_input!CM26="","",2_Daily_input!CM26)</f>
        <v>23</v>
      </c>
      <c r="CN9" s="57" t="n">
        <f aca="false">IF(2_Daily_input!CN26="","",2_Daily_input!CN26)</f>
        <v>27</v>
      </c>
      <c r="CO9" s="57" t="n">
        <f aca="false">IF(2_Daily_input!CO26="","",2_Daily_input!CO26)</f>
        <v>28</v>
      </c>
      <c r="CP9" s="57" t="n">
        <f aca="false">IF(2_Daily_input!CP26="","",2_Daily_input!CP26)</f>
        <v>21</v>
      </c>
      <c r="CQ9" s="57" t="n">
        <f aca="false">IF(2_Daily_input!CQ26="","",2_Daily_input!CQ26)</f>
        <v>21</v>
      </c>
      <c r="CR9" s="57" t="n">
        <f aca="false">IF(2_Daily_input!CR26="","",2_Daily_input!CR26)</f>
        <v>22</v>
      </c>
      <c r="CS9" s="57" t="n">
        <f aca="false">IF(2_Daily_input!CS26="","",2_Daily_input!CS26)</f>
        <v>26</v>
      </c>
      <c r="CT9" s="57" t="n">
        <f aca="false">IF(2_Daily_input!CT26="","",2_Daily_input!CT26)</f>
        <v>30</v>
      </c>
      <c r="CU9" s="57" t="n">
        <f aca="false">IF(2_Daily_input!CU26="","",2_Daily_input!CU26)</f>
        <v>31</v>
      </c>
      <c r="CV9" s="57" t="n">
        <f aca="false">IF(2_Daily_input!CV26="","",2_Daily_input!CV26)</f>
        <v>24</v>
      </c>
      <c r="CW9" s="57" t="n">
        <f aca="false">IF(2_Daily_input!CW26="","",2_Daily_input!CW26)</f>
        <v>28</v>
      </c>
      <c r="CX9" s="57" t="n">
        <f aca="false">IF(2_Daily_input!CX26="","",2_Daily_input!CX26)</f>
        <v>29</v>
      </c>
      <c r="CY9" s="57" t="n">
        <f aca="false">IF(2_Daily_input!CY26="","",2_Daily_input!CY26)</f>
        <v>31</v>
      </c>
      <c r="CZ9" s="57" t="n">
        <f aca="false">IF(2_Daily_input!CZ26="","",2_Daily_input!CZ26)</f>
        <v>29</v>
      </c>
      <c r="DA9" s="57" t="n">
        <f aca="false">IF(2_Daily_input!DA26="","",2_Daily_input!DA26)</f>
        <v>29</v>
      </c>
      <c r="DB9" s="57" t="n">
        <f aca="false">IF(2_Daily_input!DB26="","",2_Daily_input!DB26)</f>
        <v>31</v>
      </c>
      <c r="DC9" s="57" t="n">
        <f aca="false">IF(2_Daily_input!DC26="","",2_Daily_input!DC26)</f>
        <v>28</v>
      </c>
      <c r="DD9" s="57" t="n">
        <f aca="false">IF(2_Daily_input!DD26="","",2_Daily_input!DD26)</f>
        <v>31</v>
      </c>
      <c r="DE9" s="57" t="n">
        <f aca="false">IF(2_Daily_input!DE26="","",2_Daily_input!DE26)</f>
        <v>33</v>
      </c>
      <c r="DF9" s="57" t="n">
        <f aca="false">IF(2_Daily_input!DF26="","",2_Daily_input!DF26)</f>
        <v>26</v>
      </c>
      <c r="DG9" s="57" t="n">
        <f aca="false">IF(2_Daily_input!DG26="","",2_Daily_input!DG26)</f>
        <v>32</v>
      </c>
      <c r="DH9" s="57" t="n">
        <f aca="false">IF(2_Daily_input!DH26="","",2_Daily_input!DH26)</f>
        <v>33</v>
      </c>
      <c r="DI9" s="57" t="n">
        <f aca="false">IF(2_Daily_input!DI26="","",2_Daily_input!DI26)</f>
        <v>31</v>
      </c>
      <c r="DJ9" s="57" t="n">
        <f aca="false">IF(2_Daily_input!DJ26="","",2_Daily_input!DJ26)</f>
        <v>29</v>
      </c>
      <c r="DK9" s="57" t="n">
        <f aca="false">IF(2_Daily_input!DK26="","",2_Daily_input!DK26)</f>
        <v>31</v>
      </c>
      <c r="DL9" s="57" t="str">
        <f aca="false">IF(2_Daily_input!DL26="","",2_Daily_input!DL26)</f>
        <v/>
      </c>
      <c r="DM9" s="57" t="n">
        <f aca="false">IF(2_Daily_input!DM26="","",2_Daily_input!DM26)</f>
        <v>23</v>
      </c>
      <c r="DN9" s="57" t="n">
        <f aca="false">IF(2_Daily_input!DN26="","",2_Daily_input!DN26)</f>
        <v>28</v>
      </c>
      <c r="DO9" s="57" t="n">
        <f aca="false">IF(2_Daily_input!DO26="","",2_Daily_input!DO26)</f>
        <v>31</v>
      </c>
      <c r="DP9" s="57" t="n">
        <f aca="false">IF(2_Daily_input!DP26="","",2_Daily_input!DP26)</f>
        <v>28</v>
      </c>
      <c r="DQ9" s="57" t="n">
        <f aca="false">IF(2_Daily_input!DQ26="","",2_Daily_input!DQ26)</f>
        <v>32</v>
      </c>
      <c r="DR9" s="57" t="n">
        <f aca="false">IF(2_Daily_input!DR26="","",2_Daily_input!DR26)</f>
        <v>24</v>
      </c>
      <c r="DS9" s="57" t="n">
        <f aca="false">IF(2_Daily_input!DS26="","",2_Daily_input!DS26)</f>
        <v>23</v>
      </c>
      <c r="DT9" s="57" t="n">
        <f aca="false">IF(2_Daily_input!DT26="","",2_Daily_input!DT26)</f>
        <v>22</v>
      </c>
      <c r="DU9" s="57" t="n">
        <f aca="false">IF(2_Daily_input!DU26="","",2_Daily_input!DU26)</f>
        <v>32</v>
      </c>
      <c r="DV9" s="57" t="n">
        <f aca="false">IF(2_Daily_input!DV26="","",2_Daily_input!DV26)</f>
        <v>29</v>
      </c>
      <c r="DW9" s="57" t="n">
        <f aca="false">IF(2_Daily_input!DW26="","",2_Daily_input!DW26)</f>
        <v>28</v>
      </c>
      <c r="DX9" s="57" t="n">
        <f aca="false">IF(2_Daily_input!DX26="","",2_Daily_input!DX26)</f>
        <v>34</v>
      </c>
      <c r="DY9" s="57" t="n">
        <f aca="false">IF(2_Daily_input!DY26="","",2_Daily_input!DY26)</f>
        <v>37</v>
      </c>
      <c r="DZ9" s="57" t="n">
        <f aca="false">IF(2_Daily_input!DZ26="","",2_Daily_input!DZ26)</f>
        <v>36</v>
      </c>
      <c r="EA9" s="57" t="n">
        <f aca="false">IF(2_Daily_input!EA26="","",2_Daily_input!EA26)</f>
        <v>34</v>
      </c>
      <c r="EB9" s="57" t="n">
        <f aca="false">IF(2_Daily_input!EB26="","",2_Daily_input!EB26)</f>
        <v>33</v>
      </c>
      <c r="EC9" s="57" t="n">
        <f aca="false">IF(2_Daily_input!EC26="","",2_Daily_input!EC26)</f>
        <v>31</v>
      </c>
      <c r="ED9" s="57" t="n">
        <f aca="false">IF(2_Daily_input!ED26="","",2_Daily_input!ED26)</f>
        <v>29</v>
      </c>
      <c r="EE9" s="57" t="n">
        <f aca="false">IF(2_Daily_input!EE26="","",2_Daily_input!EE26)</f>
        <v>24</v>
      </c>
      <c r="EF9" s="57" t="n">
        <f aca="false">IF(2_Daily_input!EF26="","",2_Daily_input!EF26)</f>
        <v>31</v>
      </c>
      <c r="EG9" s="57" t="n">
        <f aca="false">IF(2_Daily_input!EG26="","",2_Daily_input!EG26)</f>
        <v>32</v>
      </c>
      <c r="EH9" s="57" t="n">
        <f aca="false">IF(2_Daily_input!EH26="","",2_Daily_input!EH26)</f>
        <v>33</v>
      </c>
      <c r="EI9" s="57" t="n">
        <f aca="false">IF(2_Daily_input!EI26="","",2_Daily_input!EI26)</f>
        <v>34</v>
      </c>
      <c r="EJ9" s="57" t="n">
        <f aca="false">IF(2_Daily_input!EJ26="","",2_Daily_input!EJ26)</f>
        <v>35</v>
      </c>
      <c r="EK9" s="57" t="n">
        <f aca="false">IF(2_Daily_input!EK26="","",2_Daily_input!EK26)</f>
        <v>35</v>
      </c>
      <c r="EL9" s="57" t="n">
        <f aca="false">IF(2_Daily_input!EL26="","",2_Daily_input!EL26)</f>
        <v>33</v>
      </c>
      <c r="EM9" s="57" t="n">
        <f aca="false">IF(2_Daily_input!EM26="","",2_Daily_input!EM26)</f>
        <v>31</v>
      </c>
      <c r="EN9" s="57" t="n">
        <f aca="false">IF(2_Daily_input!EN26="","",2_Daily_input!EN26)</f>
        <v>34</v>
      </c>
      <c r="EO9" s="57" t="n">
        <f aca="false">IF(2_Daily_input!EO26="","",2_Daily_input!EO26)</f>
        <v>35</v>
      </c>
      <c r="EP9" s="57" t="n">
        <f aca="false">IF(2_Daily_input!EP26="","",2_Daily_input!EP26)</f>
        <v>37</v>
      </c>
      <c r="EQ9" s="57" t="n">
        <f aca="false">IF(2_Daily_input!EQ26="","",2_Daily_input!EQ26)</f>
        <v>36</v>
      </c>
      <c r="ER9" s="57" t="n">
        <f aca="false">IF(2_Daily_input!ER26="","",2_Daily_input!ER26)</f>
        <v>36</v>
      </c>
      <c r="ES9" s="57" t="n">
        <f aca="false">IF(2_Daily_input!ES26="","",2_Daily_input!ES26)</f>
        <v>37</v>
      </c>
      <c r="ET9" s="57" t="n">
        <f aca="false">IF(2_Daily_input!ET26="","",2_Daily_input!ET26)</f>
        <v>32</v>
      </c>
      <c r="EU9" s="57" t="str">
        <f aca="false">IF(2_Daily_input!EU26="","",2_Daily_input!EU26)</f>
        <v/>
      </c>
      <c r="EV9" s="57" t="str">
        <f aca="false">IF(2_Daily_input!EV26="","",2_Daily_input!EV26)</f>
        <v/>
      </c>
      <c r="EW9" s="57" t="str">
        <f aca="false">IF(2_Daily_input!EW26="","",2_Daily_input!EW26)</f>
        <v/>
      </c>
      <c r="EX9" s="57" t="str">
        <f aca="false">IF(2_Daily_input!EX26="","",2_Daily_input!EX26)</f>
        <v/>
      </c>
      <c r="EY9" s="57" t="str">
        <f aca="false">IF(2_Daily_input!EY26="","",2_Daily_input!EY26)</f>
        <v/>
      </c>
      <c r="EZ9" s="57" t="str">
        <f aca="false">IF(2_Daily_input!EZ26="","",2_Daily_input!EZ26)</f>
        <v/>
      </c>
      <c r="FA9" s="57" t="str">
        <f aca="false">IF(2_Daily_input!FA26="","",2_Daily_input!FA26)</f>
        <v/>
      </c>
      <c r="FB9" s="57" t="str">
        <f aca="false">IF(2_Daily_input!FB26="","",2_Daily_input!FB26)</f>
        <v/>
      </c>
      <c r="FC9" s="57" t="str">
        <f aca="false">IF(2_Daily_input!FC26="","",2_Daily_input!FC26)</f>
        <v/>
      </c>
      <c r="FD9" s="57" t="str">
        <f aca="false">IF(2_Daily_input!FD26="","",2_Daily_input!FD26)</f>
        <v/>
      </c>
      <c r="FE9" s="57" t="str">
        <f aca="false">IF(2_Daily_input!FE26="","",2_Daily_input!FE26)</f>
        <v/>
      </c>
      <c r="FF9" s="57" t="str">
        <f aca="false">IF(2_Daily_input!FF26="","",2_Daily_input!FF26)</f>
        <v/>
      </c>
      <c r="FG9" s="57" t="str">
        <f aca="false">IF(2_Daily_input!FG26="","",2_Daily_input!FG26)</f>
        <v/>
      </c>
      <c r="FH9" s="57" t="str">
        <f aca="false">IF(2_Daily_input!FH26="","",2_Daily_input!FH26)</f>
        <v/>
      </c>
      <c r="FI9" s="57" t="str">
        <f aca="false">IF(2_Daily_input!FI26="","",2_Daily_input!FI26)</f>
        <v/>
      </c>
      <c r="FJ9" s="57" t="str">
        <f aca="false">IF(2_Daily_input!FJ26="","",2_Daily_input!FJ26)</f>
        <v/>
      </c>
      <c r="FK9" s="57" t="str">
        <f aca="false">IF(2_Daily_input!FK26="","",2_Daily_input!FK26)</f>
        <v/>
      </c>
      <c r="FL9" s="57" t="str">
        <f aca="false">IF(2_Daily_input!FL26="","",2_Daily_input!FL26)</f>
        <v/>
      </c>
      <c r="FM9" s="57" t="str">
        <f aca="false">IF(2_Daily_input!FM26="","",2_Daily_input!FM26)</f>
        <v/>
      </c>
      <c r="FN9" s="57" t="str">
        <f aca="false">IF(2_Daily_input!FN26="","",2_Daily_input!FN26)</f>
        <v/>
      </c>
      <c r="FO9" s="57" t="str">
        <f aca="false">IF(2_Daily_input!FO26="","",2_Daily_input!FO26)</f>
        <v/>
      </c>
      <c r="FP9" s="57" t="str">
        <f aca="false">IF(2_Daily_input!FP26="","",2_Daily_input!FP26)</f>
        <v/>
      </c>
      <c r="FQ9" s="57" t="str">
        <f aca="false">IF(2_Daily_input!FQ26="","",2_Daily_input!FQ26)</f>
        <v/>
      </c>
    </row>
    <row r="10" customFormat="false" ht="15" hidden="false" customHeight="false" outlineLevel="0" collapsed="false">
      <c r="A10" s="37" t="s">
        <v>406</v>
      </c>
      <c r="B10" s="38" t="s">
        <v>409</v>
      </c>
      <c r="D10" s="57" t="str">
        <f aca="false">IF(2_Daily_input!D27="","",2_Daily_input!D27)</f>
        <v/>
      </c>
      <c r="E10" s="57" t="str">
        <f aca="false">IF(2_Daily_input!E27="","",2_Daily_input!E27)</f>
        <v/>
      </c>
      <c r="F10" s="57" t="str">
        <f aca="false">IF(2_Daily_input!F27="","",2_Daily_input!F27)</f>
        <v/>
      </c>
      <c r="G10" s="57" t="str">
        <f aca="false">IF(2_Daily_input!G27="","",2_Daily_input!G27)</f>
        <v/>
      </c>
      <c r="H10" s="57" t="str">
        <f aca="false">IF(2_Daily_input!H27="","",2_Daily_input!H27)</f>
        <v/>
      </c>
      <c r="I10" s="57" t="str">
        <f aca="false">IF(2_Daily_input!I27="","",2_Daily_input!I27)</f>
        <v/>
      </c>
      <c r="J10" s="57" t="str">
        <f aca="false">IF(2_Daily_input!J27="","",2_Daily_input!J27)</f>
        <v/>
      </c>
      <c r="K10" s="57" t="str">
        <f aca="false">IF(2_Daily_input!K27="","",2_Daily_input!K27)</f>
        <v/>
      </c>
      <c r="L10" s="57" t="str">
        <f aca="false">IF(2_Daily_input!L27="","",2_Daily_input!L27)</f>
        <v/>
      </c>
      <c r="M10" s="57" t="str">
        <f aca="false">IF(2_Daily_input!M27="","",2_Daily_input!M27)</f>
        <v/>
      </c>
      <c r="N10" s="57" t="str">
        <f aca="false">IF(2_Daily_input!N27="","",2_Daily_input!N27)</f>
        <v/>
      </c>
      <c r="O10" s="57" t="str">
        <f aca="false">IF(2_Daily_input!O27="","",2_Daily_input!O27)</f>
        <v/>
      </c>
      <c r="P10" s="57" t="str">
        <f aca="false">IF(2_Daily_input!P27="","",2_Daily_input!P27)</f>
        <v/>
      </c>
      <c r="Q10" s="57" t="str">
        <f aca="false">IF(2_Daily_input!Q27="","",2_Daily_input!Q27)</f>
        <v/>
      </c>
      <c r="R10" s="57" t="str">
        <f aca="false">IF(2_Daily_input!R27="","",2_Daily_input!R27)</f>
        <v/>
      </c>
      <c r="S10" s="57" t="str">
        <f aca="false">IF(2_Daily_input!S27="","",2_Daily_input!S27)</f>
        <v/>
      </c>
      <c r="T10" s="57" t="str">
        <f aca="false">IF(2_Daily_input!T27="","",2_Daily_input!T27)</f>
        <v/>
      </c>
      <c r="U10" s="57" t="str">
        <f aca="false">IF(2_Daily_input!U27="","",2_Daily_input!U27)</f>
        <v/>
      </c>
      <c r="V10" s="57" t="str">
        <f aca="false">IF(2_Daily_input!V27="","",2_Daily_input!V27)</f>
        <v/>
      </c>
      <c r="W10" s="57" t="str">
        <f aca="false">IF(2_Daily_input!W27="","",2_Daily_input!W27)</f>
        <v/>
      </c>
      <c r="X10" s="57" t="str">
        <f aca="false">IF(2_Daily_input!X27="","",2_Daily_input!X27)</f>
        <v/>
      </c>
      <c r="Y10" s="57" t="str">
        <f aca="false">IF(2_Daily_input!Y27="","",2_Daily_input!Y27)</f>
        <v/>
      </c>
      <c r="Z10" s="57" t="str">
        <f aca="false">IF(2_Daily_input!Z27="","",2_Daily_input!Z27)</f>
        <v/>
      </c>
      <c r="AA10" s="57" t="str">
        <f aca="false">IF(2_Daily_input!AA27="","",2_Daily_input!AA27)</f>
        <v/>
      </c>
      <c r="AB10" s="57" t="str">
        <f aca="false">IF(2_Daily_input!AB27="","",2_Daily_input!AB27)</f>
        <v/>
      </c>
      <c r="AC10" s="57" t="str">
        <f aca="false">IF(2_Daily_input!AC27="","",2_Daily_input!AC27)</f>
        <v/>
      </c>
      <c r="AD10" s="57" t="str">
        <f aca="false">IF(2_Daily_input!AD27="","",2_Daily_input!AD27)</f>
        <v/>
      </c>
      <c r="AE10" s="57" t="str">
        <f aca="false">IF(2_Daily_input!AE27="","",2_Daily_input!AE27)</f>
        <v/>
      </c>
      <c r="AF10" s="57" t="str">
        <f aca="false">IF(2_Daily_input!AF27="","",2_Daily_input!AF27)</f>
        <v/>
      </c>
      <c r="AG10" s="57" t="str">
        <f aca="false">IF(2_Daily_input!AG27="","",2_Daily_input!AG27)</f>
        <v/>
      </c>
      <c r="AH10" s="57" t="str">
        <f aca="false">IF(2_Daily_input!AH27="","",2_Daily_input!AH27)</f>
        <v/>
      </c>
      <c r="AI10" s="57" t="str">
        <f aca="false">IF(2_Daily_input!AI27="","",2_Daily_input!AI27)</f>
        <v/>
      </c>
      <c r="AJ10" s="57" t="str">
        <f aca="false">IF(2_Daily_input!AJ27="","",2_Daily_input!AJ27)</f>
        <v/>
      </c>
      <c r="AK10" s="57" t="str">
        <f aca="false">IF(2_Daily_input!AK27="","",2_Daily_input!AK27)</f>
        <v/>
      </c>
      <c r="AL10" s="57" t="str">
        <f aca="false">IF(2_Daily_input!AL27="","",2_Daily_input!AL27)</f>
        <v/>
      </c>
      <c r="AM10" s="57" t="str">
        <f aca="false">IF(2_Daily_input!AM27="","",2_Daily_input!AM27)</f>
        <v/>
      </c>
      <c r="AN10" s="57" t="str">
        <f aca="false">IF(2_Daily_input!AN27="","",2_Daily_input!AN27)</f>
        <v/>
      </c>
      <c r="AO10" s="57" t="str">
        <f aca="false">IF(2_Daily_input!AO27="","",2_Daily_input!AO27)</f>
        <v/>
      </c>
      <c r="AP10" s="57" t="str">
        <f aca="false">IF(2_Daily_input!AP27="","",2_Daily_input!AP27)</f>
        <v/>
      </c>
      <c r="AQ10" s="57" t="str">
        <f aca="false">IF(2_Daily_input!AQ27="","",2_Daily_input!AQ27)</f>
        <v/>
      </c>
      <c r="AR10" s="57" t="str">
        <f aca="false">IF(2_Daily_input!AR27="","",2_Daily_input!AR27)</f>
        <v/>
      </c>
      <c r="AS10" s="57" t="str">
        <f aca="false">IF(2_Daily_input!AS27="","",2_Daily_input!AS27)</f>
        <v/>
      </c>
      <c r="AT10" s="57" t="str">
        <f aca="false">IF(2_Daily_input!AT27="","",2_Daily_input!AT27)</f>
        <v/>
      </c>
      <c r="AU10" s="57" t="str">
        <f aca="false">IF(2_Daily_input!AU27="","",2_Daily_input!AU27)</f>
        <v/>
      </c>
      <c r="AV10" s="57" t="str">
        <f aca="false">IF(2_Daily_input!AV27="","",2_Daily_input!AV27)</f>
        <v/>
      </c>
      <c r="AW10" s="57" t="str">
        <f aca="false">IF(2_Daily_input!AW27="","",2_Daily_input!AW27)</f>
        <v/>
      </c>
      <c r="AX10" s="57" t="str">
        <f aca="false">IF(2_Daily_input!AX27="","",2_Daily_input!AX27)</f>
        <v/>
      </c>
      <c r="AY10" s="57" t="str">
        <f aca="false">IF(2_Daily_input!AY27="","",2_Daily_input!AY27)</f>
        <v/>
      </c>
      <c r="AZ10" s="57" t="str">
        <f aca="false">IF(2_Daily_input!AZ27="","",2_Daily_input!AZ27)</f>
        <v/>
      </c>
      <c r="BA10" s="57" t="str">
        <f aca="false">IF(2_Daily_input!BA27="","",2_Daily_input!BA27)</f>
        <v/>
      </c>
      <c r="BB10" s="57" t="str">
        <f aca="false">IF(2_Daily_input!BB27="","",2_Daily_input!BB27)</f>
        <v/>
      </c>
      <c r="BC10" s="57" t="str">
        <f aca="false">IF(2_Daily_input!BC27="","",2_Daily_input!BC27)</f>
        <v/>
      </c>
      <c r="BD10" s="57" t="n">
        <f aca="false">IF(2_Daily_input!BD27="","",2_Daily_input!BD27)</f>
        <v>49</v>
      </c>
      <c r="BE10" s="57" t="n">
        <f aca="false">IF(2_Daily_input!BE27="","",2_Daily_input!BE27)</f>
        <v>53</v>
      </c>
      <c r="BF10" s="57" t="n">
        <f aca="false">IF(2_Daily_input!BF27="","",2_Daily_input!BF27)</f>
        <v>51</v>
      </c>
      <c r="BG10" s="57" t="n">
        <f aca="false">IF(2_Daily_input!BG27="","",2_Daily_input!BG27)</f>
        <v>66</v>
      </c>
      <c r="BH10" s="57" t="n">
        <f aca="false">IF(2_Daily_input!BH27="","",2_Daily_input!BH27)</f>
        <v>85</v>
      </c>
      <c r="BI10" s="57" t="n">
        <f aca="false">IF(2_Daily_input!BI27="","",2_Daily_input!BI27)</f>
        <v>60</v>
      </c>
      <c r="BJ10" s="57" t="n">
        <f aca="false">IF(2_Daily_input!BJ27="","",2_Daily_input!BJ27)</f>
        <v>67</v>
      </c>
      <c r="BK10" s="57" t="n">
        <f aca="false">IF(2_Daily_input!BK27="","",2_Daily_input!BK27)</f>
        <v>64</v>
      </c>
      <c r="BL10" s="57" t="n">
        <f aca="false">IF(2_Daily_input!BL27="","",2_Daily_input!BL27)</f>
        <v>61</v>
      </c>
      <c r="BM10" s="57" t="n">
        <f aca="false">IF(2_Daily_input!BM27="","",2_Daily_input!BM27)</f>
        <v>76</v>
      </c>
      <c r="BN10" s="57" t="n">
        <f aca="false">IF(2_Daily_input!BN27="","",2_Daily_input!BN27)</f>
        <v>55</v>
      </c>
      <c r="BO10" s="57" t="n">
        <f aca="false">IF(2_Daily_input!BO27="","",2_Daily_input!BO27)</f>
        <v>55</v>
      </c>
      <c r="BP10" s="57" t="n">
        <f aca="false">IF(2_Daily_input!BP27="","",2_Daily_input!BP27)</f>
        <v>44</v>
      </c>
      <c r="BQ10" s="57" t="n">
        <f aca="false">IF(2_Daily_input!BQ27="","",2_Daily_input!BQ27)</f>
        <v>58</v>
      </c>
      <c r="BR10" s="57" t="n">
        <f aca="false">IF(2_Daily_input!BR27="","",2_Daily_input!BR27)</f>
        <v>85</v>
      </c>
      <c r="BS10" s="57" t="n">
        <f aca="false">IF(2_Daily_input!BS27="","",2_Daily_input!BS27)</f>
        <v>65</v>
      </c>
      <c r="BT10" s="57" t="n">
        <f aca="false">IF(2_Daily_input!BT27="","",2_Daily_input!BT27)</f>
        <v>52</v>
      </c>
      <c r="BU10" s="57" t="n">
        <f aca="false">IF(2_Daily_input!BU27="","",2_Daily_input!BU27)</f>
        <v>42</v>
      </c>
      <c r="BV10" s="57" t="n">
        <f aca="false">IF(2_Daily_input!BV27="","",2_Daily_input!BV27)</f>
        <v>45</v>
      </c>
      <c r="BW10" s="57" t="n">
        <f aca="false">IF(2_Daily_input!BW27="","",2_Daily_input!BW27)</f>
        <v>65</v>
      </c>
      <c r="BX10" s="57" t="n">
        <f aca="false">IF(2_Daily_input!BX27="","",2_Daily_input!BX27)</f>
        <v>45</v>
      </c>
      <c r="BY10" s="57" t="n">
        <f aca="false">IF(2_Daily_input!BY27="","",2_Daily_input!BY27)</f>
        <v>72</v>
      </c>
      <c r="BZ10" s="57" t="n">
        <f aca="false">IF(2_Daily_input!BZ27="","",2_Daily_input!BZ27)</f>
        <v>52</v>
      </c>
      <c r="CA10" s="57" t="str">
        <f aca="false">IF(2_Daily_input!CA27="","",2_Daily_input!CA27)</f>
        <v/>
      </c>
      <c r="CB10" s="57" t="n">
        <f aca="false">IF(2_Daily_input!CB27="","",2_Daily_input!CB27)</f>
        <v>51</v>
      </c>
      <c r="CC10" s="57" t="n">
        <f aca="false">IF(2_Daily_input!CC27="","",2_Daily_input!CC27)</f>
        <v>49</v>
      </c>
      <c r="CD10" s="57" t="n">
        <f aca="false">IF(2_Daily_input!CD27="","",2_Daily_input!CD27)</f>
        <v>49</v>
      </c>
      <c r="CE10" s="57" t="n">
        <f aca="false">IF(2_Daily_input!CE27="","",2_Daily_input!CE27)</f>
        <v>70</v>
      </c>
      <c r="CF10" s="57" t="n">
        <f aca="false">IF(2_Daily_input!CF27="","",2_Daily_input!CF27)</f>
        <v>76</v>
      </c>
      <c r="CG10" s="57" t="n">
        <f aca="false">IF(2_Daily_input!CG27="","",2_Daily_input!CG27)</f>
        <v>73</v>
      </c>
      <c r="CH10" s="57" t="n">
        <f aca="false">IF(2_Daily_input!CH27="","",2_Daily_input!CH27)</f>
        <v>69</v>
      </c>
      <c r="CI10" s="57" t="n">
        <f aca="false">IF(2_Daily_input!CI27="","",2_Daily_input!CI27)</f>
        <v>58</v>
      </c>
      <c r="CJ10" s="57" t="n">
        <f aca="false">IF(2_Daily_input!CJ27="","",2_Daily_input!CJ27)</f>
        <v>48</v>
      </c>
      <c r="CK10" s="57" t="n">
        <f aca="false">IF(2_Daily_input!CK27="","",2_Daily_input!CK27)</f>
        <v>65</v>
      </c>
      <c r="CL10" s="57" t="n">
        <f aca="false">IF(2_Daily_input!CL27="","",2_Daily_input!CL27)</f>
        <v>70</v>
      </c>
      <c r="CM10" s="57" t="n">
        <f aca="false">IF(2_Daily_input!CM27="","",2_Daily_input!CM27)</f>
        <v>72</v>
      </c>
      <c r="CN10" s="57" t="n">
        <f aca="false">IF(2_Daily_input!CN27="","",2_Daily_input!CN27)</f>
        <v>62</v>
      </c>
      <c r="CO10" s="57" t="n">
        <f aca="false">IF(2_Daily_input!CO27="","",2_Daily_input!CO27)</f>
        <v>45</v>
      </c>
      <c r="CP10" s="57" t="n">
        <f aca="false">IF(2_Daily_input!CP27="","",2_Daily_input!CP27)</f>
        <v>76</v>
      </c>
      <c r="CQ10" s="57" t="n">
        <f aca="false">IF(2_Daily_input!CQ27="","",2_Daily_input!CQ27)</f>
        <v>76</v>
      </c>
      <c r="CR10" s="57" t="n">
        <f aca="false">IF(2_Daily_input!CR27="","",2_Daily_input!CR27)</f>
        <v>97</v>
      </c>
      <c r="CS10" s="57" t="n">
        <f aca="false">IF(2_Daily_input!CS27="","",2_Daily_input!CS27)</f>
        <v>91</v>
      </c>
      <c r="CT10" s="57" t="n">
        <f aca="false">IF(2_Daily_input!CT27="","",2_Daily_input!CT27)</f>
        <v>31</v>
      </c>
      <c r="CU10" s="57" t="n">
        <f aca="false">IF(2_Daily_input!CU27="","",2_Daily_input!CU27)</f>
        <v>29</v>
      </c>
      <c r="CV10" s="57" t="n">
        <f aca="false">IF(2_Daily_input!CV27="","",2_Daily_input!CV27)</f>
        <v>50</v>
      </c>
      <c r="CW10" s="57" t="n">
        <f aca="false">IF(2_Daily_input!CW27="","",2_Daily_input!CW27)</f>
        <v>59</v>
      </c>
      <c r="CX10" s="57" t="n">
        <f aca="false">IF(2_Daily_input!CX27="","",2_Daily_input!CX27)</f>
        <v>49</v>
      </c>
      <c r="CY10" s="57" t="n">
        <f aca="false">IF(2_Daily_input!CY27="","",2_Daily_input!CY27)</f>
        <v>46</v>
      </c>
      <c r="CZ10" s="57" t="n">
        <f aca="false">IF(2_Daily_input!CZ27="","",2_Daily_input!CZ27)</f>
        <v>58</v>
      </c>
      <c r="DA10" s="57" t="n">
        <f aca="false">IF(2_Daily_input!DA27="","",2_Daily_input!DA27)</f>
        <v>59</v>
      </c>
      <c r="DB10" s="57" t="n">
        <f aca="false">IF(2_Daily_input!DB27="","",2_Daily_input!DB27)</f>
        <v>54</v>
      </c>
      <c r="DC10" s="57" t="n">
        <f aca="false">IF(2_Daily_input!DC27="","",2_Daily_input!DC27)</f>
        <v>65</v>
      </c>
      <c r="DD10" s="57" t="n">
        <f aca="false">IF(2_Daily_input!DD27="","",2_Daily_input!DD27)</f>
        <v>65</v>
      </c>
      <c r="DE10" s="57" t="n">
        <f aca="false">IF(2_Daily_input!DE27="","",2_Daily_input!DE27)</f>
        <v>44</v>
      </c>
      <c r="DF10" s="57" t="n">
        <f aca="false">IF(2_Daily_input!DF27="","",2_Daily_input!DF27)</f>
        <v>78</v>
      </c>
      <c r="DG10" s="57" t="n">
        <f aca="false">IF(2_Daily_input!DG27="","",2_Daily_input!DG27)</f>
        <v>55</v>
      </c>
      <c r="DH10" s="57" t="n">
        <f aca="false">IF(2_Daily_input!DH27="","",2_Daily_input!DH27)</f>
        <v>42</v>
      </c>
      <c r="DI10" s="57" t="n">
        <f aca="false">IF(2_Daily_input!DI27="","",2_Daily_input!DI27)</f>
        <v>60</v>
      </c>
      <c r="DJ10" s="57" t="n">
        <f aca="false">IF(2_Daily_input!DJ27="","",2_Daily_input!DJ27)</f>
        <v>64</v>
      </c>
      <c r="DK10" s="57" t="n">
        <f aca="false">IF(2_Daily_input!DK27="","",2_Daily_input!DK27)</f>
        <v>54</v>
      </c>
      <c r="DL10" s="57" t="str">
        <f aca="false">IF(2_Daily_input!DL27="","",2_Daily_input!DL27)</f>
        <v/>
      </c>
      <c r="DM10" s="57" t="n">
        <f aca="false">IF(2_Daily_input!DM27="","",2_Daily_input!DM27)</f>
        <v>69</v>
      </c>
      <c r="DN10" s="57" t="n">
        <f aca="false">IF(2_Daily_input!DN27="","",2_Daily_input!DN27)</f>
        <v>49</v>
      </c>
      <c r="DO10" s="57" t="n">
        <f aca="false">IF(2_Daily_input!DO27="","",2_Daily_input!DO27)</f>
        <v>47</v>
      </c>
      <c r="DP10" s="57" t="n">
        <f aca="false">IF(2_Daily_input!DP27="","",2_Daily_input!DP27)</f>
        <v>68</v>
      </c>
      <c r="DQ10" s="57" t="n">
        <f aca="false">IF(2_Daily_input!DQ27="","",2_Daily_input!DQ27)</f>
        <v>48</v>
      </c>
      <c r="DR10" s="57" t="n">
        <f aca="false">IF(2_Daily_input!DR27="","",2_Daily_input!DR27)</f>
        <v>85</v>
      </c>
      <c r="DS10" s="57" t="n">
        <f aca="false">IF(2_Daily_input!DS27="","",2_Daily_input!DS27)</f>
        <v>77</v>
      </c>
      <c r="DT10" s="57" t="n">
        <f aca="false">IF(2_Daily_input!DT27="","",2_Daily_input!DT27)</f>
        <v>86</v>
      </c>
      <c r="DU10" s="57" t="n">
        <f aca="false">IF(2_Daily_input!DU27="","",2_Daily_input!DU27)</f>
        <v>61</v>
      </c>
      <c r="DV10" s="57" t="n">
        <f aca="false">IF(2_Daily_input!DV27="","",2_Daily_input!DV27)</f>
        <v>68</v>
      </c>
      <c r="DW10" s="57" t="n">
        <f aca="false">IF(2_Daily_input!DW27="","",2_Daily_input!DW27)</f>
        <v>81</v>
      </c>
      <c r="DX10" s="57" t="n">
        <f aca="false">IF(2_Daily_input!DX27="","",2_Daily_input!DX27)</f>
        <v>50</v>
      </c>
      <c r="DY10" s="57" t="n">
        <f aca="false">IF(2_Daily_input!DY27="","",2_Daily_input!DY27)</f>
        <v>36</v>
      </c>
      <c r="DZ10" s="57" t="n">
        <f aca="false">IF(2_Daily_input!DZ27="","",2_Daily_input!DZ27)</f>
        <v>34</v>
      </c>
      <c r="EA10" s="57" t="n">
        <f aca="false">IF(2_Daily_input!EA27="","",2_Daily_input!EA27)</f>
        <v>38</v>
      </c>
      <c r="EB10" s="57" t="n">
        <f aca="false">IF(2_Daily_input!EB27="","",2_Daily_input!EB27)</f>
        <v>43</v>
      </c>
      <c r="EC10" s="57" t="n">
        <f aca="false">IF(2_Daily_input!EC27="","",2_Daily_input!EC27)</f>
        <v>53</v>
      </c>
      <c r="ED10" s="57" t="n">
        <f aca="false">IF(2_Daily_input!ED27="","",2_Daily_input!ED27)</f>
        <v>64</v>
      </c>
      <c r="EE10" s="57" t="n">
        <f aca="false">IF(2_Daily_input!EE27="","",2_Daily_input!EE27)</f>
        <v>80</v>
      </c>
      <c r="EF10" s="57" t="n">
        <f aca="false">IF(2_Daily_input!EF27="","",2_Daily_input!EF27)</f>
        <v>44</v>
      </c>
      <c r="EG10" s="57" t="n">
        <f aca="false">IF(2_Daily_input!EG27="","",2_Daily_input!EG27)</f>
        <v>38</v>
      </c>
      <c r="EH10" s="57" t="n">
        <f aca="false">IF(2_Daily_input!EH27="","",2_Daily_input!EH27)</f>
        <v>42</v>
      </c>
      <c r="EI10" s="57" t="n">
        <f aca="false">IF(2_Daily_input!EI27="","",2_Daily_input!EI27)</f>
        <v>51</v>
      </c>
      <c r="EJ10" s="57" t="n">
        <f aca="false">IF(2_Daily_input!EJ27="","",2_Daily_input!EJ27)</f>
        <v>42</v>
      </c>
      <c r="EK10" s="57" t="n">
        <f aca="false">IF(2_Daily_input!EK27="","",2_Daily_input!EK27)</f>
        <v>51</v>
      </c>
      <c r="EL10" s="57" t="n">
        <f aca="false">IF(2_Daily_input!EL27="","",2_Daily_input!EL27)</f>
        <v>56</v>
      </c>
      <c r="EM10" s="57" t="n">
        <f aca="false">IF(2_Daily_input!EM27="","",2_Daily_input!EM27)</f>
        <v>72</v>
      </c>
      <c r="EN10" s="57" t="n">
        <f aca="false">IF(2_Daily_input!EN27="","",2_Daily_input!EN27)</f>
        <v>51</v>
      </c>
      <c r="EO10" s="57" t="n">
        <f aca="false">IF(2_Daily_input!EO27="","",2_Daily_input!EO27)</f>
        <v>54</v>
      </c>
      <c r="EP10" s="57" t="n">
        <f aca="false">IF(2_Daily_input!EP27="","",2_Daily_input!EP27)</f>
        <v>46</v>
      </c>
      <c r="EQ10" s="57" t="n">
        <f aca="false">IF(2_Daily_input!EQ27="","",2_Daily_input!EQ27)</f>
        <v>46</v>
      </c>
      <c r="ER10" s="57" t="n">
        <f aca="false">IF(2_Daily_input!ER27="","",2_Daily_input!ER27)</f>
        <v>46</v>
      </c>
      <c r="ES10" s="57" t="n">
        <f aca="false">IF(2_Daily_input!ES27="","",2_Daily_input!ES27)</f>
        <v>40</v>
      </c>
      <c r="ET10" s="57" t="n">
        <f aca="false">IF(2_Daily_input!ET27="","",2_Daily_input!ET27)</f>
        <v>64</v>
      </c>
      <c r="EU10" s="57" t="str">
        <f aca="false">IF(2_Daily_input!EU27="","",2_Daily_input!EU27)</f>
        <v/>
      </c>
      <c r="EV10" s="57" t="str">
        <f aca="false">IF(2_Daily_input!EV27="","",2_Daily_input!EV27)</f>
        <v/>
      </c>
      <c r="EW10" s="57" t="str">
        <f aca="false">IF(2_Daily_input!EW27="","",2_Daily_input!EW27)</f>
        <v/>
      </c>
      <c r="EX10" s="57" t="str">
        <f aca="false">IF(2_Daily_input!EX27="","",2_Daily_input!EX27)</f>
        <v/>
      </c>
      <c r="EY10" s="57" t="str">
        <f aca="false">IF(2_Daily_input!EY27="","",2_Daily_input!EY27)</f>
        <v/>
      </c>
      <c r="EZ10" s="57" t="str">
        <f aca="false">IF(2_Daily_input!EZ27="","",2_Daily_input!EZ27)</f>
        <v/>
      </c>
      <c r="FA10" s="57" t="str">
        <f aca="false">IF(2_Daily_input!FA27="","",2_Daily_input!FA27)</f>
        <v/>
      </c>
      <c r="FB10" s="57" t="str">
        <f aca="false">IF(2_Daily_input!FB27="","",2_Daily_input!FB27)</f>
        <v/>
      </c>
      <c r="FC10" s="57" t="str">
        <f aca="false">IF(2_Daily_input!FC27="","",2_Daily_input!FC27)</f>
        <v/>
      </c>
      <c r="FD10" s="57" t="str">
        <f aca="false">IF(2_Daily_input!FD27="","",2_Daily_input!FD27)</f>
        <v/>
      </c>
      <c r="FE10" s="57" t="str">
        <f aca="false">IF(2_Daily_input!FE27="","",2_Daily_input!FE27)</f>
        <v/>
      </c>
      <c r="FF10" s="57" t="str">
        <f aca="false">IF(2_Daily_input!FF27="","",2_Daily_input!FF27)</f>
        <v/>
      </c>
      <c r="FG10" s="57" t="str">
        <f aca="false">IF(2_Daily_input!FG27="","",2_Daily_input!FG27)</f>
        <v/>
      </c>
      <c r="FH10" s="57" t="str">
        <f aca="false">IF(2_Daily_input!FH27="","",2_Daily_input!FH27)</f>
        <v/>
      </c>
      <c r="FI10" s="57" t="str">
        <f aca="false">IF(2_Daily_input!FI27="","",2_Daily_input!FI27)</f>
        <v/>
      </c>
      <c r="FJ10" s="57" t="str">
        <f aca="false">IF(2_Daily_input!FJ27="","",2_Daily_input!FJ27)</f>
        <v/>
      </c>
      <c r="FK10" s="57" t="str">
        <f aca="false">IF(2_Daily_input!FK27="","",2_Daily_input!FK27)</f>
        <v/>
      </c>
      <c r="FL10" s="57" t="str">
        <f aca="false">IF(2_Daily_input!FL27="","",2_Daily_input!FL27)</f>
        <v/>
      </c>
      <c r="FM10" s="57" t="str">
        <f aca="false">IF(2_Daily_input!FM27="","",2_Daily_input!FM27)</f>
        <v/>
      </c>
      <c r="FN10" s="57" t="str">
        <f aca="false">IF(2_Daily_input!FN27="","",2_Daily_input!FN27)</f>
        <v/>
      </c>
      <c r="FO10" s="57" t="str">
        <f aca="false">IF(2_Daily_input!FO27="","",2_Daily_input!FO27)</f>
        <v/>
      </c>
      <c r="FP10" s="57" t="str">
        <f aca="false">IF(2_Daily_input!FP27="","",2_Daily_input!FP27)</f>
        <v/>
      </c>
      <c r="FQ10" s="57" t="str">
        <f aca="false">IF(2_Daily_input!FQ27="","",2_Daily_input!FQ27)</f>
        <v/>
      </c>
    </row>
    <row r="11" customFormat="false" ht="15" hidden="false" customHeight="false" outlineLevel="0" collapsed="false">
      <c r="A11" s="58" t="s">
        <v>328</v>
      </c>
      <c r="B11" s="17" t="s">
        <v>410</v>
      </c>
    </row>
    <row r="12" customFormat="false" ht="15" hidden="false" customHeight="false" outlineLevel="0" collapsed="false">
      <c r="A12" s="31" t="s">
        <v>328</v>
      </c>
      <c r="B12" s="17" t="s">
        <v>411</v>
      </c>
      <c r="C12" s="27" t="str">
        <f aca="false">COUNT($D$12:$FQ$12)&amp;" days"</f>
        <v>93 days</v>
      </c>
      <c r="D12" s="57" t="str">
        <f aca="false">IF(2_Daily_input!D7="","",2_Daily_input!D7)</f>
        <v/>
      </c>
      <c r="E12" s="57" t="str">
        <f aca="false">IF(2_Daily_input!E7="","",2_Daily_input!E7)</f>
        <v/>
      </c>
      <c r="F12" s="57" t="str">
        <f aca="false">IF(2_Daily_input!F7="","",2_Daily_input!F7)</f>
        <v/>
      </c>
      <c r="G12" s="57" t="str">
        <f aca="false">IF(2_Daily_input!G7="","",2_Daily_input!G7)</f>
        <v/>
      </c>
      <c r="H12" s="57" t="str">
        <f aca="false">IF(2_Daily_input!H7="","",2_Daily_input!H7)</f>
        <v/>
      </c>
      <c r="I12" s="57" t="str">
        <f aca="false">IF(2_Daily_input!I7="","",2_Daily_input!I7)</f>
        <v/>
      </c>
      <c r="J12" s="57" t="str">
        <f aca="false">IF(2_Daily_input!J7="","",2_Daily_input!J7)</f>
        <v/>
      </c>
      <c r="K12" s="57" t="str">
        <f aca="false">IF(2_Daily_input!K7="","",2_Daily_input!K7)</f>
        <v/>
      </c>
      <c r="L12" s="57" t="str">
        <f aca="false">IF(2_Daily_input!L7="","",2_Daily_input!L7)</f>
        <v/>
      </c>
      <c r="M12" s="57" t="str">
        <f aca="false">IF(2_Daily_input!M7="","",2_Daily_input!M7)</f>
        <v/>
      </c>
      <c r="N12" s="57" t="str">
        <f aca="false">IF(2_Daily_input!N7="","",2_Daily_input!N7)</f>
        <v/>
      </c>
      <c r="O12" s="57" t="str">
        <f aca="false">IF(2_Daily_input!O7="","",2_Daily_input!O7)</f>
        <v/>
      </c>
      <c r="P12" s="57" t="str">
        <f aca="false">IF(2_Daily_input!P7="","",2_Daily_input!P7)</f>
        <v/>
      </c>
      <c r="Q12" s="57" t="str">
        <f aca="false">IF(2_Daily_input!Q7="","",2_Daily_input!Q7)</f>
        <v/>
      </c>
      <c r="R12" s="57" t="str">
        <f aca="false">IF(2_Daily_input!R7="","",2_Daily_input!R7)</f>
        <v/>
      </c>
      <c r="S12" s="57" t="str">
        <f aca="false">IF(2_Daily_input!S7="","",2_Daily_input!S7)</f>
        <v/>
      </c>
      <c r="T12" s="57" t="str">
        <f aca="false">IF(2_Daily_input!T7="","",2_Daily_input!T7)</f>
        <v/>
      </c>
      <c r="U12" s="57" t="str">
        <f aca="false">IF(2_Daily_input!U7="","",2_Daily_input!U7)</f>
        <v/>
      </c>
      <c r="V12" s="57" t="str">
        <f aca="false">IF(2_Daily_input!V7="","",2_Daily_input!V7)</f>
        <v/>
      </c>
      <c r="W12" s="57" t="str">
        <f aca="false">IF(2_Daily_input!W7="","",2_Daily_input!W7)</f>
        <v/>
      </c>
      <c r="X12" s="57" t="str">
        <f aca="false">IF(2_Daily_input!X7="","",2_Daily_input!X7)</f>
        <v/>
      </c>
      <c r="Y12" s="57" t="str">
        <f aca="false">IF(2_Daily_input!Y7="","",2_Daily_input!Y7)</f>
        <v/>
      </c>
      <c r="Z12" s="57" t="str">
        <f aca="false">IF(2_Daily_input!Z7="","",2_Daily_input!Z7)</f>
        <v/>
      </c>
      <c r="AA12" s="57" t="str">
        <f aca="false">IF(2_Daily_input!AA7="","",2_Daily_input!AA7)</f>
        <v/>
      </c>
      <c r="AB12" s="57" t="str">
        <f aca="false">IF(2_Daily_input!AB7="","",2_Daily_input!AB7)</f>
        <v/>
      </c>
      <c r="AC12" s="57" t="str">
        <f aca="false">IF(2_Daily_input!AC7="","",2_Daily_input!AC7)</f>
        <v/>
      </c>
      <c r="AD12" s="57" t="str">
        <f aca="false">IF(2_Daily_input!AD7="","",2_Daily_input!AD7)</f>
        <v/>
      </c>
      <c r="AE12" s="57" t="str">
        <f aca="false">IF(2_Daily_input!AE7="","",2_Daily_input!AE7)</f>
        <v/>
      </c>
      <c r="AF12" s="57" t="str">
        <f aca="false">IF(2_Daily_input!AF7="","",2_Daily_input!AF7)</f>
        <v/>
      </c>
      <c r="AG12" s="57" t="str">
        <f aca="false">IF(2_Daily_input!AG7="","",2_Daily_input!AG7)</f>
        <v/>
      </c>
      <c r="AH12" s="57" t="str">
        <f aca="false">IF(2_Daily_input!AH7="","",2_Daily_input!AH7)</f>
        <v/>
      </c>
      <c r="AI12" s="57" t="str">
        <f aca="false">IF(2_Daily_input!AI7="","",2_Daily_input!AI7)</f>
        <v/>
      </c>
      <c r="AJ12" s="57" t="str">
        <f aca="false">IF(2_Daily_input!AJ7="","",2_Daily_input!AJ7)</f>
        <v/>
      </c>
      <c r="AK12" s="57" t="str">
        <f aca="false">IF(2_Daily_input!AK7="","",2_Daily_input!AK7)</f>
        <v/>
      </c>
      <c r="AL12" s="57" t="str">
        <f aca="false">IF(2_Daily_input!AL7="","",2_Daily_input!AL7)</f>
        <v/>
      </c>
      <c r="AM12" s="57" t="str">
        <f aca="false">IF(2_Daily_input!AM7="","",2_Daily_input!AM7)</f>
        <v/>
      </c>
      <c r="AN12" s="57" t="str">
        <f aca="false">IF(2_Daily_input!AN7="","",2_Daily_input!AN7)</f>
        <v/>
      </c>
      <c r="AO12" s="57" t="str">
        <f aca="false">IF(2_Daily_input!AO7="","",2_Daily_input!AO7)</f>
        <v/>
      </c>
      <c r="AP12" s="57" t="str">
        <f aca="false">IF(2_Daily_input!AP7="","",2_Daily_input!AP7)</f>
        <v/>
      </c>
      <c r="AQ12" s="57" t="str">
        <f aca="false">IF(2_Daily_input!AQ7="","",2_Daily_input!AQ7)</f>
        <v/>
      </c>
      <c r="AR12" s="57" t="str">
        <f aca="false">IF(2_Daily_input!AR7="","",2_Daily_input!AR7)</f>
        <v/>
      </c>
      <c r="AS12" s="57" t="str">
        <f aca="false">IF(2_Daily_input!AS7="","",2_Daily_input!AS7)</f>
        <v/>
      </c>
      <c r="AT12" s="57" t="str">
        <f aca="false">IF(2_Daily_input!AT7="","",2_Daily_input!AT7)</f>
        <v/>
      </c>
      <c r="AU12" s="57" t="str">
        <f aca="false">IF(2_Daily_input!AU7="","",2_Daily_input!AU7)</f>
        <v/>
      </c>
      <c r="AV12" s="57" t="str">
        <f aca="false">IF(2_Daily_input!AV7="","",2_Daily_input!AV7)</f>
        <v/>
      </c>
      <c r="AW12" s="57" t="str">
        <f aca="false">IF(2_Daily_input!AW7="","",2_Daily_input!AW7)</f>
        <v/>
      </c>
      <c r="AX12" s="57" t="str">
        <f aca="false">IF(2_Daily_input!AX7="","",2_Daily_input!AX7)</f>
        <v/>
      </c>
      <c r="AY12" s="57" t="str">
        <f aca="false">IF(2_Daily_input!AY7="","",2_Daily_input!AY7)</f>
        <v/>
      </c>
      <c r="AZ12" s="57" t="str">
        <f aca="false">IF(2_Daily_input!AZ7="","",2_Daily_input!AZ7)</f>
        <v/>
      </c>
      <c r="BA12" s="57" t="str">
        <f aca="false">IF(2_Daily_input!BA7="","",2_Daily_input!BA7)</f>
        <v/>
      </c>
      <c r="BB12" s="57" t="str">
        <f aca="false">IF(2_Daily_input!BB7="","",2_Daily_input!BB7)</f>
        <v/>
      </c>
      <c r="BC12" s="57" t="str">
        <f aca="false">IF(2_Daily_input!BC7="","",2_Daily_input!BC7)</f>
        <v/>
      </c>
      <c r="BD12" s="57" t="n">
        <f aca="false">IF(2_Daily_input!BD7="","",2_Daily_input!BD7)</f>
        <v>280</v>
      </c>
      <c r="BE12" s="57" t="n">
        <f aca="false">IF(2_Daily_input!BE7="","",2_Daily_input!BE7)</f>
        <v>279.9</v>
      </c>
      <c r="BF12" s="57" t="n">
        <f aca="false">IF(2_Daily_input!BF7="","",2_Daily_input!BF7)</f>
        <v>280.5</v>
      </c>
      <c r="BG12" s="57" t="n">
        <f aca="false">IF(2_Daily_input!BG7="","",2_Daily_input!BG7)</f>
        <v>280</v>
      </c>
      <c r="BH12" s="57" t="n">
        <f aca="false">IF(2_Daily_input!BH7="","",2_Daily_input!BH7)</f>
        <v>282.1</v>
      </c>
      <c r="BI12" s="57" t="n">
        <f aca="false">IF(2_Daily_input!BI7="","",2_Daily_input!BI7)</f>
        <v>281.4</v>
      </c>
      <c r="BJ12" s="57" t="n">
        <f aca="false">IF(2_Daily_input!BJ7="","",2_Daily_input!BJ7)</f>
        <v>281.2</v>
      </c>
      <c r="BK12" s="57" t="n">
        <f aca="false">IF(2_Daily_input!BK7="","",2_Daily_input!BK7)</f>
        <v>280.5</v>
      </c>
      <c r="BL12" s="57" t="n">
        <f aca="false">IF(2_Daily_input!BL7="","",2_Daily_input!BL7)</f>
        <v>281.8</v>
      </c>
      <c r="BM12" s="57" t="n">
        <f aca="false">IF(2_Daily_input!BM7="","",2_Daily_input!BM7)</f>
        <v>281.5</v>
      </c>
      <c r="BN12" s="57" t="n">
        <f aca="false">IF(2_Daily_input!BN7="","",2_Daily_input!BN7)</f>
        <v>281.1</v>
      </c>
      <c r="BO12" s="57" t="n">
        <f aca="false">IF(2_Daily_input!BO7="","",2_Daily_input!BO7)</f>
        <v>280.5</v>
      </c>
      <c r="BP12" s="57" t="n">
        <f aca="false">IF(2_Daily_input!BP7="","",2_Daily_input!BP7)</f>
        <v>280.3</v>
      </c>
      <c r="BQ12" s="57" t="n">
        <f aca="false">IF(2_Daily_input!BQ7="","",2_Daily_input!BQ7)</f>
        <v>281.5</v>
      </c>
      <c r="BR12" s="57" t="n">
        <f aca="false">IF(2_Daily_input!BR7="","",2_Daily_input!BR7)</f>
        <v>281.1</v>
      </c>
      <c r="BS12" s="57" t="n">
        <f aca="false">IF(2_Daily_input!BS7="","",2_Daily_input!BS7)</f>
        <v>280.4</v>
      </c>
      <c r="BT12" s="57" t="n">
        <f aca="false">IF(2_Daily_input!BT7="","",2_Daily_input!BT7)</f>
        <v>280.2</v>
      </c>
      <c r="BU12" s="57" t="n">
        <f aca="false">IF(2_Daily_input!BU7="","",2_Daily_input!BU7)</f>
        <v>280</v>
      </c>
      <c r="BV12" s="57" t="n">
        <f aca="false">IF(2_Daily_input!BV7="","",2_Daily_input!BV7)</f>
        <v>279.9</v>
      </c>
      <c r="BW12" s="57" t="n">
        <f aca="false">IF(2_Daily_input!BW7="","",2_Daily_input!BW7)</f>
        <v>279.7</v>
      </c>
      <c r="BX12" s="57" t="n">
        <f aca="false">IF(2_Daily_input!BX7="","",2_Daily_input!BX7)</f>
        <v>281.6</v>
      </c>
      <c r="BY12" s="57" t="n">
        <f aca="false">IF(2_Daily_input!BY7="","",2_Daily_input!BY7)</f>
        <v>281.4</v>
      </c>
      <c r="BZ12" s="57" t="n">
        <f aca="false">IF(2_Daily_input!BZ7="","",2_Daily_input!BZ7)</f>
        <v>280.9</v>
      </c>
      <c r="CA12" s="57" t="str">
        <f aca="false">IF(2_Daily_input!CA7="","",2_Daily_input!CA7)</f>
        <v/>
      </c>
      <c r="CB12" s="57" t="n">
        <f aca="false">IF(2_Daily_input!CB7="","",2_Daily_input!CB7)</f>
        <v>280.1</v>
      </c>
      <c r="CC12" s="57" t="n">
        <f aca="false">IF(2_Daily_input!CC7="","",2_Daily_input!CC7)</f>
        <v>279.5</v>
      </c>
      <c r="CD12" s="57" t="n">
        <f aca="false">IF(2_Daily_input!CD7="","",2_Daily_input!CD7)</f>
        <v>278.5</v>
      </c>
      <c r="CE12" s="57" t="n">
        <f aca="false">IF(2_Daily_input!CE7="","",2_Daily_input!CE7)</f>
        <v>281</v>
      </c>
      <c r="CF12" s="57" t="n">
        <f aca="false">IF(2_Daily_input!CF7="","",2_Daily_input!CF7)</f>
        <v>280.5</v>
      </c>
      <c r="CG12" s="57" t="n">
        <f aca="false">IF(2_Daily_input!CG7="","",2_Daily_input!CG7)</f>
        <v>280.3</v>
      </c>
      <c r="CH12" s="57" t="n">
        <f aca="false">IF(2_Daily_input!CH7="","",2_Daily_input!CH7)</f>
        <v>279.9</v>
      </c>
      <c r="CI12" s="57" t="n">
        <f aca="false">IF(2_Daily_input!CI7="","",2_Daily_input!CI7)</f>
        <v>282.8</v>
      </c>
      <c r="CJ12" s="57" t="n">
        <f aca="false">IF(2_Daily_input!CJ7="","",2_Daily_input!CJ7)</f>
        <v>282.3</v>
      </c>
      <c r="CK12" s="57" t="n">
        <f aca="false">IF(2_Daily_input!CK7="","",2_Daily_input!CK7)</f>
        <v>281.5</v>
      </c>
      <c r="CL12" s="57" t="n">
        <f aca="false">IF(2_Daily_input!CL7="","",2_Daily_input!CL7)</f>
        <v>280</v>
      </c>
      <c r="CM12" s="57" t="n">
        <f aca="false">IF(2_Daily_input!CM7="","",2_Daily_input!CM7)</f>
        <v>279.7</v>
      </c>
      <c r="CN12" s="57" t="n">
        <f aca="false">IF(2_Daily_input!CN7="","",2_Daily_input!CN7)</f>
        <v>279</v>
      </c>
      <c r="CO12" s="57" t="n">
        <f aca="false">IF(2_Daily_input!CO7="","",2_Daily_input!CO7)</f>
        <v>277</v>
      </c>
      <c r="CP12" s="57" t="n">
        <f aca="false">IF(2_Daily_input!CP7="","",2_Daily_input!CP7)</f>
        <v>275</v>
      </c>
      <c r="CQ12" s="57" t="n">
        <f aca="false">IF(2_Daily_input!CQ7="","",2_Daily_input!CQ7)</f>
        <v>272</v>
      </c>
      <c r="CR12" s="57" t="n">
        <f aca="false">IF(2_Daily_input!CR7="","",2_Daily_input!CR7)</f>
        <v>265</v>
      </c>
      <c r="CS12" s="57" t="n">
        <f aca="false">IF(2_Daily_input!CS7="","",2_Daily_input!CS7)</f>
        <v>265</v>
      </c>
      <c r="CT12" s="57" t="n">
        <f aca="false">IF(2_Daily_input!CT7="","",2_Daily_input!CT7)</f>
        <v>265</v>
      </c>
      <c r="CU12" s="57" t="n">
        <f aca="false">IF(2_Daily_input!CU7="","",2_Daily_input!CU7)</f>
        <v>265</v>
      </c>
      <c r="CV12" s="57" t="n">
        <f aca="false">IF(2_Daily_input!CV7="","",2_Daily_input!CV7)</f>
        <v>265</v>
      </c>
      <c r="CW12" s="57" t="n">
        <f aca="false">IF(2_Daily_input!CW7="","",2_Daily_input!CW7)</f>
        <v>265</v>
      </c>
      <c r="CX12" s="57" t="n">
        <f aca="false">IF(2_Daily_input!CX7="","",2_Daily_input!CX7)</f>
        <v>281</v>
      </c>
      <c r="CY12" s="57" t="n">
        <f aca="false">IF(2_Daily_input!CY7="","",2_Daily_input!CY7)</f>
        <v>280.7</v>
      </c>
      <c r="CZ12" s="57" t="n">
        <f aca="false">IF(2_Daily_input!CZ7="","",2_Daily_input!CZ7)</f>
        <v>280.2</v>
      </c>
      <c r="DA12" s="57" t="n">
        <f aca="false">IF(2_Daily_input!DA7="","",2_Daily_input!DA7)</f>
        <v>281.7</v>
      </c>
      <c r="DB12" s="57" t="n">
        <f aca="false">IF(2_Daily_input!DB7="","",2_Daily_input!DB7)</f>
        <v>281</v>
      </c>
      <c r="DC12" s="57" t="n">
        <f aca="false">IF(2_Daily_input!DC7="","",2_Daily_input!DC7)</f>
        <v>280.5</v>
      </c>
      <c r="DD12" s="57" t="n">
        <f aca="false">IF(2_Daily_input!DD7="","",2_Daily_input!DD7)</f>
        <v>282.5</v>
      </c>
      <c r="DE12" s="57" t="n">
        <f aca="false">IF(2_Daily_input!DE7="","",2_Daily_input!DE7)</f>
        <v>282</v>
      </c>
      <c r="DF12" s="57" t="n">
        <f aca="false">IF(2_Daily_input!DF7="","",2_Daily_input!DF7)</f>
        <v>281.5</v>
      </c>
      <c r="DG12" s="57" t="n">
        <f aca="false">IF(2_Daily_input!DG7="","",2_Daily_input!DG7)</f>
        <v>281</v>
      </c>
      <c r="DH12" s="57" t="n">
        <f aca="false">IF(2_Daily_input!DH7="","",2_Daily_input!DH7)</f>
        <v>280.7</v>
      </c>
      <c r="DI12" s="57" t="n">
        <f aca="false">IF(2_Daily_input!DI7="","",2_Daily_input!DI7)</f>
        <v>280.1</v>
      </c>
      <c r="DJ12" s="57" t="n">
        <f aca="false">IF(2_Daily_input!DJ7="","",2_Daily_input!DJ7)</f>
        <v>280</v>
      </c>
      <c r="DK12" s="57" t="n">
        <f aca="false">IF(2_Daily_input!DK7="","",2_Daily_input!DK7)</f>
        <v>281</v>
      </c>
      <c r="DL12" s="57" t="str">
        <f aca="false">IF(2_Daily_input!DL7="","",2_Daily_input!DL7)</f>
        <v/>
      </c>
      <c r="DM12" s="57" t="n">
        <f aca="false">IF(2_Daily_input!DM7="","",2_Daily_input!DM7)</f>
        <v>280.2</v>
      </c>
      <c r="DN12" s="57" t="n">
        <f aca="false">IF(2_Daily_input!DN7="","",2_Daily_input!DN7)</f>
        <v>280.9</v>
      </c>
      <c r="DO12" s="57" t="n">
        <f aca="false">IF(2_Daily_input!DO7="","",2_Daily_input!DO7)</f>
        <v>280</v>
      </c>
      <c r="DP12" s="57" t="n">
        <f aca="false">IF(2_Daily_input!DP7="","",2_Daily_input!DP7)</f>
        <v>281</v>
      </c>
      <c r="DQ12" s="57" t="n">
        <f aca="false">IF(2_Daily_input!DQ7="","",2_Daily_input!DQ7)</f>
        <v>280.7</v>
      </c>
      <c r="DR12" s="57" t="n">
        <f aca="false">IF(2_Daily_input!DR7="","",2_Daily_input!DR7)</f>
        <v>280.3</v>
      </c>
      <c r="DS12" s="57" t="n">
        <f aca="false">IF(2_Daily_input!DS7="","",2_Daily_input!DS7)</f>
        <v>280.5</v>
      </c>
      <c r="DT12" s="57" t="n">
        <f aca="false">IF(2_Daily_input!DT7="","",2_Daily_input!DT7)</f>
        <v>280</v>
      </c>
      <c r="DU12" s="57" t="n">
        <f aca="false">IF(2_Daily_input!DU7="","",2_Daily_input!DU7)</f>
        <v>281</v>
      </c>
      <c r="DV12" s="57" t="n">
        <f aca="false">IF(2_Daily_input!DV7="","",2_Daily_input!DV7)</f>
        <v>280.7</v>
      </c>
      <c r="DW12" s="57" t="n">
        <f aca="false">IF(2_Daily_input!DW7="","",2_Daily_input!DW7)</f>
        <v>280.5</v>
      </c>
      <c r="DX12" s="57" t="n">
        <f aca="false">IF(2_Daily_input!DX7="","",2_Daily_input!DX7)</f>
        <v>281</v>
      </c>
      <c r="DY12" s="57" t="n">
        <f aca="false">IF(2_Daily_input!DY7="","",2_Daily_input!DY7)</f>
        <v>280.7</v>
      </c>
      <c r="DZ12" s="57" t="n">
        <f aca="false">IF(2_Daily_input!DZ7="","",2_Daily_input!DZ7)</f>
        <v>280.5</v>
      </c>
      <c r="EA12" s="57" t="n">
        <f aca="false">IF(2_Daily_input!EA7="","",2_Daily_input!EA7)</f>
        <v>280.1</v>
      </c>
      <c r="EB12" s="57" t="n">
        <f aca="false">IF(2_Daily_input!EB7="","",2_Daily_input!EB7)</f>
        <v>281.5</v>
      </c>
      <c r="EC12" s="57" t="n">
        <f aca="false">IF(2_Daily_input!EC7="","",2_Daily_input!EC7)</f>
        <v>281</v>
      </c>
      <c r="ED12" s="57" t="n">
        <f aca="false">IF(2_Daily_input!ED7="","",2_Daily_input!ED7)</f>
        <v>280.7</v>
      </c>
      <c r="EE12" s="57" t="n">
        <f aca="false">IF(2_Daily_input!EE7="","",2_Daily_input!EE7)</f>
        <v>282</v>
      </c>
      <c r="EF12" s="57" t="n">
        <f aca="false">IF(2_Daily_input!EF7="","",2_Daily_input!EF7)</f>
        <v>281.7</v>
      </c>
      <c r="EG12" s="57" t="n">
        <f aca="false">IF(2_Daily_input!EG7="","",2_Daily_input!EG7)</f>
        <v>281</v>
      </c>
      <c r="EH12" s="57" t="n">
        <f aca="false">IF(2_Daily_input!EH7="","",2_Daily_input!EH7)</f>
        <v>280.6</v>
      </c>
      <c r="EI12" s="57" t="n">
        <f aca="false">IF(2_Daily_input!EI7="","",2_Daily_input!EI7)</f>
        <v>281.5</v>
      </c>
      <c r="EJ12" s="57" t="n">
        <f aca="false">IF(2_Daily_input!EJ7="","",2_Daily_input!EJ7)</f>
        <v>281</v>
      </c>
      <c r="EK12" s="57" t="n">
        <f aca="false">IF(2_Daily_input!EK7="","",2_Daily_input!EK7)</f>
        <v>282.5</v>
      </c>
      <c r="EL12" s="57" t="n">
        <f aca="false">IF(2_Daily_input!EL7="","",2_Daily_input!EL7)</f>
        <v>281.5</v>
      </c>
      <c r="EM12" s="57" t="n">
        <f aca="false">IF(2_Daily_input!EM7="","",2_Daily_input!EM7)</f>
        <v>282.5</v>
      </c>
      <c r="EN12" s="57" t="n">
        <f aca="false">IF(2_Daily_input!EN7="","",2_Daily_input!EN7)</f>
        <v>282</v>
      </c>
      <c r="EO12" s="57" t="n">
        <f aca="false">IF(2_Daily_input!EO7="","",2_Daily_input!EO7)</f>
        <v>281.5</v>
      </c>
      <c r="EP12" s="57" t="n">
        <f aca="false">IF(2_Daily_input!EP7="","",2_Daily_input!EP7)</f>
        <v>280.5</v>
      </c>
      <c r="EQ12" s="57" t="n">
        <f aca="false">IF(2_Daily_input!EQ7="","",2_Daily_input!EQ7)</f>
        <v>281.5</v>
      </c>
      <c r="ER12" s="57" t="n">
        <f aca="false">IF(2_Daily_input!ER7="","",2_Daily_input!ER7)</f>
        <v>280</v>
      </c>
      <c r="ES12" s="57" t="n">
        <f aca="false">IF(2_Daily_input!ES7="","",2_Daily_input!ES7)</f>
        <v>273.5</v>
      </c>
      <c r="ET12" s="57" t="n">
        <f aca="false">IF(2_Daily_input!ET7="","",2_Daily_input!ET7)</f>
        <v>265</v>
      </c>
      <c r="EU12" s="57" t="str">
        <f aca="false">IF(2_Daily_input!EU7="","",2_Daily_input!EU7)</f>
        <v/>
      </c>
      <c r="EV12" s="57" t="str">
        <f aca="false">IF(2_Daily_input!EV7="","",2_Daily_input!EV7)</f>
        <v/>
      </c>
      <c r="EW12" s="57" t="str">
        <f aca="false">IF(2_Daily_input!EW7="","",2_Daily_input!EW7)</f>
        <v/>
      </c>
      <c r="EX12" s="57" t="str">
        <f aca="false">IF(2_Daily_input!EX7="","",2_Daily_input!EX7)</f>
        <v/>
      </c>
      <c r="EY12" s="57" t="str">
        <f aca="false">IF(2_Daily_input!EY7="","",2_Daily_input!EY7)</f>
        <v/>
      </c>
      <c r="EZ12" s="57" t="str">
        <f aca="false">IF(2_Daily_input!EZ7="","",2_Daily_input!EZ7)</f>
        <v/>
      </c>
      <c r="FA12" s="57" t="str">
        <f aca="false">IF(2_Daily_input!FA7="","",2_Daily_input!FA7)</f>
        <v/>
      </c>
      <c r="FB12" s="57" t="str">
        <f aca="false">IF(2_Daily_input!FB7="","",2_Daily_input!FB7)</f>
        <v/>
      </c>
      <c r="FC12" s="57" t="str">
        <f aca="false">IF(2_Daily_input!FC7="","",2_Daily_input!FC7)</f>
        <v/>
      </c>
      <c r="FD12" s="57" t="str">
        <f aca="false">IF(2_Daily_input!FD7="","",2_Daily_input!FD7)</f>
        <v/>
      </c>
      <c r="FE12" s="57" t="str">
        <f aca="false">IF(2_Daily_input!FE7="","",2_Daily_input!FE7)</f>
        <v/>
      </c>
      <c r="FF12" s="57" t="str">
        <f aca="false">IF(2_Daily_input!FF7="","",2_Daily_input!FF7)</f>
        <v/>
      </c>
      <c r="FG12" s="57" t="str">
        <f aca="false">IF(2_Daily_input!FG7="","",2_Daily_input!FG7)</f>
        <v/>
      </c>
      <c r="FH12" s="57" t="str">
        <f aca="false">IF(2_Daily_input!FH7="","",2_Daily_input!FH7)</f>
        <v/>
      </c>
      <c r="FI12" s="57" t="str">
        <f aca="false">IF(2_Daily_input!FI7="","",2_Daily_input!FI7)</f>
        <v/>
      </c>
      <c r="FJ12" s="57" t="str">
        <f aca="false">IF(2_Daily_input!FJ7="","",2_Daily_input!FJ7)</f>
        <v/>
      </c>
      <c r="FK12" s="57" t="str">
        <f aca="false">IF(2_Daily_input!FK7="","",2_Daily_input!FK7)</f>
        <v/>
      </c>
      <c r="FL12" s="57" t="str">
        <f aca="false">IF(2_Daily_input!FL7="","",2_Daily_input!FL7)</f>
        <v/>
      </c>
      <c r="FM12" s="57" t="str">
        <f aca="false">IF(2_Daily_input!FM7="","",2_Daily_input!FM7)</f>
        <v/>
      </c>
      <c r="FN12" s="57" t="str">
        <f aca="false">IF(2_Daily_input!FN7="","",2_Daily_input!FN7)</f>
        <v/>
      </c>
      <c r="FO12" s="57" t="str">
        <f aca="false">IF(2_Daily_input!FO7="","",2_Daily_input!FO7)</f>
        <v/>
      </c>
      <c r="FP12" s="57" t="str">
        <f aca="false">IF(2_Daily_input!FP7="","",2_Daily_input!FP7)</f>
        <v/>
      </c>
      <c r="FQ12" s="57" t="str">
        <f aca="false">IF(2_Daily_input!FQ7="","",2_Daily_input!FQ7)</f>
        <v/>
      </c>
    </row>
    <row r="13" customFormat="false" ht="15" hidden="false" customHeight="false" outlineLevel="0" collapsed="false">
      <c r="A13" s="31" t="s">
        <v>328</v>
      </c>
      <c r="B13" s="17" t="s">
        <v>412</v>
      </c>
      <c r="D13" s="50" t="str">
        <f aca="false">IF(OR(D1="",NOT(ISNUMBER(D12)),D14=""),"",ROUND(D12-D14+D15,1))</f>
        <v/>
      </c>
      <c r="E13" s="50" t="str">
        <f aca="false">IF(OR(E1="",NOT(ISNUMBER(E12)),E14=""),"",ROUND(E12-E14+E15,1))</f>
        <v/>
      </c>
      <c r="F13" s="50" t="str">
        <f aca="false">IF(OR(F1="",NOT(ISNUMBER(F12)),F14=""),"",ROUND(F12-F14+F15,1))</f>
        <v/>
      </c>
      <c r="G13" s="50" t="str">
        <f aca="false">IF(OR(G1="",NOT(ISNUMBER(G12)),G14=""),"",ROUND(G12-G14+G15,1))</f>
        <v/>
      </c>
      <c r="H13" s="50" t="str">
        <f aca="false">IF(OR(H1="",NOT(ISNUMBER(H12)),H14=""),"",ROUND(H12-H14+H15,1))</f>
        <v/>
      </c>
      <c r="I13" s="50" t="str">
        <f aca="false">IF(OR(I1="",NOT(ISNUMBER(I12)),I14=""),"",ROUND(I12-I14+I15,1))</f>
        <v/>
      </c>
      <c r="J13" s="50" t="str">
        <f aca="false">IF(OR(J1="",NOT(ISNUMBER(J12)),J14=""),"",ROUND(J12-J14+J15,1))</f>
        <v/>
      </c>
      <c r="K13" s="50" t="str">
        <f aca="false">IF(OR(K1="",NOT(ISNUMBER(K12)),K14=""),"",ROUND(K12-K14+K15,1))</f>
        <v/>
      </c>
      <c r="L13" s="50" t="str">
        <f aca="false">IF(OR(L1="",NOT(ISNUMBER(L12)),L14=""),"",ROUND(L12-L14+L15,1))</f>
        <v/>
      </c>
      <c r="M13" s="50" t="str">
        <f aca="false">IF(OR(M1="",NOT(ISNUMBER(M12)),M14=""),"",ROUND(M12-M14+M15,1))</f>
        <v/>
      </c>
      <c r="N13" s="50" t="str">
        <f aca="false">IF(OR(N1="",NOT(ISNUMBER(N12)),N14=""),"",ROUND(N12-N14+N15,1))</f>
        <v/>
      </c>
      <c r="O13" s="50" t="str">
        <f aca="false">IF(OR(O1="",NOT(ISNUMBER(O12)),O14=""),"",ROUND(O12-O14+O15,1))</f>
        <v/>
      </c>
      <c r="P13" s="50" t="str">
        <f aca="false">IF(OR(P1="",NOT(ISNUMBER(P12)),P14=""),"",ROUND(P12-P14+P15,1))</f>
        <v/>
      </c>
      <c r="Q13" s="50" t="str">
        <f aca="false">IF(OR(Q1="",NOT(ISNUMBER(Q12)),Q14=""),"",ROUND(Q12-Q14+Q15,1))</f>
        <v/>
      </c>
      <c r="R13" s="50" t="str">
        <f aca="false">IF(OR(R1="",NOT(ISNUMBER(R12)),R14=""),"",ROUND(R12-R14+R15,1))</f>
        <v/>
      </c>
      <c r="S13" s="50" t="str">
        <f aca="false">IF(OR(S1="",NOT(ISNUMBER(S12)),S14=""),"",ROUND(S12-S14+S15,1))</f>
        <v/>
      </c>
      <c r="T13" s="50" t="str">
        <f aca="false">IF(OR(T1="",NOT(ISNUMBER(T12)),T14=""),"",ROUND(T12-T14+T15,1))</f>
        <v/>
      </c>
      <c r="U13" s="50" t="str">
        <f aca="false">IF(OR(U1="",NOT(ISNUMBER(U12)),U14=""),"",ROUND(U12-U14+U15,1))</f>
        <v/>
      </c>
      <c r="V13" s="50" t="str">
        <f aca="false">IF(OR(V1="",NOT(ISNUMBER(V12)),V14=""),"",ROUND(V12-V14+V15,1))</f>
        <v/>
      </c>
      <c r="W13" s="50" t="str">
        <f aca="false">IF(OR(W1="",NOT(ISNUMBER(W12)),W14=""),"",ROUND(W12-W14+W15,1))</f>
        <v/>
      </c>
      <c r="X13" s="50" t="str">
        <f aca="false">IF(OR(X1="",NOT(ISNUMBER(X12)),X14=""),"",ROUND(X12-X14+X15,1))</f>
        <v/>
      </c>
      <c r="Y13" s="50" t="str">
        <f aca="false">IF(OR(Y1="",NOT(ISNUMBER(Y12)),Y14=""),"",ROUND(Y12-Y14+Y15,1))</f>
        <v/>
      </c>
      <c r="Z13" s="50" t="str">
        <f aca="false">IF(OR(Z1="",NOT(ISNUMBER(Z12)),Z14=""),"",ROUND(Z12-Z14+Z15,1))</f>
        <v/>
      </c>
      <c r="AA13" s="50" t="str">
        <f aca="false">IF(OR(AA1="",NOT(ISNUMBER(AA12)),AA14=""),"",ROUND(AA12-AA14+AA15,1))</f>
        <v/>
      </c>
      <c r="AB13" s="50" t="str">
        <f aca="false">IF(OR(AB1="",NOT(ISNUMBER(AB12)),AB14=""),"",ROUND(AB12-AB14+AB15,1))</f>
        <v/>
      </c>
      <c r="AC13" s="50" t="str">
        <f aca="false">IF(OR(AC1="",NOT(ISNUMBER(AC12)),AC14=""),"",ROUND(AC12-AC14+AC15,1))</f>
        <v/>
      </c>
      <c r="AD13" s="50" t="str">
        <f aca="false">IF(OR(AD1="",NOT(ISNUMBER(AD12)),AD14=""),"",ROUND(AD12-AD14+AD15,1))</f>
        <v/>
      </c>
      <c r="AE13" s="50" t="str">
        <f aca="false">IF(OR(AE1="",NOT(ISNUMBER(AE12)),AE14=""),"",ROUND(AE12-AE14+AE15,1))</f>
        <v/>
      </c>
      <c r="AF13" s="50" t="str">
        <f aca="false">IF(OR(AF1="",NOT(ISNUMBER(AF12)),AF14=""),"",ROUND(AF12-AF14+AF15,1))</f>
        <v/>
      </c>
      <c r="AG13" s="50" t="str">
        <f aca="false">IF(OR(AG1="",NOT(ISNUMBER(AG12)),AG14=""),"",ROUND(AG12-AG14+AG15,1))</f>
        <v/>
      </c>
      <c r="AH13" s="50" t="str">
        <f aca="false">IF(OR(AH1="",NOT(ISNUMBER(AH12)),AH14=""),"",ROUND(AH12-AH14+AH15,1))</f>
        <v/>
      </c>
      <c r="AI13" s="50" t="str">
        <f aca="false">IF(OR(AI1="",NOT(ISNUMBER(AI12)),AI14=""),"",ROUND(AI12-AI14+AI15,1))</f>
        <v/>
      </c>
      <c r="AJ13" s="50" t="str">
        <f aca="false">IF(OR(AJ1="",NOT(ISNUMBER(AJ12)),AJ14=""),"",ROUND(AJ12-AJ14+AJ15,1))</f>
        <v/>
      </c>
      <c r="AK13" s="50" t="str">
        <f aca="false">IF(OR(AK1="",NOT(ISNUMBER(AK12)),AK14=""),"",ROUND(AK12-AK14+AK15,1))</f>
        <v/>
      </c>
      <c r="AL13" s="50" t="str">
        <f aca="false">IF(OR(AL1="",NOT(ISNUMBER(AL12)),AL14=""),"",ROUND(AL12-AL14+AL15,1))</f>
        <v/>
      </c>
      <c r="AM13" s="50" t="str">
        <f aca="false">IF(OR(AM1="",NOT(ISNUMBER(AM12)),AM14=""),"",ROUND(AM12-AM14+AM15,1))</f>
        <v/>
      </c>
      <c r="AN13" s="50" t="str">
        <f aca="false">IF(OR(AN1="",NOT(ISNUMBER(AN12)),AN14=""),"",ROUND(AN12-AN14+AN15,1))</f>
        <v/>
      </c>
      <c r="AO13" s="50" t="str">
        <f aca="false">IF(OR(AO1="",NOT(ISNUMBER(AO12)),AO14=""),"",ROUND(AO12-AO14+AO15,1))</f>
        <v/>
      </c>
      <c r="AP13" s="50" t="str">
        <f aca="false">IF(OR(AP1="",NOT(ISNUMBER(AP12)),AP14=""),"",ROUND(AP12-AP14+AP15,1))</f>
        <v/>
      </c>
      <c r="AQ13" s="50" t="str">
        <f aca="false">IF(OR(AQ1="",NOT(ISNUMBER(AQ12)),AQ14=""),"",ROUND(AQ12-AQ14+AQ15,1))</f>
        <v/>
      </c>
      <c r="AR13" s="50" t="str">
        <f aca="false">IF(OR(AR1="",NOT(ISNUMBER(AR12)),AR14=""),"",ROUND(AR12-AR14+AR15,1))</f>
        <v/>
      </c>
      <c r="AS13" s="50" t="str">
        <f aca="false">IF(OR(AS1="",NOT(ISNUMBER(AS12)),AS14=""),"",ROUND(AS12-AS14+AS15,1))</f>
        <v/>
      </c>
      <c r="AT13" s="50" t="str">
        <f aca="false">IF(OR(AT1="",NOT(ISNUMBER(AT12)),AT14=""),"",ROUND(AT12-AT14+AT15,1))</f>
        <v/>
      </c>
      <c r="AU13" s="50" t="str">
        <f aca="false">IF(OR(AU1="",NOT(ISNUMBER(AU12)),AU14=""),"",ROUND(AU12-AU14+AU15,1))</f>
        <v/>
      </c>
      <c r="AV13" s="50" t="str">
        <f aca="false">IF(OR(AV1="",NOT(ISNUMBER(AV12)),AV14=""),"",ROUND(AV12-AV14+AV15,1))</f>
        <v/>
      </c>
      <c r="AW13" s="50" t="str">
        <f aca="false">IF(OR(AW1="",NOT(ISNUMBER(AW12)),AW14=""),"",ROUND(AW12-AW14+AW15,1))</f>
        <v/>
      </c>
      <c r="AX13" s="50" t="str">
        <f aca="false">IF(OR(AX1="",NOT(ISNUMBER(AX12)),AX14=""),"",ROUND(AX12-AX14+AX15,1))</f>
        <v/>
      </c>
      <c r="AY13" s="50" t="str">
        <f aca="false">IF(OR(AY1="",NOT(ISNUMBER(AY12)),AY14=""),"",ROUND(AY12-AY14+AY15,1))</f>
        <v/>
      </c>
      <c r="AZ13" s="50" t="str">
        <f aca="false">IF(OR(AZ1="",NOT(ISNUMBER(AZ12)),AZ14=""),"",ROUND(AZ12-AZ14+AZ15,1))</f>
        <v/>
      </c>
      <c r="BA13" s="50" t="str">
        <f aca="false">IF(OR(BA1="",NOT(ISNUMBER(BA12)),BA14=""),"",ROUND(BA12-BA14+BA15,1))</f>
        <v/>
      </c>
      <c r="BB13" s="50" t="str">
        <f aca="false">IF(OR(BB1="",NOT(ISNUMBER(BB12)),BB14=""),"",ROUND(BB12-BB14+BB15,1))</f>
        <v/>
      </c>
      <c r="BC13" s="50" t="str">
        <f aca="false">IF(OR(BC1="",NOT(ISNUMBER(BC12)),BC14=""),"",ROUND(BC12-BC14+BC15,1))</f>
        <v/>
      </c>
      <c r="BD13" s="50" t="n">
        <f aca="false">IF(OR(BD1="",NOT(ISNUMBER(BD12)),BD14=""),"",ROUND(BD12-BD14+BD15,1))</f>
        <v>1</v>
      </c>
      <c r="BE13" s="50" t="n">
        <f aca="false">IF(OR(BE1="",NOT(ISNUMBER(BE12)),BE14=""),"",ROUND(BE12-BE14+BE15,1))</f>
        <v>0.9</v>
      </c>
      <c r="BF13" s="50" t="n">
        <f aca="false">IF(OR(BF1="",NOT(ISNUMBER(BF12)),BF14=""),"",ROUND(BF12-BF14+BF15,1))</f>
        <v>1.5</v>
      </c>
      <c r="BG13" s="50" t="n">
        <f aca="false">IF(OR(BG1="",NOT(ISNUMBER(BG12)),BG14=""),"",ROUND(BG12-BG14+BG15,1))</f>
        <v>1</v>
      </c>
      <c r="BH13" s="50" t="n">
        <f aca="false">IF(OR(BH1="",NOT(ISNUMBER(BH12)),BH14=""),"",ROUND(BH12-BH14+BH15,1))</f>
        <v>3.1</v>
      </c>
      <c r="BI13" s="50" t="n">
        <f aca="false">IF(OR(BI1="",NOT(ISNUMBER(BI12)),BI14=""),"",ROUND(BI12-BI14+BI15,1))</f>
        <v>2.4</v>
      </c>
      <c r="BJ13" s="50" t="n">
        <f aca="false">IF(OR(BJ1="",NOT(ISNUMBER(BJ12)),BJ14=""),"",ROUND(BJ12-BJ14+BJ15,1))</f>
        <v>2.2</v>
      </c>
      <c r="BK13" s="50" t="n">
        <f aca="false">IF(OR(BK1="",NOT(ISNUMBER(BK12)),BK14=""),"",ROUND(BK12-BK14+BK15,1))</f>
        <v>1.5</v>
      </c>
      <c r="BL13" s="50" t="n">
        <f aca="false">IF(OR(BL1="",NOT(ISNUMBER(BL12)),BL14=""),"",ROUND(BL12-BL14+BL15,1))</f>
        <v>2.8</v>
      </c>
      <c r="BM13" s="50" t="n">
        <f aca="false">IF(OR(BM1="",NOT(ISNUMBER(BM12)),BM14=""),"",ROUND(BM12-BM14+BM15,1))</f>
        <v>2.5</v>
      </c>
      <c r="BN13" s="50" t="n">
        <f aca="false">IF(OR(BN1="",NOT(ISNUMBER(BN12)),BN14=""),"",ROUND(BN12-BN14+BN15,1))</f>
        <v>2.1</v>
      </c>
      <c r="BO13" s="50" t="n">
        <f aca="false">IF(OR(BO1="",NOT(ISNUMBER(BO12)),BO14=""),"",ROUND(BO12-BO14+BO15,1))</f>
        <v>1.5</v>
      </c>
      <c r="BP13" s="50" t="n">
        <f aca="false">IF(OR(BP1="",NOT(ISNUMBER(BP12)),BP14=""),"",ROUND(BP12-BP14+BP15,1))</f>
        <v>1.3</v>
      </c>
      <c r="BQ13" s="50" t="n">
        <f aca="false">IF(OR(BQ1="",NOT(ISNUMBER(BQ12)),BQ14=""),"",ROUND(BQ12-BQ14+BQ15,1))</f>
        <v>2.5</v>
      </c>
      <c r="BR13" s="50" t="n">
        <f aca="false">IF(OR(BR1="",NOT(ISNUMBER(BR12)),BR14=""),"",ROUND(BR12-BR14+BR15,1))</f>
        <v>2.1</v>
      </c>
      <c r="BS13" s="50" t="n">
        <f aca="false">IF(OR(BS1="",NOT(ISNUMBER(BS12)),BS14=""),"",ROUND(BS12-BS14+BS15,1))</f>
        <v>1.4</v>
      </c>
      <c r="BT13" s="50" t="n">
        <f aca="false">IF(OR(BT1="",NOT(ISNUMBER(BT12)),BT14=""),"",ROUND(BT12-BT14+BT15,1))</f>
        <v>1.2</v>
      </c>
      <c r="BU13" s="50" t="n">
        <f aca="false">IF(OR(BU1="",NOT(ISNUMBER(BU12)),BU14=""),"",ROUND(BU12-BU14+BU15,1))</f>
        <v>1</v>
      </c>
      <c r="BV13" s="50" t="n">
        <f aca="false">IF(OR(BV1="",NOT(ISNUMBER(BV12)),BV14=""),"",ROUND(BV12-BV14+BV15,1))</f>
        <v>0.9</v>
      </c>
      <c r="BW13" s="50" t="n">
        <f aca="false">IF(OR(BW1="",NOT(ISNUMBER(BW12)),BW14=""),"",ROUND(BW12-BW14+BW15,1))</f>
        <v>0.7</v>
      </c>
      <c r="BX13" s="50" t="n">
        <f aca="false">IF(OR(BX1="",NOT(ISNUMBER(BX12)),BX14=""),"",ROUND(BX12-BX14+BX15,1))</f>
        <v>2.6</v>
      </c>
      <c r="BY13" s="50" t="n">
        <f aca="false">IF(OR(BY1="",NOT(ISNUMBER(BY12)),BY14=""),"",ROUND(BY12-BY14+BY15,1))</f>
        <v>2.4</v>
      </c>
      <c r="BZ13" s="50" t="n">
        <f aca="false">IF(OR(BZ1="",NOT(ISNUMBER(BZ12)),BZ14=""),"",ROUND(BZ12-BZ14+BZ15,1))</f>
        <v>1.9</v>
      </c>
      <c r="CA13" s="50" t="str">
        <f aca="false">IF(OR(CA1="",NOT(ISNUMBER(CA12)),CA14=""),"",ROUND(CA12-CA14+CA15,1))</f>
        <v/>
      </c>
      <c r="CB13" s="50" t="n">
        <f aca="false">IF(OR(CB1="",NOT(ISNUMBER(CB12)),CB14=""),"",ROUND(CB12-CB14+CB15,1))</f>
        <v>1.1</v>
      </c>
      <c r="CC13" s="50" t="n">
        <f aca="false">IF(OR(CC1="",NOT(ISNUMBER(CC12)),CC14=""),"",ROUND(CC12-CC14+CC15,1))</f>
        <v>0.5</v>
      </c>
      <c r="CD13" s="50" t="n">
        <f aca="false">IF(OR(CD1="",NOT(ISNUMBER(CD12)),CD14=""),"",ROUND(CD12-CD14+CD15,1))</f>
        <v>-0.5</v>
      </c>
      <c r="CE13" s="50" t="n">
        <f aca="false">IF(OR(CE1="",NOT(ISNUMBER(CE12)),CE14=""),"",ROUND(CE12-CE14+CE15,1))</f>
        <v>2</v>
      </c>
      <c r="CF13" s="50" t="n">
        <f aca="false">IF(OR(CF1="",NOT(ISNUMBER(CF12)),CF14=""),"",ROUND(CF12-CF14+CF15,1))</f>
        <v>1.5</v>
      </c>
      <c r="CG13" s="50" t="n">
        <f aca="false">IF(OR(CG1="",NOT(ISNUMBER(CG12)),CG14=""),"",ROUND(CG12-CG14+CG15,1))</f>
        <v>1.3</v>
      </c>
      <c r="CH13" s="50" t="n">
        <f aca="false">IF(OR(CH1="",NOT(ISNUMBER(CH12)),CH14=""),"",ROUND(CH12-CH14+CH15,1))</f>
        <v>0.9</v>
      </c>
      <c r="CI13" s="50" t="n">
        <f aca="false">IF(OR(CI1="",NOT(ISNUMBER(CI12)),CI14=""),"",ROUND(CI12-CI14+CI15,1))</f>
        <v>3.8</v>
      </c>
      <c r="CJ13" s="50" t="n">
        <f aca="false">IF(OR(CJ1="",NOT(ISNUMBER(CJ12)),CJ14=""),"",ROUND(CJ12-CJ14+CJ15,1))</f>
        <v>3.3</v>
      </c>
      <c r="CK13" s="50" t="n">
        <f aca="false">IF(OR(CK1="",NOT(ISNUMBER(CK12)),CK14=""),"",ROUND(CK12-CK14+CK15,1))</f>
        <v>1.5</v>
      </c>
      <c r="CL13" s="50" t="n">
        <f aca="false">IF(OR(CL1="",NOT(ISNUMBER(CL12)),CL14=""),"",ROUND(CL12-CL14+CL15,1))</f>
        <v>0</v>
      </c>
      <c r="CM13" s="50" t="n">
        <f aca="false">IF(OR(CM1="",NOT(ISNUMBER(CM12)),CM14=""),"",ROUND(CM12-CM14+CM15,1))</f>
        <v>-0.3</v>
      </c>
      <c r="CN13" s="50" t="n">
        <f aca="false">IF(OR(CN1="",NOT(ISNUMBER(CN12)),CN14=""),"",ROUND(CN12-CN14+CN15,1))</f>
        <v>-1</v>
      </c>
      <c r="CO13" s="50" t="n">
        <f aca="false">IF(OR(CO1="",NOT(ISNUMBER(CO12)),CO14=""),"",ROUND(CO12-CO14+CO15,1))</f>
        <v>-3</v>
      </c>
      <c r="CP13" s="50" t="n">
        <f aca="false">IF(OR(CP1="",NOT(ISNUMBER(CP12)),CP14=""),"",ROUND(CP12-CP14+CP15,1))</f>
        <v>-5</v>
      </c>
      <c r="CQ13" s="50" t="n">
        <f aca="false">IF(OR(CQ1="",NOT(ISNUMBER(CQ12)),CQ14=""),"",ROUND(CQ12-CQ14+CQ15,1))</f>
        <v>-8</v>
      </c>
      <c r="CR13" s="50" t="n">
        <f aca="false">IF(OR(CR1="",NOT(ISNUMBER(CR12)),CR14=""),"",ROUND(CR12-CR14+CR15,1))</f>
        <v>-15</v>
      </c>
      <c r="CS13" s="50" t="n">
        <f aca="false">IF(OR(CS1="",NOT(ISNUMBER(CS12)),CS14=""),"",ROUND(CS12-CS14+CS15,1))</f>
        <v>-15</v>
      </c>
      <c r="CT13" s="50" t="n">
        <f aca="false">IF(OR(CT1="",NOT(ISNUMBER(CT12)),CT14=""),"",ROUND(CT12-CT14+CT15,1))</f>
        <v>-15</v>
      </c>
      <c r="CU13" s="50" t="n">
        <f aca="false">IF(OR(CU1="",NOT(ISNUMBER(CU12)),CU14=""),"",ROUND(CU12-CU14+CU15,1))</f>
        <v>-15</v>
      </c>
      <c r="CV13" s="50" t="n">
        <f aca="false">IF(OR(CV1="",NOT(ISNUMBER(CV12)),CV14=""),"",ROUND(CV12-CV14+CV15,1))</f>
        <v>-15</v>
      </c>
      <c r="CW13" s="50" t="n">
        <f aca="false">IF(OR(CW1="",NOT(ISNUMBER(CW12)),CW14=""),"",ROUND(CW12-CW14+CW15,1))</f>
        <v>-15</v>
      </c>
      <c r="CX13" s="50" t="n">
        <f aca="false">IF(OR(CX1="",NOT(ISNUMBER(CX12)),CX14=""),"",ROUND(CX12-CX14+CX15,1))</f>
        <v>1</v>
      </c>
      <c r="CY13" s="50" t="n">
        <f aca="false">IF(OR(CY1="",NOT(ISNUMBER(CY12)),CY14=""),"",ROUND(CY12-CY14+CY15,1))</f>
        <v>0.7</v>
      </c>
      <c r="CZ13" s="50" t="n">
        <f aca="false">IF(OR(CZ1="",NOT(ISNUMBER(CZ12)),CZ14=""),"",ROUND(CZ12-CZ14+CZ15,1))</f>
        <v>0.2</v>
      </c>
      <c r="DA13" s="50" t="n">
        <f aca="false">IF(OR(DA1="",NOT(ISNUMBER(DA12)),DA14=""),"",ROUND(DA12-DA14+DA15,1))</f>
        <v>1.7</v>
      </c>
      <c r="DB13" s="50" t="n">
        <f aca="false">IF(OR(DB1="",NOT(ISNUMBER(DB12)),DB14=""),"",ROUND(DB12-DB14+DB15,1))</f>
        <v>1</v>
      </c>
      <c r="DC13" s="50" t="n">
        <f aca="false">IF(OR(DC1="",NOT(ISNUMBER(DC12)),DC14=""),"",ROUND(DC12-DC14+DC15,1))</f>
        <v>0.5</v>
      </c>
      <c r="DD13" s="50" t="n">
        <f aca="false">IF(OR(DD1="",NOT(ISNUMBER(DD12)),DD14=""),"",ROUND(DD12-DD14+DD15,1))</f>
        <v>2.5</v>
      </c>
      <c r="DE13" s="50" t="n">
        <f aca="false">IF(OR(DE1="",NOT(ISNUMBER(DE12)),DE14=""),"",ROUND(DE12-DE14+DE15,1))</f>
        <v>2</v>
      </c>
      <c r="DF13" s="50" t="n">
        <f aca="false">IF(OR(DF1="",NOT(ISNUMBER(DF12)),DF14=""),"",ROUND(DF12-DF14+DF15,1))</f>
        <v>1.5</v>
      </c>
      <c r="DG13" s="50" t="n">
        <f aca="false">IF(OR(DG1="",NOT(ISNUMBER(DG12)),DG14=""),"",ROUND(DG12-DG14+DG15,1))</f>
        <v>1</v>
      </c>
      <c r="DH13" s="50" t="n">
        <f aca="false">IF(OR(DH1="",NOT(ISNUMBER(DH12)),DH14=""),"",ROUND(DH12-DH14+DH15,1))</f>
        <v>0.7</v>
      </c>
      <c r="DI13" s="50" t="n">
        <f aca="false">IF(OR(DI1="",NOT(ISNUMBER(DI12)),DI14=""),"",ROUND(DI12-DI14+DI15,1))</f>
        <v>0.1</v>
      </c>
      <c r="DJ13" s="50" t="n">
        <f aca="false">IF(OR(DJ1="",NOT(ISNUMBER(DJ12)),DJ14=""),"",ROUND(DJ12-DJ14+DJ15,1))</f>
        <v>0</v>
      </c>
      <c r="DK13" s="50" t="n">
        <f aca="false">IF(OR(DK1="",NOT(ISNUMBER(DK12)),DK14=""),"",ROUND(DK12-DK14+DK15,1))</f>
        <v>1</v>
      </c>
      <c r="DL13" s="50" t="str">
        <f aca="false">IF(OR(DL1="",NOT(ISNUMBER(DL12)),DL14=""),"",ROUND(DL12-DL14+DL15,1))</f>
        <v/>
      </c>
      <c r="DM13" s="50" t="n">
        <f aca="false">IF(OR(DM1="",NOT(ISNUMBER(DM12)),DM14=""),"",ROUND(DM12-DM14+DM15,1))</f>
        <v>0.2</v>
      </c>
      <c r="DN13" s="50" t="n">
        <f aca="false">IF(OR(DN1="",NOT(ISNUMBER(DN12)),DN14=""),"",ROUND(DN12-DN14+DN15,1))</f>
        <v>0.9</v>
      </c>
      <c r="DO13" s="50" t="n">
        <f aca="false">IF(OR(DO1="",NOT(ISNUMBER(DO12)),DO14=""),"",ROUND(DO12-DO14+DO15,1))</f>
        <v>0</v>
      </c>
      <c r="DP13" s="50" t="n">
        <f aca="false">IF(OR(DP1="",NOT(ISNUMBER(DP12)),DP14=""),"",ROUND(DP12-DP14+DP15,1))</f>
        <v>1</v>
      </c>
      <c r="DQ13" s="50" t="n">
        <f aca="false">IF(OR(DQ1="",NOT(ISNUMBER(DQ12)),DQ14=""),"",ROUND(DQ12-DQ14+DQ15,1))</f>
        <v>0.7</v>
      </c>
      <c r="DR13" s="50" t="n">
        <f aca="false">IF(OR(DR1="",NOT(ISNUMBER(DR12)),DR14=""),"",ROUND(DR12-DR14+DR15,1))</f>
        <v>0.3</v>
      </c>
      <c r="DS13" s="50" t="n">
        <f aca="false">IF(OR(DS1="",NOT(ISNUMBER(DS12)),DS14=""),"",ROUND(DS12-DS14+DS15,1))</f>
        <v>0.5</v>
      </c>
      <c r="DT13" s="50" t="n">
        <f aca="false">IF(OR(DT1="",NOT(ISNUMBER(DT12)),DT14=""),"",ROUND(DT12-DT14+DT15,1))</f>
        <v>0</v>
      </c>
      <c r="DU13" s="50" t="n">
        <f aca="false">IF(OR(DU1="",NOT(ISNUMBER(DU12)),DU14=""),"",ROUND(DU12-DU14+DU15,1))</f>
        <v>1</v>
      </c>
      <c r="DV13" s="50" t="n">
        <f aca="false">IF(OR(DV1="",NOT(ISNUMBER(DV12)),DV14=""),"",ROUND(DV12-DV14+DV15,1))</f>
        <v>0.7</v>
      </c>
      <c r="DW13" s="50" t="n">
        <f aca="false">IF(OR(DW1="",NOT(ISNUMBER(DW12)),DW14=""),"",ROUND(DW12-DW14+DW15,1))</f>
        <v>0.5</v>
      </c>
      <c r="DX13" s="50" t="n">
        <f aca="false">IF(OR(DX1="",NOT(ISNUMBER(DX12)),DX14=""),"",ROUND(DX12-DX14+DX15,1))</f>
        <v>1</v>
      </c>
      <c r="DY13" s="50" t="n">
        <f aca="false">IF(OR(DY1="",NOT(ISNUMBER(DY12)),DY14=""),"",ROUND(DY12-DY14+DY15,1))</f>
        <v>0.7</v>
      </c>
      <c r="DZ13" s="50" t="n">
        <f aca="false">IF(OR(DZ1="",NOT(ISNUMBER(DZ12)),DZ14=""),"",ROUND(DZ12-DZ14+DZ15,1))</f>
        <v>0.5</v>
      </c>
      <c r="EA13" s="50" t="n">
        <f aca="false">IF(OR(EA1="",NOT(ISNUMBER(EA12)),EA14=""),"",ROUND(EA12-EA14+EA15,1))</f>
        <v>0.1</v>
      </c>
      <c r="EB13" s="50" t="n">
        <f aca="false">IF(OR(EB1="",NOT(ISNUMBER(EB12)),EB14=""),"",ROUND(EB12-EB14+EB15,1))</f>
        <v>1.5</v>
      </c>
      <c r="EC13" s="50" t="n">
        <f aca="false">IF(OR(EC1="",NOT(ISNUMBER(EC12)),EC14=""),"",ROUND(EC12-EC14+EC15,1))</f>
        <v>1</v>
      </c>
      <c r="ED13" s="50" t="n">
        <f aca="false">IF(OR(ED1="",NOT(ISNUMBER(ED12)),ED14=""),"",ROUND(ED12-ED14+ED15,1))</f>
        <v>0.7</v>
      </c>
      <c r="EE13" s="50" t="n">
        <f aca="false">IF(OR(EE1="",NOT(ISNUMBER(EE12)),EE14=""),"",ROUND(EE12-EE14+EE15,1))</f>
        <v>2</v>
      </c>
      <c r="EF13" s="50" t="n">
        <f aca="false">IF(OR(EF1="",NOT(ISNUMBER(EF12)),EF14=""),"",ROUND(EF12-EF14+EF15,1))</f>
        <v>1.7</v>
      </c>
      <c r="EG13" s="50" t="n">
        <f aca="false">IF(OR(EG1="",NOT(ISNUMBER(EG12)),EG14=""),"",ROUND(EG12-EG14+EG15,1))</f>
        <v>1</v>
      </c>
      <c r="EH13" s="50" t="n">
        <f aca="false">IF(OR(EH1="",NOT(ISNUMBER(EH12)),EH14=""),"",ROUND(EH12-EH14+EH15,1))</f>
        <v>0.6</v>
      </c>
      <c r="EI13" s="50" t="n">
        <f aca="false">IF(OR(EI1="",NOT(ISNUMBER(EI12)),EI14=""),"",ROUND(EI12-EI14+EI15,1))</f>
        <v>1.5</v>
      </c>
      <c r="EJ13" s="50" t="n">
        <f aca="false">IF(OR(EJ1="",NOT(ISNUMBER(EJ12)),EJ14=""),"",ROUND(EJ12-EJ14+EJ15,1))</f>
        <v>1</v>
      </c>
      <c r="EK13" s="50" t="n">
        <f aca="false">IF(OR(EK1="",NOT(ISNUMBER(EK12)),EK14=""),"",ROUND(EK12-EK14+EK15,1))</f>
        <v>2.5</v>
      </c>
      <c r="EL13" s="50" t="n">
        <f aca="false">IF(OR(EL1="",NOT(ISNUMBER(EL12)),EL14=""),"",ROUND(EL12-EL14+EL15,1))</f>
        <v>1.5</v>
      </c>
      <c r="EM13" s="50" t="n">
        <f aca="false">IF(OR(EM1="",NOT(ISNUMBER(EM12)),EM14=""),"",ROUND(EM12-EM14+EM15,1))</f>
        <v>2.5</v>
      </c>
      <c r="EN13" s="50" t="n">
        <f aca="false">IF(OR(EN1="",NOT(ISNUMBER(EN12)),EN14=""),"",ROUND(EN12-EN14+EN15,1))</f>
        <v>2</v>
      </c>
      <c r="EO13" s="50" t="n">
        <f aca="false">IF(OR(EO1="",NOT(ISNUMBER(EO12)),EO14=""),"",ROUND(EO12-EO14+EO15,1))</f>
        <v>1.5</v>
      </c>
      <c r="EP13" s="50" t="n">
        <f aca="false">IF(OR(EP1="",NOT(ISNUMBER(EP12)),EP14=""),"",ROUND(EP12-EP14+EP15,1))</f>
        <v>0.5</v>
      </c>
      <c r="EQ13" s="50" t="n">
        <f aca="false">IF(OR(EQ1="",NOT(ISNUMBER(EQ12)),EQ14=""),"",ROUND(EQ12-EQ14+EQ15,1))</f>
        <v>1.5</v>
      </c>
      <c r="ER13" s="50" t="n">
        <f aca="false">IF(OR(ER1="",NOT(ISNUMBER(ER12)),ER14=""),"",ROUND(ER12-ER14+ER15,1))</f>
        <v>0</v>
      </c>
      <c r="ES13" s="50" t="n">
        <f aca="false">IF(OR(ES1="",NOT(ISNUMBER(ES12)),ES14=""),"",ROUND(ES12-ES14+ES15,1))</f>
        <v>-6.5</v>
      </c>
      <c r="ET13" s="50" t="n">
        <f aca="false">IF(OR(ET1="",NOT(ISNUMBER(ET12)),ET14=""),"",ROUND(ET12-ET14+ET15,1))</f>
        <v>-15</v>
      </c>
      <c r="EU13" s="50" t="str">
        <f aca="false">IF(OR(EU1="",NOT(ISNUMBER(EU12)),EU14=""),"",ROUND(EU12-EU14+EU15,1))</f>
        <v/>
      </c>
      <c r="EV13" s="50" t="str">
        <f aca="false">IF(OR(EV1="",NOT(ISNUMBER(EV12)),EV14=""),"",ROUND(EV12-EV14+EV15,1))</f>
        <v/>
      </c>
      <c r="EW13" s="50" t="str">
        <f aca="false">IF(OR(EW1="",NOT(ISNUMBER(EW12)),EW14=""),"",ROUND(EW12-EW14+EW15,1))</f>
        <v/>
      </c>
      <c r="EX13" s="50" t="str">
        <f aca="false">IF(OR(EX1="",NOT(ISNUMBER(EX12)),EX14=""),"",ROUND(EX12-EX14+EX15,1))</f>
        <v/>
      </c>
      <c r="EY13" s="50" t="str">
        <f aca="false">IF(OR(EY1="",NOT(ISNUMBER(EY12)),EY14=""),"",ROUND(EY12-EY14+EY15,1))</f>
        <v/>
      </c>
      <c r="EZ13" s="50" t="str">
        <f aca="false">IF(OR(EZ1="",NOT(ISNUMBER(EZ12)),EZ14=""),"",ROUND(EZ12-EZ14+EZ15,1))</f>
        <v/>
      </c>
      <c r="FA13" s="50" t="str">
        <f aca="false">IF(OR(FA1="",NOT(ISNUMBER(FA12)),FA14=""),"",ROUND(FA12-FA14+FA15,1))</f>
        <v/>
      </c>
      <c r="FB13" s="50" t="str">
        <f aca="false">IF(OR(FB1="",NOT(ISNUMBER(FB12)),FB14=""),"",ROUND(FB12-FB14+FB15,1))</f>
        <v/>
      </c>
      <c r="FC13" s="50" t="str">
        <f aca="false">IF(OR(FC1="",NOT(ISNUMBER(FC12)),FC14=""),"",ROUND(FC12-FC14+FC15,1))</f>
        <v/>
      </c>
      <c r="FD13" s="50" t="str">
        <f aca="false">IF(OR(FD1="",NOT(ISNUMBER(FD12)),FD14=""),"",ROUND(FD12-FD14+FD15,1))</f>
        <v/>
      </c>
      <c r="FE13" s="50" t="str">
        <f aca="false">IF(OR(FE1="",NOT(ISNUMBER(FE12)),FE14=""),"",ROUND(FE12-FE14+FE15,1))</f>
        <v/>
      </c>
      <c r="FF13" s="50" t="str">
        <f aca="false">IF(OR(FF1="",NOT(ISNUMBER(FF12)),FF14=""),"",ROUND(FF12-FF14+FF15,1))</f>
        <v/>
      </c>
      <c r="FG13" s="50" t="str">
        <f aca="false">IF(OR(FG1="",NOT(ISNUMBER(FG12)),FG14=""),"",ROUND(FG12-FG14+FG15,1))</f>
        <v/>
      </c>
      <c r="FH13" s="50" t="str">
        <f aca="false">IF(OR(FH1="",NOT(ISNUMBER(FH12)),FH14=""),"",ROUND(FH12-FH14+FH15,1))</f>
        <v/>
      </c>
      <c r="FI13" s="50" t="str">
        <f aca="false">IF(OR(FI1="",NOT(ISNUMBER(FI12)),FI14=""),"",ROUND(FI12-FI14+FI15,1))</f>
        <v/>
      </c>
      <c r="FJ13" s="50" t="str">
        <f aca="false">IF(OR(FJ1="",NOT(ISNUMBER(FJ12)),FJ14=""),"",ROUND(FJ12-FJ14+FJ15,1))</f>
        <v/>
      </c>
      <c r="FK13" s="50" t="str">
        <f aca="false">IF(OR(FK1="",NOT(ISNUMBER(FK12)),FK14=""),"",ROUND(FK12-FK14+FK15,1))</f>
        <v/>
      </c>
      <c r="FL13" s="50" t="str">
        <f aca="false">IF(OR(FL1="",NOT(ISNUMBER(FL12)),FL14=""),"",ROUND(FL12-FL14+FL15,1))</f>
        <v/>
      </c>
      <c r="FM13" s="50" t="str">
        <f aca="false">IF(OR(FM1="",NOT(ISNUMBER(FM12)),FM14=""),"",ROUND(FM12-FM14+FM15,1))</f>
        <v/>
      </c>
      <c r="FN13" s="50" t="str">
        <f aca="false">IF(OR(FN1="",NOT(ISNUMBER(FN12)),FN14=""),"",ROUND(FN12-FN14+FN15,1))</f>
        <v/>
      </c>
      <c r="FO13" s="50" t="str">
        <f aca="false">IF(OR(FO1="",NOT(ISNUMBER(FO12)),FO14=""),"",ROUND(FO12-FO14+FO15,1))</f>
        <v/>
      </c>
      <c r="FP13" s="50" t="str">
        <f aca="false">IF(OR(FP1="",NOT(ISNUMBER(FP12)),FP14=""),"",ROUND(FP12-FP14+FP15,1))</f>
        <v/>
      </c>
      <c r="FQ13" s="50" t="str">
        <f aca="false">IF(OR(FQ1="",NOT(ISNUMBER(FQ12)),FQ14=""),"",ROUND(FQ12-FQ14+FQ15,1))</f>
        <v/>
      </c>
    </row>
    <row r="14" customFormat="false" ht="15" hidden="false" customHeight="false" outlineLevel="0" collapsed="false">
      <c r="A14" s="31" t="s">
        <v>328</v>
      </c>
      <c r="B14" s="17" t="s">
        <v>413</v>
      </c>
      <c r="D14" s="50" t="n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>295</v>
      </c>
      <c r="E14" s="50" t="n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>295</v>
      </c>
      <c r="F14" s="50" t="n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>295</v>
      </c>
      <c r="G14" s="50" t="n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>295</v>
      </c>
      <c r="H14" s="50" t="n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>295</v>
      </c>
      <c r="I14" s="50" t="n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>295</v>
      </c>
      <c r="J14" s="50" t="n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>295</v>
      </c>
      <c r="K14" s="50" t="n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>295</v>
      </c>
      <c r="L14" s="50" t="n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>295</v>
      </c>
      <c r="M14" s="50" t="n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>295</v>
      </c>
      <c r="N14" s="50" t="n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>295</v>
      </c>
      <c r="O14" s="50" t="n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>295</v>
      </c>
      <c r="P14" s="50" t="n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>295</v>
      </c>
      <c r="Q14" s="50" t="n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>295</v>
      </c>
      <c r="R14" s="50" t="n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>295</v>
      </c>
      <c r="S14" s="50" t="n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>295</v>
      </c>
      <c r="T14" s="50" t="n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>295</v>
      </c>
      <c r="U14" s="50" t="n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>295</v>
      </c>
      <c r="V14" s="50" t="n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>295</v>
      </c>
      <c r="W14" s="50" t="n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>295</v>
      </c>
      <c r="X14" s="50" t="n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>295</v>
      </c>
      <c r="Y14" s="50" t="n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>295</v>
      </c>
      <c r="Z14" s="50" t="n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>295</v>
      </c>
      <c r="AA14" s="50" t="n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>295</v>
      </c>
      <c r="AB14" s="50" t="n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>295</v>
      </c>
      <c r="AC14" s="50" t="n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>295</v>
      </c>
      <c r="AD14" s="50" t="n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>295</v>
      </c>
      <c r="AE14" s="50" t="n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>295</v>
      </c>
      <c r="AF14" s="50" t="n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>295</v>
      </c>
      <c r="AG14" s="50" t="n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>295</v>
      </c>
      <c r="AH14" s="50" t="n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>295</v>
      </c>
      <c r="AI14" s="50" t="n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>295</v>
      </c>
      <c r="AJ14" s="50" t="n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>295</v>
      </c>
      <c r="AK14" s="50" t="n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>295</v>
      </c>
      <c r="AL14" s="50" t="n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>295</v>
      </c>
      <c r="AM14" s="50" t="n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>295</v>
      </c>
      <c r="AN14" s="50" t="n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>295</v>
      </c>
      <c r="AO14" s="50" t="n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>295</v>
      </c>
      <c r="AP14" s="50" t="n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>295</v>
      </c>
      <c r="AQ14" s="50" t="n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>295</v>
      </c>
      <c r="AR14" s="50" t="n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>295</v>
      </c>
      <c r="AS14" s="50" t="n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>295</v>
      </c>
      <c r="AT14" s="50" t="n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>295</v>
      </c>
      <c r="AU14" s="50" t="n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>295</v>
      </c>
      <c r="AV14" s="50" t="n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>295</v>
      </c>
      <c r="AW14" s="50" t="n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>295</v>
      </c>
      <c r="AX14" s="50" t="n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>295</v>
      </c>
      <c r="AY14" s="50" t="n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>295</v>
      </c>
      <c r="AZ14" s="50" t="n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>295</v>
      </c>
      <c r="BA14" s="50" t="n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>295</v>
      </c>
      <c r="BB14" s="50" t="n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>295</v>
      </c>
      <c r="BC14" s="50" t="n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>295</v>
      </c>
      <c r="BD14" s="50" t="n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>295</v>
      </c>
      <c r="BE14" s="50" t="n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>295</v>
      </c>
      <c r="BF14" s="50" t="n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>295</v>
      </c>
      <c r="BG14" s="50" t="n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>295</v>
      </c>
      <c r="BH14" s="50" t="n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>295</v>
      </c>
      <c r="BI14" s="50" t="n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>295</v>
      </c>
      <c r="BJ14" s="50" t="n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>295</v>
      </c>
      <c r="BK14" s="50" t="n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>295</v>
      </c>
      <c r="BL14" s="50" t="n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>295</v>
      </c>
      <c r="BM14" s="50" t="n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>295</v>
      </c>
      <c r="BN14" s="50" t="n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>295</v>
      </c>
      <c r="BO14" s="50" t="n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>295</v>
      </c>
      <c r="BP14" s="50" t="n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>295</v>
      </c>
      <c r="BQ14" s="50" t="n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>295</v>
      </c>
      <c r="BR14" s="50" t="n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>295</v>
      </c>
      <c r="BS14" s="50" t="n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>295</v>
      </c>
      <c r="BT14" s="50" t="n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>295</v>
      </c>
      <c r="BU14" s="50" t="n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>295</v>
      </c>
      <c r="BV14" s="50" t="n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>295</v>
      </c>
      <c r="BW14" s="50" t="n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>295</v>
      </c>
      <c r="BX14" s="50" t="n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>295</v>
      </c>
      <c r="BY14" s="50" t="n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>295</v>
      </c>
      <c r="BZ14" s="50" t="n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>295</v>
      </c>
      <c r="CA14" s="50" t="n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>295</v>
      </c>
      <c r="CB14" s="50" t="n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>295</v>
      </c>
      <c r="CC14" s="50" t="n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>295</v>
      </c>
      <c r="CD14" s="50" t="n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>295</v>
      </c>
      <c r="CE14" s="50" t="n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>295</v>
      </c>
      <c r="CF14" s="50" t="n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>295</v>
      </c>
      <c r="CG14" s="50" t="n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>295</v>
      </c>
      <c r="CH14" s="50" t="n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>295</v>
      </c>
      <c r="CI14" s="50" t="n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>295</v>
      </c>
      <c r="CJ14" s="50" t="n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>295</v>
      </c>
      <c r="CK14" s="50" t="n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>295</v>
      </c>
      <c r="CL14" s="50" t="n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>295</v>
      </c>
      <c r="CM14" s="50" t="n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>295</v>
      </c>
      <c r="CN14" s="50" t="n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>295</v>
      </c>
      <c r="CO14" s="50" t="n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>295</v>
      </c>
      <c r="CP14" s="50" t="n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>295</v>
      </c>
      <c r="CQ14" s="50" t="n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>295</v>
      </c>
      <c r="CR14" s="50" t="n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>295</v>
      </c>
      <c r="CS14" s="50" t="n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>295</v>
      </c>
      <c r="CT14" s="50" t="n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>295</v>
      </c>
      <c r="CU14" s="50" t="n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>295</v>
      </c>
      <c r="CV14" s="50" t="n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>295</v>
      </c>
      <c r="CW14" s="50" t="n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>295</v>
      </c>
      <c r="CX14" s="50" t="n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>295</v>
      </c>
      <c r="CY14" s="50" t="n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>295</v>
      </c>
      <c r="CZ14" s="50" t="n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>295</v>
      </c>
      <c r="DA14" s="50" t="n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>295</v>
      </c>
      <c r="DB14" s="50" t="n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>295</v>
      </c>
      <c r="DC14" s="50" t="n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>295</v>
      </c>
      <c r="DD14" s="50" t="n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>295</v>
      </c>
      <c r="DE14" s="50" t="n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>295</v>
      </c>
      <c r="DF14" s="50" t="n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>295</v>
      </c>
      <c r="DG14" s="50" t="n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>295</v>
      </c>
      <c r="DH14" s="50" t="n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>295</v>
      </c>
      <c r="DI14" s="50" t="n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>295</v>
      </c>
      <c r="DJ14" s="50" t="n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>295</v>
      </c>
      <c r="DK14" s="50" t="n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>295</v>
      </c>
      <c r="DL14" s="50" t="n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>295</v>
      </c>
      <c r="DM14" s="50" t="n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>295</v>
      </c>
      <c r="DN14" s="50" t="n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>295</v>
      </c>
      <c r="DO14" s="50" t="n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>295</v>
      </c>
      <c r="DP14" s="50" t="n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>295</v>
      </c>
      <c r="DQ14" s="50" t="n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>295</v>
      </c>
      <c r="DR14" s="50" t="n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>295</v>
      </c>
      <c r="DS14" s="50" t="n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>295</v>
      </c>
      <c r="DT14" s="50" t="n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>295</v>
      </c>
      <c r="DU14" s="50" t="n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>295</v>
      </c>
      <c r="DV14" s="50" t="n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>295</v>
      </c>
      <c r="DW14" s="50" t="n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>295</v>
      </c>
      <c r="DX14" s="50" t="n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>295</v>
      </c>
      <c r="DY14" s="50" t="n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>295</v>
      </c>
      <c r="DZ14" s="50" t="n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>295</v>
      </c>
      <c r="EA14" s="50" t="n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>295</v>
      </c>
      <c r="EB14" s="50" t="n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>295</v>
      </c>
      <c r="EC14" s="50" t="n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>295</v>
      </c>
      <c r="ED14" s="50" t="n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>295</v>
      </c>
      <c r="EE14" s="50" t="n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>295</v>
      </c>
      <c r="EF14" s="50" t="n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>295</v>
      </c>
      <c r="EG14" s="50" t="n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>295</v>
      </c>
      <c r="EH14" s="50" t="n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>295</v>
      </c>
      <c r="EI14" s="50" t="n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>295</v>
      </c>
      <c r="EJ14" s="50" t="n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>295</v>
      </c>
      <c r="EK14" s="50" t="n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>295</v>
      </c>
      <c r="EL14" s="50" t="n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>295</v>
      </c>
      <c r="EM14" s="50" t="n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>295</v>
      </c>
      <c r="EN14" s="50" t="n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>295</v>
      </c>
      <c r="EO14" s="50" t="n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>295</v>
      </c>
      <c r="EP14" s="50" t="n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>295</v>
      </c>
      <c r="EQ14" s="50" t="n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>295</v>
      </c>
      <c r="ER14" s="50" t="n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>295</v>
      </c>
      <c r="ES14" s="50" t="n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>295</v>
      </c>
      <c r="ET14" s="50" t="n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>295</v>
      </c>
      <c r="EU14" s="50" t="n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>295</v>
      </c>
      <c r="EV14" s="50" t="n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>295</v>
      </c>
      <c r="EW14" s="50" t="n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>295</v>
      </c>
      <c r="EX14" s="50" t="n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>295</v>
      </c>
      <c r="EY14" s="50" t="n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>295</v>
      </c>
      <c r="EZ14" s="50" t="n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>295</v>
      </c>
      <c r="FA14" s="50" t="n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>295</v>
      </c>
      <c r="FB14" s="50" t="n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>295</v>
      </c>
      <c r="FC14" s="50" t="n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>295</v>
      </c>
      <c r="FD14" s="50" t="n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>295</v>
      </c>
      <c r="FE14" s="50" t="n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>295</v>
      </c>
      <c r="FF14" s="50" t="n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>295</v>
      </c>
      <c r="FG14" s="50" t="n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>295</v>
      </c>
      <c r="FH14" s="50" t="n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>295</v>
      </c>
      <c r="FI14" s="50" t="n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>295</v>
      </c>
      <c r="FJ14" s="50" t="n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>295</v>
      </c>
      <c r="FK14" s="50" t="n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>295</v>
      </c>
      <c r="FL14" s="50" t="n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>295</v>
      </c>
      <c r="FM14" s="50" t="n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>295</v>
      </c>
      <c r="FN14" s="50" t="n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>295</v>
      </c>
      <c r="FO14" s="50" t="n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>295</v>
      </c>
      <c r="FP14" s="50" t="n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>295</v>
      </c>
      <c r="FQ14" s="50" t="n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>295</v>
      </c>
    </row>
    <row r="15" customFormat="false" ht="15" hidden="false" customHeight="false" outlineLevel="0" collapsed="false">
      <c r="A15" s="31" t="s">
        <v>328</v>
      </c>
      <c r="B15" s="17" t="s">
        <v>414</v>
      </c>
      <c r="D15" s="50" t="n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>16</v>
      </c>
      <c r="E15" s="50" t="n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>16</v>
      </c>
      <c r="F15" s="50" t="n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>16</v>
      </c>
      <c r="G15" s="50" t="n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>16</v>
      </c>
      <c r="H15" s="50" t="n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>16</v>
      </c>
      <c r="I15" s="50" t="n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>16</v>
      </c>
      <c r="J15" s="50" t="n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>16</v>
      </c>
      <c r="K15" s="50" t="n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>16</v>
      </c>
      <c r="L15" s="50" t="n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>16</v>
      </c>
      <c r="M15" s="50" t="n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>16</v>
      </c>
      <c r="N15" s="50" t="n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>16</v>
      </c>
      <c r="O15" s="50" t="n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>16</v>
      </c>
      <c r="P15" s="50" t="n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>16</v>
      </c>
      <c r="Q15" s="50" t="n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>16</v>
      </c>
      <c r="R15" s="50" t="n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>16</v>
      </c>
      <c r="S15" s="50" t="n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>16</v>
      </c>
      <c r="T15" s="50" t="n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>16</v>
      </c>
      <c r="U15" s="50" t="n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>16</v>
      </c>
      <c r="V15" s="50" t="n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>16</v>
      </c>
      <c r="W15" s="50" t="n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>16</v>
      </c>
      <c r="X15" s="50" t="n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>16</v>
      </c>
      <c r="Y15" s="50" t="n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>16</v>
      </c>
      <c r="Z15" s="50" t="n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>16</v>
      </c>
      <c r="AA15" s="50" t="n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>16</v>
      </c>
      <c r="AB15" s="50" t="n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>16</v>
      </c>
      <c r="AC15" s="50" t="n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>16</v>
      </c>
      <c r="AD15" s="50" t="n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>16</v>
      </c>
      <c r="AE15" s="50" t="n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>16</v>
      </c>
      <c r="AF15" s="50" t="n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>16</v>
      </c>
      <c r="AG15" s="50" t="n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>16</v>
      </c>
      <c r="AH15" s="50" t="n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>16</v>
      </c>
      <c r="AI15" s="50" t="n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>16</v>
      </c>
      <c r="AJ15" s="50" t="n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>16</v>
      </c>
      <c r="AK15" s="50" t="n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>16</v>
      </c>
      <c r="AL15" s="50" t="n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>16</v>
      </c>
      <c r="AM15" s="50" t="n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>16</v>
      </c>
      <c r="AN15" s="50" t="n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>16</v>
      </c>
      <c r="AO15" s="50" t="n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>16</v>
      </c>
      <c r="AP15" s="50" t="n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>16</v>
      </c>
      <c r="AQ15" s="50" t="n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>16</v>
      </c>
      <c r="AR15" s="50" t="n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>16</v>
      </c>
      <c r="AS15" s="50" t="n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>16</v>
      </c>
      <c r="AT15" s="50" t="n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>16</v>
      </c>
      <c r="AU15" s="50" t="n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>16</v>
      </c>
      <c r="AV15" s="50" t="n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>16</v>
      </c>
      <c r="AW15" s="50" t="n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>16</v>
      </c>
      <c r="AX15" s="50" t="n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>16</v>
      </c>
      <c r="AY15" s="50" t="n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>16</v>
      </c>
      <c r="AZ15" s="50" t="n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>16</v>
      </c>
      <c r="BA15" s="50" t="n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>16</v>
      </c>
      <c r="BB15" s="50" t="n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>16</v>
      </c>
      <c r="BC15" s="50" t="n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>16</v>
      </c>
      <c r="BD15" s="50" t="n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>16</v>
      </c>
      <c r="BE15" s="50" t="n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>16</v>
      </c>
      <c r="BF15" s="50" t="n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>16</v>
      </c>
      <c r="BG15" s="50" t="n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>16</v>
      </c>
      <c r="BH15" s="50" t="n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>16</v>
      </c>
      <c r="BI15" s="50" t="n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>16</v>
      </c>
      <c r="BJ15" s="50" t="n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>16</v>
      </c>
      <c r="BK15" s="50" t="n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>16</v>
      </c>
      <c r="BL15" s="50" t="n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>16</v>
      </c>
      <c r="BM15" s="50" t="n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>16</v>
      </c>
      <c r="BN15" s="50" t="n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>16</v>
      </c>
      <c r="BO15" s="50" t="n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>16</v>
      </c>
      <c r="BP15" s="50" t="n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>16</v>
      </c>
      <c r="BQ15" s="50" t="n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>16</v>
      </c>
      <c r="BR15" s="50" t="n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>16</v>
      </c>
      <c r="BS15" s="50" t="n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>16</v>
      </c>
      <c r="BT15" s="50" t="n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>16</v>
      </c>
      <c r="BU15" s="50" t="n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>16</v>
      </c>
      <c r="BV15" s="50" t="n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>16</v>
      </c>
      <c r="BW15" s="50" t="n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>16</v>
      </c>
      <c r="BX15" s="50" t="n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>16</v>
      </c>
      <c r="BY15" s="50" t="n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>16</v>
      </c>
      <c r="BZ15" s="50" t="n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>16</v>
      </c>
      <c r="CA15" s="50" t="n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>16</v>
      </c>
      <c r="CB15" s="50" t="n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>16</v>
      </c>
      <c r="CC15" s="50" t="n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>16</v>
      </c>
      <c r="CD15" s="50" t="n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>16</v>
      </c>
      <c r="CE15" s="50" t="n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>16</v>
      </c>
      <c r="CF15" s="50" t="n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>16</v>
      </c>
      <c r="CG15" s="50" t="n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>16</v>
      </c>
      <c r="CH15" s="50" t="n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>16</v>
      </c>
      <c r="CI15" s="50" t="n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>16</v>
      </c>
      <c r="CJ15" s="50" t="n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>16</v>
      </c>
      <c r="CK15" s="50" t="n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>15</v>
      </c>
      <c r="CL15" s="50" t="n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>15</v>
      </c>
      <c r="CM15" s="50" t="n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>15</v>
      </c>
      <c r="CN15" s="50" t="n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>15</v>
      </c>
      <c r="CO15" s="50" t="n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>15</v>
      </c>
      <c r="CP15" s="50" t="n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>15</v>
      </c>
      <c r="CQ15" s="50" t="n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>15</v>
      </c>
      <c r="CR15" s="50" t="n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>15</v>
      </c>
      <c r="CS15" s="50" t="n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>15</v>
      </c>
      <c r="CT15" s="50" t="n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>15</v>
      </c>
      <c r="CU15" s="50" t="n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>15</v>
      </c>
      <c r="CV15" s="50" t="n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>15</v>
      </c>
      <c r="CW15" s="50" t="n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>15</v>
      </c>
      <c r="CX15" s="50" t="n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>15</v>
      </c>
      <c r="CY15" s="50" t="n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>15</v>
      </c>
      <c r="CZ15" s="50" t="n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>15</v>
      </c>
      <c r="DA15" s="50" t="n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>15</v>
      </c>
      <c r="DB15" s="50" t="n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>15</v>
      </c>
      <c r="DC15" s="50" t="n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>15</v>
      </c>
      <c r="DD15" s="50" t="n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>15</v>
      </c>
      <c r="DE15" s="50" t="n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>15</v>
      </c>
      <c r="DF15" s="50" t="n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>15</v>
      </c>
      <c r="DG15" s="50" t="n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>15</v>
      </c>
      <c r="DH15" s="50" t="n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>15</v>
      </c>
      <c r="DI15" s="50" t="n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>15</v>
      </c>
      <c r="DJ15" s="50" t="n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>15</v>
      </c>
      <c r="DK15" s="50" t="n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>15</v>
      </c>
      <c r="DL15" s="50" t="n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>15</v>
      </c>
      <c r="DM15" s="50" t="n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>15</v>
      </c>
      <c r="DN15" s="50" t="n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>15</v>
      </c>
      <c r="DO15" s="50" t="n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>15</v>
      </c>
      <c r="DP15" s="50" t="n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>15</v>
      </c>
      <c r="DQ15" s="50" t="n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>15</v>
      </c>
      <c r="DR15" s="50" t="n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>15</v>
      </c>
      <c r="DS15" s="50" t="n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>15</v>
      </c>
      <c r="DT15" s="50" t="n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>15</v>
      </c>
      <c r="DU15" s="50" t="n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>15</v>
      </c>
      <c r="DV15" s="50" t="n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>15</v>
      </c>
      <c r="DW15" s="50" t="n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>15</v>
      </c>
      <c r="DX15" s="50" t="n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>15</v>
      </c>
      <c r="DY15" s="50" t="n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>15</v>
      </c>
      <c r="DZ15" s="50" t="n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>15</v>
      </c>
      <c r="EA15" s="50" t="n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>15</v>
      </c>
      <c r="EB15" s="50" t="n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>15</v>
      </c>
      <c r="EC15" s="50" t="n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>15</v>
      </c>
      <c r="ED15" s="50" t="n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>15</v>
      </c>
      <c r="EE15" s="50" t="n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>15</v>
      </c>
      <c r="EF15" s="50" t="n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>15</v>
      </c>
      <c r="EG15" s="50" t="n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>15</v>
      </c>
      <c r="EH15" s="50" t="n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>15</v>
      </c>
      <c r="EI15" s="50" t="n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>15</v>
      </c>
      <c r="EJ15" s="50" t="n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>15</v>
      </c>
      <c r="EK15" s="50" t="n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>15</v>
      </c>
      <c r="EL15" s="50" t="n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>15</v>
      </c>
      <c r="EM15" s="50" t="n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>15</v>
      </c>
      <c r="EN15" s="50" t="n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>15</v>
      </c>
      <c r="EO15" s="50" t="n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>15</v>
      </c>
      <c r="EP15" s="50" t="n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>15</v>
      </c>
      <c r="EQ15" s="50" t="n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>15</v>
      </c>
      <c r="ER15" s="50" t="n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>15</v>
      </c>
      <c r="ES15" s="50" t="n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>15</v>
      </c>
      <c r="ET15" s="50" t="n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>15</v>
      </c>
      <c r="EU15" s="50" t="n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>15</v>
      </c>
      <c r="EV15" s="50" t="n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>15</v>
      </c>
      <c r="EW15" s="50" t="n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>15</v>
      </c>
      <c r="EX15" s="50" t="n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>15</v>
      </c>
      <c r="EY15" s="50" t="n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>15</v>
      </c>
      <c r="EZ15" s="50" t="n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>15</v>
      </c>
      <c r="FA15" s="50" t="n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>15</v>
      </c>
      <c r="FB15" s="50" t="n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>15</v>
      </c>
      <c r="FC15" s="50" t="n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>15</v>
      </c>
      <c r="FD15" s="50" t="n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>15</v>
      </c>
      <c r="FE15" s="50" t="n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>15</v>
      </c>
      <c r="FF15" s="50" t="n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>15</v>
      </c>
      <c r="FG15" s="50" t="n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>15</v>
      </c>
      <c r="FH15" s="50" t="n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>15</v>
      </c>
      <c r="FI15" s="50" t="n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>15</v>
      </c>
      <c r="FJ15" s="50" t="n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>15</v>
      </c>
      <c r="FK15" s="50" t="n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>15</v>
      </c>
      <c r="FL15" s="50" t="n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>15</v>
      </c>
      <c r="FM15" s="50" t="n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>15</v>
      </c>
      <c r="FN15" s="50" t="n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>15</v>
      </c>
      <c r="FO15" s="50" t="n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>15</v>
      </c>
      <c r="FP15" s="50" t="n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>15</v>
      </c>
      <c r="FQ15" s="50" t="n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>15</v>
      </c>
    </row>
    <row r="16" customFormat="false" ht="15" hidden="false" customHeight="false" outlineLevel="0" collapsed="false">
      <c r="A16" s="31" t="s">
        <v>328</v>
      </c>
      <c r="B16" s="17" t="s">
        <v>415</v>
      </c>
      <c r="C16" s="27" t="str">
        <f aca="false">COUNT($D$21:$FQ$21)&amp;" irrig."</f>
        <v>21 irrig.</v>
      </c>
      <c r="D16" s="57" t="str">
        <f aca="false">IF(2_Daily_input!D15="","",2_Daily_input!D15)</f>
        <v/>
      </c>
      <c r="E16" s="57" t="str">
        <f aca="false">IF(2_Daily_input!E15="","",2_Daily_input!E15)</f>
        <v/>
      </c>
      <c r="F16" s="57" t="str">
        <f aca="false">IF(2_Daily_input!F15="","",2_Daily_input!F15)</f>
        <v/>
      </c>
      <c r="G16" s="57" t="str">
        <f aca="false">IF(2_Daily_input!G15="","",2_Daily_input!G15)</f>
        <v/>
      </c>
      <c r="H16" s="57" t="str">
        <f aca="false">IF(2_Daily_input!H15="","",2_Daily_input!H15)</f>
        <v/>
      </c>
      <c r="I16" s="57" t="str">
        <f aca="false">IF(2_Daily_input!I15="","",2_Daily_input!I15)</f>
        <v/>
      </c>
      <c r="J16" s="57" t="str">
        <f aca="false">IF(2_Daily_input!J15="","",2_Daily_input!J15)</f>
        <v/>
      </c>
      <c r="K16" s="57" t="str">
        <f aca="false">IF(2_Daily_input!K15="","",2_Daily_input!K15)</f>
        <v/>
      </c>
      <c r="L16" s="57" t="str">
        <f aca="false">IF(2_Daily_input!L15="","",2_Daily_input!L15)</f>
        <v/>
      </c>
      <c r="M16" s="57" t="str">
        <f aca="false">IF(2_Daily_input!M15="","",2_Daily_input!M15)</f>
        <v/>
      </c>
      <c r="N16" s="57" t="str">
        <f aca="false">IF(2_Daily_input!N15="","",2_Daily_input!N15)</f>
        <v/>
      </c>
      <c r="O16" s="57" t="str">
        <f aca="false">IF(2_Daily_input!O15="","",2_Daily_input!O15)</f>
        <v/>
      </c>
      <c r="P16" s="57" t="str">
        <f aca="false">IF(2_Daily_input!P15="","",2_Daily_input!P15)</f>
        <v/>
      </c>
      <c r="Q16" s="57" t="str">
        <f aca="false">IF(2_Daily_input!Q15="","",2_Daily_input!Q15)</f>
        <v/>
      </c>
      <c r="R16" s="57" t="str">
        <f aca="false">IF(2_Daily_input!R15="","",2_Daily_input!R15)</f>
        <v/>
      </c>
      <c r="S16" s="57" t="str">
        <f aca="false">IF(2_Daily_input!S15="","",2_Daily_input!S15)</f>
        <v/>
      </c>
      <c r="T16" s="57" t="str">
        <f aca="false">IF(2_Daily_input!T15="","",2_Daily_input!T15)</f>
        <v/>
      </c>
      <c r="U16" s="57" t="str">
        <f aca="false">IF(2_Daily_input!U15="","",2_Daily_input!U15)</f>
        <v/>
      </c>
      <c r="V16" s="57" t="str">
        <f aca="false">IF(2_Daily_input!V15="","",2_Daily_input!V15)</f>
        <v/>
      </c>
      <c r="W16" s="57" t="str">
        <f aca="false">IF(2_Daily_input!W15="","",2_Daily_input!W15)</f>
        <v/>
      </c>
      <c r="X16" s="57" t="str">
        <f aca="false">IF(2_Daily_input!X15="","",2_Daily_input!X15)</f>
        <v/>
      </c>
      <c r="Y16" s="57" t="str">
        <f aca="false">IF(2_Daily_input!Y15="","",2_Daily_input!Y15)</f>
        <v/>
      </c>
      <c r="Z16" s="57" t="str">
        <f aca="false">IF(2_Daily_input!Z15="","",2_Daily_input!Z15)</f>
        <v/>
      </c>
      <c r="AA16" s="57" t="str">
        <f aca="false">IF(2_Daily_input!AA15="","",2_Daily_input!AA15)</f>
        <v/>
      </c>
      <c r="AB16" s="57" t="str">
        <f aca="false">IF(2_Daily_input!AB15="","",2_Daily_input!AB15)</f>
        <v/>
      </c>
      <c r="AC16" s="57" t="str">
        <f aca="false">IF(2_Daily_input!AC15="","",2_Daily_input!AC15)</f>
        <v/>
      </c>
      <c r="AD16" s="57" t="str">
        <f aca="false">IF(2_Daily_input!AD15="","",2_Daily_input!AD15)</f>
        <v/>
      </c>
      <c r="AE16" s="57" t="str">
        <f aca="false">IF(2_Daily_input!AE15="","",2_Daily_input!AE15)</f>
        <v/>
      </c>
      <c r="AF16" s="57" t="str">
        <f aca="false">IF(2_Daily_input!AF15="","",2_Daily_input!AF15)</f>
        <v/>
      </c>
      <c r="AG16" s="57" t="str">
        <f aca="false">IF(2_Daily_input!AG15="","",2_Daily_input!AG15)</f>
        <v/>
      </c>
      <c r="AH16" s="57" t="str">
        <f aca="false">IF(2_Daily_input!AH15="","",2_Daily_input!AH15)</f>
        <v/>
      </c>
      <c r="AI16" s="57" t="str">
        <f aca="false">IF(2_Daily_input!AI15="","",2_Daily_input!AI15)</f>
        <v/>
      </c>
      <c r="AJ16" s="57" t="str">
        <f aca="false">IF(2_Daily_input!AJ15="","",2_Daily_input!AJ15)</f>
        <v/>
      </c>
      <c r="AK16" s="57" t="str">
        <f aca="false">IF(2_Daily_input!AK15="","",2_Daily_input!AK15)</f>
        <v/>
      </c>
      <c r="AL16" s="57" t="str">
        <f aca="false">IF(2_Daily_input!AL15="","",2_Daily_input!AL15)</f>
        <v/>
      </c>
      <c r="AM16" s="57" t="str">
        <f aca="false">IF(2_Daily_input!AM15="","",2_Daily_input!AM15)</f>
        <v/>
      </c>
      <c r="AN16" s="57" t="str">
        <f aca="false">IF(2_Daily_input!AN15="","",2_Daily_input!AN15)</f>
        <v/>
      </c>
      <c r="AO16" s="57" t="str">
        <f aca="false">IF(2_Daily_input!AO15="","",2_Daily_input!AO15)</f>
        <v/>
      </c>
      <c r="AP16" s="57" t="str">
        <f aca="false">IF(2_Daily_input!AP15="","",2_Daily_input!AP15)</f>
        <v/>
      </c>
      <c r="AQ16" s="57" t="str">
        <f aca="false">IF(2_Daily_input!AQ15="","",2_Daily_input!AQ15)</f>
        <v/>
      </c>
      <c r="AR16" s="57" t="str">
        <f aca="false">IF(2_Daily_input!AR15="","",2_Daily_input!AR15)</f>
        <v/>
      </c>
      <c r="AS16" s="57" t="str">
        <f aca="false">IF(2_Daily_input!AS15="","",2_Daily_input!AS15)</f>
        <v/>
      </c>
      <c r="AT16" s="57" t="str">
        <f aca="false">IF(2_Daily_input!AT15="","",2_Daily_input!AT15)</f>
        <v/>
      </c>
      <c r="AU16" s="57" t="str">
        <f aca="false">IF(2_Daily_input!AU15="","",2_Daily_input!AU15)</f>
        <v/>
      </c>
      <c r="AV16" s="57" t="str">
        <f aca="false">IF(2_Daily_input!AV15="","",2_Daily_input!AV15)</f>
        <v/>
      </c>
      <c r="AW16" s="57" t="str">
        <f aca="false">IF(2_Daily_input!AW15="","",2_Daily_input!AW15)</f>
        <v/>
      </c>
      <c r="AX16" s="57" t="str">
        <f aca="false">IF(2_Daily_input!AX15="","",2_Daily_input!AX15)</f>
        <v/>
      </c>
      <c r="AY16" s="57" t="str">
        <f aca="false">IF(2_Daily_input!AY15="","",2_Daily_input!AY15)</f>
        <v/>
      </c>
      <c r="AZ16" s="57" t="str">
        <f aca="false">IF(2_Daily_input!AZ15="","",2_Daily_input!AZ15)</f>
        <v/>
      </c>
      <c r="BA16" s="57" t="str">
        <f aca="false">IF(2_Daily_input!BA15="","",2_Daily_input!BA15)</f>
        <v/>
      </c>
      <c r="BB16" s="57" t="str">
        <f aca="false">IF(2_Daily_input!BB15="","",2_Daily_input!BB15)</f>
        <v/>
      </c>
      <c r="BC16" s="57" t="str">
        <f aca="false">IF(2_Daily_input!BC15="","",2_Daily_input!BC15)</f>
        <v/>
      </c>
      <c r="BD16" s="57" t="str">
        <f aca="false">IF(2_Daily_input!BD15="","",2_Daily_input!BD15)</f>
        <v/>
      </c>
      <c r="BE16" s="57" t="n">
        <f aca="false">IF(2_Daily_input!BE15="","",2_Daily_input!BE15)</f>
        <v>279.9</v>
      </c>
      <c r="BF16" s="57" t="str">
        <f aca="false">IF(2_Daily_input!BF15="","",2_Daily_input!BF15)</f>
        <v/>
      </c>
      <c r="BG16" s="57" t="n">
        <f aca="false">IF(2_Daily_input!BG15="","",2_Daily_input!BG15)</f>
        <v>280</v>
      </c>
      <c r="BH16" s="57" t="str">
        <f aca="false">IF(2_Daily_input!BH15="","",2_Daily_input!BH15)</f>
        <v/>
      </c>
      <c r="BI16" s="57" t="str">
        <f aca="false">IF(2_Daily_input!BI15="","",2_Daily_input!BI15)</f>
        <v/>
      </c>
      <c r="BJ16" s="57" t="str">
        <f aca="false">IF(2_Daily_input!BJ15="","",2_Daily_input!BJ15)</f>
        <v/>
      </c>
      <c r="BK16" s="57" t="n">
        <f aca="false">IF(2_Daily_input!BK15="","",2_Daily_input!BK15)</f>
        <v>280.5</v>
      </c>
      <c r="BL16" s="57" t="str">
        <f aca="false">IF(2_Daily_input!BL15="","",2_Daily_input!BL15)</f>
        <v/>
      </c>
      <c r="BM16" s="57" t="str">
        <f aca="false">IF(2_Daily_input!BM15="","",2_Daily_input!BM15)</f>
        <v/>
      </c>
      <c r="BN16" s="57" t="str">
        <f aca="false">IF(2_Daily_input!BN15="","",2_Daily_input!BN15)</f>
        <v/>
      </c>
      <c r="BO16" s="57" t="str">
        <f aca="false">IF(2_Daily_input!BO15="","",2_Daily_input!BO15)</f>
        <v/>
      </c>
      <c r="BP16" s="57" t="n">
        <f aca="false">IF(2_Daily_input!BP15="","",2_Daily_input!BP15)</f>
        <v>280.3</v>
      </c>
      <c r="BQ16" s="57" t="str">
        <f aca="false">IF(2_Daily_input!BQ15="","",2_Daily_input!BQ15)</f>
        <v/>
      </c>
      <c r="BR16" s="57" t="str">
        <f aca="false">IF(2_Daily_input!BR15="","",2_Daily_input!BR15)</f>
        <v/>
      </c>
      <c r="BS16" s="57" t="str">
        <f aca="false">IF(2_Daily_input!BS15="","",2_Daily_input!BS15)</f>
        <v/>
      </c>
      <c r="BT16" s="57" t="str">
        <f aca="false">IF(2_Daily_input!BT15="","",2_Daily_input!BT15)</f>
        <v/>
      </c>
      <c r="BU16" s="57" t="str">
        <f aca="false">IF(2_Daily_input!BU15="","",2_Daily_input!BU15)</f>
        <v/>
      </c>
      <c r="BV16" s="57" t="str">
        <f aca="false">IF(2_Daily_input!BV15="","",2_Daily_input!BV15)</f>
        <v/>
      </c>
      <c r="BW16" s="57" t="n">
        <f aca="false">IF(2_Daily_input!BW15="","",2_Daily_input!BW15)</f>
        <v>279.7</v>
      </c>
      <c r="BX16" s="57" t="str">
        <f aca="false">IF(2_Daily_input!BX15="","",2_Daily_input!BX15)</f>
        <v/>
      </c>
      <c r="BY16" s="57" t="str">
        <f aca="false">IF(2_Daily_input!BY15="","",2_Daily_input!BY15)</f>
        <v/>
      </c>
      <c r="BZ16" s="57" t="str">
        <f aca="false">IF(2_Daily_input!BZ15="","",2_Daily_input!BZ15)</f>
        <v/>
      </c>
      <c r="CA16" s="57" t="str">
        <f aca="false">IF(2_Daily_input!CA15="","",2_Daily_input!CA15)</f>
        <v/>
      </c>
      <c r="CB16" s="57" t="str">
        <f aca="false">IF(2_Daily_input!CB15="","",2_Daily_input!CB15)</f>
        <v/>
      </c>
      <c r="CC16" s="57" t="str">
        <f aca="false">IF(2_Daily_input!CC15="","",2_Daily_input!CC15)</f>
        <v/>
      </c>
      <c r="CD16" s="57" t="n">
        <f aca="false">IF(2_Daily_input!CD15="","",2_Daily_input!CD15)</f>
        <v>278.5</v>
      </c>
      <c r="CE16" s="57" t="str">
        <f aca="false">IF(2_Daily_input!CE15="","",2_Daily_input!CE15)</f>
        <v/>
      </c>
      <c r="CF16" s="57" t="str">
        <f aca="false">IF(2_Daily_input!CF15="","",2_Daily_input!CF15)</f>
        <v/>
      </c>
      <c r="CG16" s="57" t="str">
        <f aca="false">IF(2_Daily_input!CG15="","",2_Daily_input!CG15)</f>
        <v/>
      </c>
      <c r="CH16" s="57" t="n">
        <f aca="false">IF(2_Daily_input!CH15="","",2_Daily_input!CH15)</f>
        <v>279.9</v>
      </c>
      <c r="CI16" s="57" t="str">
        <f aca="false">IF(2_Daily_input!CI15="","",2_Daily_input!CI15)</f>
        <v/>
      </c>
      <c r="CJ16" s="57" t="str">
        <f aca="false">IF(2_Daily_input!CJ15="","",2_Daily_input!CJ15)</f>
        <v/>
      </c>
      <c r="CK16" s="57" t="str">
        <f aca="false">IF(2_Daily_input!CK15="","",2_Daily_input!CK15)</f>
        <v/>
      </c>
      <c r="CL16" s="57" t="str">
        <f aca="false">IF(2_Daily_input!CL15="","",2_Daily_input!CL15)</f>
        <v/>
      </c>
      <c r="CM16" s="57" t="str">
        <f aca="false">IF(2_Daily_input!CM15="","",2_Daily_input!CM15)</f>
        <v/>
      </c>
      <c r="CN16" s="57" t="str">
        <f aca="false">IF(2_Daily_input!CN15="","",2_Daily_input!CN15)</f>
        <v/>
      </c>
      <c r="CO16" s="57" t="str">
        <f aca="false">IF(2_Daily_input!CO15="","",2_Daily_input!CO15)</f>
        <v/>
      </c>
      <c r="CP16" s="57" t="str">
        <f aca="false">IF(2_Daily_input!CP15="","",2_Daily_input!CP15)</f>
        <v/>
      </c>
      <c r="CQ16" s="57" t="str">
        <f aca="false">IF(2_Daily_input!CQ15="","",2_Daily_input!CQ15)</f>
        <v/>
      </c>
      <c r="CR16" s="57" t="str">
        <f aca="false">IF(2_Daily_input!CR15="","",2_Daily_input!CR15)</f>
        <v/>
      </c>
      <c r="CS16" s="57" t="str">
        <f aca="false">IF(2_Daily_input!CS15="","",2_Daily_input!CS15)</f>
        <v/>
      </c>
      <c r="CT16" s="57" t="str">
        <f aca="false">IF(2_Daily_input!CT15="","",2_Daily_input!CT15)</f>
        <v/>
      </c>
      <c r="CU16" s="57" t="str">
        <f aca="false">IF(2_Daily_input!CU15="","",2_Daily_input!CU15)</f>
        <v/>
      </c>
      <c r="CV16" s="57" t="str">
        <f aca="false">IF(2_Daily_input!CV15="","",2_Daily_input!CV15)</f>
        <v/>
      </c>
      <c r="CW16" s="57" t="n">
        <f aca="false">IF(2_Daily_input!CW15="","",2_Daily_input!CW15)</f>
        <v>265</v>
      </c>
      <c r="CX16" s="57" t="str">
        <f aca="false">IF(2_Daily_input!CX15="","",2_Daily_input!CX15)</f>
        <v/>
      </c>
      <c r="CY16" s="57" t="str">
        <f aca="false">IF(2_Daily_input!CY15="","",2_Daily_input!CY15)</f>
        <v/>
      </c>
      <c r="CZ16" s="57" t="n">
        <f aca="false">IF(2_Daily_input!CZ15="","",2_Daily_input!CZ15)</f>
        <v>280.2</v>
      </c>
      <c r="DA16" s="57" t="str">
        <f aca="false">IF(2_Daily_input!DA15="","",2_Daily_input!DA15)</f>
        <v/>
      </c>
      <c r="DB16" s="57" t="str">
        <f aca="false">IF(2_Daily_input!DB15="","",2_Daily_input!DB15)</f>
        <v/>
      </c>
      <c r="DC16" s="57" t="n">
        <f aca="false">IF(2_Daily_input!DC15="","",2_Daily_input!DC15)</f>
        <v>280.5</v>
      </c>
      <c r="DD16" s="57" t="str">
        <f aca="false">IF(2_Daily_input!DD15="","",2_Daily_input!DD15)</f>
        <v/>
      </c>
      <c r="DE16" s="57" t="str">
        <f aca="false">IF(2_Daily_input!DE15="","",2_Daily_input!DE15)</f>
        <v/>
      </c>
      <c r="DF16" s="57" t="str">
        <f aca="false">IF(2_Daily_input!DF15="","",2_Daily_input!DF15)</f>
        <v/>
      </c>
      <c r="DG16" s="57" t="str">
        <f aca="false">IF(2_Daily_input!DG15="","",2_Daily_input!DG15)</f>
        <v/>
      </c>
      <c r="DH16" s="57" t="str">
        <f aca="false">IF(2_Daily_input!DH15="","",2_Daily_input!DH15)</f>
        <v/>
      </c>
      <c r="DI16" s="57" t="n">
        <f aca="false">IF(2_Daily_input!DI15="","",2_Daily_input!DI15)</f>
        <v>280.1</v>
      </c>
      <c r="DJ16" s="57" t="n">
        <f aca="false">IF(2_Daily_input!DJ15="","",2_Daily_input!DJ15)</f>
        <v>280</v>
      </c>
      <c r="DK16" s="57" t="str">
        <f aca="false">IF(2_Daily_input!DK15="","",2_Daily_input!DK15)</f>
        <v/>
      </c>
      <c r="DL16" s="57" t="str">
        <f aca="false">IF(2_Daily_input!DL15="","",2_Daily_input!DL15)</f>
        <v/>
      </c>
      <c r="DM16" s="57" t="n">
        <f aca="false">IF(2_Daily_input!DM15="","",2_Daily_input!DM15)</f>
        <v>280.2</v>
      </c>
      <c r="DN16" s="57" t="str">
        <f aca="false">IF(2_Daily_input!DN15="","",2_Daily_input!DN15)</f>
        <v/>
      </c>
      <c r="DO16" s="57" t="n">
        <f aca="false">IF(2_Daily_input!DO15="","",2_Daily_input!DO15)</f>
        <v>280</v>
      </c>
      <c r="DP16" s="57" t="str">
        <f aca="false">IF(2_Daily_input!DP15="","",2_Daily_input!DP15)</f>
        <v/>
      </c>
      <c r="DQ16" s="57" t="str">
        <f aca="false">IF(2_Daily_input!DQ15="","",2_Daily_input!DQ15)</f>
        <v/>
      </c>
      <c r="DR16" s="57" t="n">
        <f aca="false">IF(2_Daily_input!DR15="","",2_Daily_input!DR15)</f>
        <v>280.3</v>
      </c>
      <c r="DS16" s="57" t="str">
        <f aca="false">IF(2_Daily_input!DS15="","",2_Daily_input!DS15)</f>
        <v/>
      </c>
      <c r="DT16" s="57" t="n">
        <f aca="false">IF(2_Daily_input!DT15="","",2_Daily_input!DT15)</f>
        <v>280</v>
      </c>
      <c r="DU16" s="57" t="str">
        <f aca="false">IF(2_Daily_input!DU15="","",2_Daily_input!DU15)</f>
        <v/>
      </c>
      <c r="DV16" s="57" t="str">
        <f aca="false">IF(2_Daily_input!DV15="","",2_Daily_input!DV15)</f>
        <v/>
      </c>
      <c r="DW16" s="57" t="n">
        <f aca="false">IF(2_Daily_input!DW15="","",2_Daily_input!DW15)</f>
        <v>280.5</v>
      </c>
      <c r="DX16" s="57" t="str">
        <f aca="false">IF(2_Daily_input!DX15="","",2_Daily_input!DX15)</f>
        <v/>
      </c>
      <c r="DY16" s="57" t="str">
        <f aca="false">IF(2_Daily_input!DY15="","",2_Daily_input!DY15)</f>
        <v/>
      </c>
      <c r="DZ16" s="57" t="str">
        <f aca="false">IF(2_Daily_input!DZ15="","",2_Daily_input!DZ15)</f>
        <v/>
      </c>
      <c r="EA16" s="57" t="n">
        <f aca="false">IF(2_Daily_input!EA15="","",2_Daily_input!EA15)</f>
        <v>280.1</v>
      </c>
      <c r="EB16" s="57" t="str">
        <f aca="false">IF(2_Daily_input!EB15="","",2_Daily_input!EB15)</f>
        <v/>
      </c>
      <c r="EC16" s="57" t="str">
        <f aca="false">IF(2_Daily_input!EC15="","",2_Daily_input!EC15)</f>
        <v/>
      </c>
      <c r="ED16" s="57" t="str">
        <f aca="false">IF(2_Daily_input!ED15="","",2_Daily_input!ED15)</f>
        <v/>
      </c>
      <c r="EE16" s="57" t="str">
        <f aca="false">IF(2_Daily_input!EE15="","",2_Daily_input!EE15)</f>
        <v/>
      </c>
      <c r="EF16" s="57" t="str">
        <f aca="false">IF(2_Daily_input!EF15="","",2_Daily_input!EF15)</f>
        <v/>
      </c>
      <c r="EG16" s="57" t="str">
        <f aca="false">IF(2_Daily_input!EG15="","",2_Daily_input!EG15)</f>
        <v/>
      </c>
      <c r="EH16" s="57" t="n">
        <f aca="false">IF(2_Daily_input!EH15="","",2_Daily_input!EH15)</f>
        <v>280.6</v>
      </c>
      <c r="EI16" s="57" t="str">
        <f aca="false">IF(2_Daily_input!EI15="","",2_Daily_input!EI15)</f>
        <v/>
      </c>
      <c r="EJ16" s="57" t="n">
        <f aca="false">IF(2_Daily_input!EJ15="","",2_Daily_input!EJ15)</f>
        <v>281</v>
      </c>
      <c r="EK16" s="57" t="str">
        <f aca="false">IF(2_Daily_input!EK15="","",2_Daily_input!EK15)</f>
        <v/>
      </c>
      <c r="EL16" s="57" t="str">
        <f aca="false">IF(2_Daily_input!EL15="","",2_Daily_input!EL15)</f>
        <v/>
      </c>
      <c r="EM16" s="57" t="str">
        <f aca="false">IF(2_Daily_input!EM15="","",2_Daily_input!EM15)</f>
        <v/>
      </c>
      <c r="EN16" s="57" t="str">
        <f aca="false">IF(2_Daily_input!EN15="","",2_Daily_input!EN15)</f>
        <v/>
      </c>
      <c r="EO16" s="57" t="str">
        <f aca="false">IF(2_Daily_input!EO15="","",2_Daily_input!EO15)</f>
        <v/>
      </c>
      <c r="EP16" s="57" t="n">
        <f aca="false">IF(2_Daily_input!EP15="","",2_Daily_input!EP15)</f>
        <v>280.5</v>
      </c>
      <c r="EQ16" s="57" t="str">
        <f aca="false">IF(2_Daily_input!EQ15="","",2_Daily_input!EQ15)</f>
        <v/>
      </c>
      <c r="ER16" s="57" t="str">
        <f aca="false">IF(2_Daily_input!ER15="","",2_Daily_input!ER15)</f>
        <v/>
      </c>
      <c r="ES16" s="57" t="str">
        <f aca="false">IF(2_Daily_input!ES15="","",2_Daily_input!ES15)</f>
        <v/>
      </c>
      <c r="ET16" s="57" t="str">
        <f aca="false">IF(2_Daily_input!ET15="","",2_Daily_input!ET15)</f>
        <v/>
      </c>
      <c r="EU16" s="57" t="str">
        <f aca="false">IF(2_Daily_input!EU15="","",2_Daily_input!EU15)</f>
        <v/>
      </c>
      <c r="EV16" s="57" t="str">
        <f aca="false">IF(2_Daily_input!EV15="","",2_Daily_input!EV15)</f>
        <v/>
      </c>
      <c r="EW16" s="57" t="str">
        <f aca="false">IF(2_Daily_input!EW15="","",2_Daily_input!EW15)</f>
        <v/>
      </c>
      <c r="EX16" s="57" t="str">
        <f aca="false">IF(2_Daily_input!EX15="","",2_Daily_input!EX15)</f>
        <v/>
      </c>
      <c r="EY16" s="57" t="str">
        <f aca="false">IF(2_Daily_input!EY15="","",2_Daily_input!EY15)</f>
        <v/>
      </c>
      <c r="EZ16" s="57" t="str">
        <f aca="false">IF(2_Daily_input!EZ15="","",2_Daily_input!EZ15)</f>
        <v/>
      </c>
      <c r="FA16" s="57" t="str">
        <f aca="false">IF(2_Daily_input!FA15="","",2_Daily_input!FA15)</f>
        <v/>
      </c>
      <c r="FB16" s="57" t="str">
        <f aca="false">IF(2_Daily_input!FB15="","",2_Daily_input!FB15)</f>
        <v/>
      </c>
      <c r="FC16" s="57" t="str">
        <f aca="false">IF(2_Daily_input!FC15="","",2_Daily_input!FC15)</f>
        <v/>
      </c>
      <c r="FD16" s="57" t="str">
        <f aca="false">IF(2_Daily_input!FD15="","",2_Daily_input!FD15)</f>
        <v/>
      </c>
      <c r="FE16" s="57" t="str">
        <f aca="false">IF(2_Daily_input!FE15="","",2_Daily_input!FE15)</f>
        <v/>
      </c>
      <c r="FF16" s="57" t="str">
        <f aca="false">IF(2_Daily_input!FF15="","",2_Daily_input!FF15)</f>
        <v/>
      </c>
      <c r="FG16" s="57" t="str">
        <f aca="false">IF(2_Daily_input!FG15="","",2_Daily_input!FG15)</f>
        <v/>
      </c>
      <c r="FH16" s="57" t="str">
        <f aca="false">IF(2_Daily_input!FH15="","",2_Daily_input!FH15)</f>
        <v/>
      </c>
      <c r="FI16" s="57" t="str">
        <f aca="false">IF(2_Daily_input!FI15="","",2_Daily_input!FI15)</f>
        <v/>
      </c>
      <c r="FJ16" s="57" t="str">
        <f aca="false">IF(2_Daily_input!FJ15="","",2_Daily_input!FJ15)</f>
        <v/>
      </c>
      <c r="FK16" s="57" t="str">
        <f aca="false">IF(2_Daily_input!FK15="","",2_Daily_input!FK15)</f>
        <v/>
      </c>
      <c r="FL16" s="57" t="str">
        <f aca="false">IF(2_Daily_input!FL15="","",2_Daily_input!FL15)</f>
        <v/>
      </c>
      <c r="FM16" s="57" t="str">
        <f aca="false">IF(2_Daily_input!FM15="","",2_Daily_input!FM15)</f>
        <v/>
      </c>
      <c r="FN16" s="57" t="str">
        <f aca="false">IF(2_Daily_input!FN15="","",2_Daily_input!FN15)</f>
        <v/>
      </c>
      <c r="FO16" s="57" t="str">
        <f aca="false">IF(2_Daily_input!FO15="","",2_Daily_input!FO15)</f>
        <v/>
      </c>
      <c r="FP16" s="57" t="str">
        <f aca="false">IF(2_Daily_input!FP15="","",2_Daily_input!FP15)</f>
        <v/>
      </c>
      <c r="FQ16" s="57" t="str">
        <f aca="false">IF(2_Daily_input!FQ15="","",2_Daily_input!FQ15)</f>
        <v/>
      </c>
    </row>
    <row r="17" customFormat="false" ht="15" hidden="false" customHeight="false" outlineLevel="0" collapsed="false">
      <c r="A17" s="31" t="s">
        <v>328</v>
      </c>
      <c r="B17" s="17" t="s">
        <v>416</v>
      </c>
      <c r="D17" s="57" t="str">
        <f aca="false">IF(2_Daily_input!D16="","",2_Daily_input!D16)</f>
        <v/>
      </c>
      <c r="E17" s="57" t="str">
        <f aca="false">IF(2_Daily_input!E16="","",2_Daily_input!E16)</f>
        <v/>
      </c>
      <c r="F17" s="57" t="str">
        <f aca="false">IF(2_Daily_input!F16="","",2_Daily_input!F16)</f>
        <v/>
      </c>
      <c r="G17" s="57" t="str">
        <f aca="false">IF(2_Daily_input!G16="","",2_Daily_input!G16)</f>
        <v/>
      </c>
      <c r="H17" s="57" t="str">
        <f aca="false">IF(2_Daily_input!H16="","",2_Daily_input!H16)</f>
        <v/>
      </c>
      <c r="I17" s="57" t="str">
        <f aca="false">IF(2_Daily_input!I16="","",2_Daily_input!I16)</f>
        <v/>
      </c>
      <c r="J17" s="57" t="str">
        <f aca="false">IF(2_Daily_input!J16="","",2_Daily_input!J16)</f>
        <v/>
      </c>
      <c r="K17" s="57" t="str">
        <f aca="false">IF(2_Daily_input!K16="","",2_Daily_input!K16)</f>
        <v/>
      </c>
      <c r="L17" s="57" t="str">
        <f aca="false">IF(2_Daily_input!L16="","",2_Daily_input!L16)</f>
        <v/>
      </c>
      <c r="M17" s="57" t="str">
        <f aca="false">IF(2_Daily_input!M16="","",2_Daily_input!M16)</f>
        <v/>
      </c>
      <c r="N17" s="57" t="str">
        <f aca="false">IF(2_Daily_input!N16="","",2_Daily_input!N16)</f>
        <v/>
      </c>
      <c r="O17" s="57" t="str">
        <f aca="false">IF(2_Daily_input!O16="","",2_Daily_input!O16)</f>
        <v/>
      </c>
      <c r="P17" s="57" t="str">
        <f aca="false">IF(2_Daily_input!P16="","",2_Daily_input!P16)</f>
        <v/>
      </c>
      <c r="Q17" s="57" t="str">
        <f aca="false">IF(2_Daily_input!Q16="","",2_Daily_input!Q16)</f>
        <v/>
      </c>
      <c r="R17" s="57" t="str">
        <f aca="false">IF(2_Daily_input!R16="","",2_Daily_input!R16)</f>
        <v/>
      </c>
      <c r="S17" s="57" t="str">
        <f aca="false">IF(2_Daily_input!S16="","",2_Daily_input!S16)</f>
        <v/>
      </c>
      <c r="T17" s="57" t="str">
        <f aca="false">IF(2_Daily_input!T16="","",2_Daily_input!T16)</f>
        <v/>
      </c>
      <c r="U17" s="57" t="str">
        <f aca="false">IF(2_Daily_input!U16="","",2_Daily_input!U16)</f>
        <v/>
      </c>
      <c r="V17" s="57" t="str">
        <f aca="false">IF(2_Daily_input!V16="","",2_Daily_input!V16)</f>
        <v/>
      </c>
      <c r="W17" s="57" t="str">
        <f aca="false">IF(2_Daily_input!W16="","",2_Daily_input!W16)</f>
        <v/>
      </c>
      <c r="X17" s="57" t="str">
        <f aca="false">IF(2_Daily_input!X16="","",2_Daily_input!X16)</f>
        <v/>
      </c>
      <c r="Y17" s="57" t="str">
        <f aca="false">IF(2_Daily_input!Y16="","",2_Daily_input!Y16)</f>
        <v/>
      </c>
      <c r="Z17" s="57" t="str">
        <f aca="false">IF(2_Daily_input!Z16="","",2_Daily_input!Z16)</f>
        <v/>
      </c>
      <c r="AA17" s="57" t="str">
        <f aca="false">IF(2_Daily_input!AA16="","",2_Daily_input!AA16)</f>
        <v/>
      </c>
      <c r="AB17" s="57" t="str">
        <f aca="false">IF(2_Daily_input!AB16="","",2_Daily_input!AB16)</f>
        <v/>
      </c>
      <c r="AC17" s="57" t="str">
        <f aca="false">IF(2_Daily_input!AC16="","",2_Daily_input!AC16)</f>
        <v/>
      </c>
      <c r="AD17" s="57" t="str">
        <f aca="false">IF(2_Daily_input!AD16="","",2_Daily_input!AD16)</f>
        <v/>
      </c>
      <c r="AE17" s="57" t="str">
        <f aca="false">IF(2_Daily_input!AE16="","",2_Daily_input!AE16)</f>
        <v/>
      </c>
      <c r="AF17" s="57" t="str">
        <f aca="false">IF(2_Daily_input!AF16="","",2_Daily_input!AF16)</f>
        <v/>
      </c>
      <c r="AG17" s="57" t="str">
        <f aca="false">IF(2_Daily_input!AG16="","",2_Daily_input!AG16)</f>
        <v/>
      </c>
      <c r="AH17" s="57" t="str">
        <f aca="false">IF(2_Daily_input!AH16="","",2_Daily_input!AH16)</f>
        <v/>
      </c>
      <c r="AI17" s="57" t="str">
        <f aca="false">IF(2_Daily_input!AI16="","",2_Daily_input!AI16)</f>
        <v/>
      </c>
      <c r="AJ17" s="57" t="str">
        <f aca="false">IF(2_Daily_input!AJ16="","",2_Daily_input!AJ16)</f>
        <v/>
      </c>
      <c r="AK17" s="57" t="str">
        <f aca="false">IF(2_Daily_input!AK16="","",2_Daily_input!AK16)</f>
        <v/>
      </c>
      <c r="AL17" s="57" t="str">
        <f aca="false">IF(2_Daily_input!AL16="","",2_Daily_input!AL16)</f>
        <v/>
      </c>
      <c r="AM17" s="57" t="str">
        <f aca="false">IF(2_Daily_input!AM16="","",2_Daily_input!AM16)</f>
        <v/>
      </c>
      <c r="AN17" s="57" t="str">
        <f aca="false">IF(2_Daily_input!AN16="","",2_Daily_input!AN16)</f>
        <v/>
      </c>
      <c r="AO17" s="57" t="str">
        <f aca="false">IF(2_Daily_input!AO16="","",2_Daily_input!AO16)</f>
        <v/>
      </c>
      <c r="AP17" s="57" t="str">
        <f aca="false">IF(2_Daily_input!AP16="","",2_Daily_input!AP16)</f>
        <v/>
      </c>
      <c r="AQ17" s="57" t="str">
        <f aca="false">IF(2_Daily_input!AQ16="","",2_Daily_input!AQ16)</f>
        <v/>
      </c>
      <c r="AR17" s="57" t="str">
        <f aca="false">IF(2_Daily_input!AR16="","",2_Daily_input!AR16)</f>
        <v/>
      </c>
      <c r="AS17" s="57" t="str">
        <f aca="false">IF(2_Daily_input!AS16="","",2_Daily_input!AS16)</f>
        <v/>
      </c>
      <c r="AT17" s="57" t="str">
        <f aca="false">IF(2_Daily_input!AT16="","",2_Daily_input!AT16)</f>
        <v/>
      </c>
      <c r="AU17" s="57" t="str">
        <f aca="false">IF(2_Daily_input!AU16="","",2_Daily_input!AU16)</f>
        <v/>
      </c>
      <c r="AV17" s="57" t="str">
        <f aca="false">IF(2_Daily_input!AV16="","",2_Daily_input!AV16)</f>
        <v/>
      </c>
      <c r="AW17" s="57" t="str">
        <f aca="false">IF(2_Daily_input!AW16="","",2_Daily_input!AW16)</f>
        <v/>
      </c>
      <c r="AX17" s="57" t="str">
        <f aca="false">IF(2_Daily_input!AX16="","",2_Daily_input!AX16)</f>
        <v/>
      </c>
      <c r="AY17" s="57" t="str">
        <f aca="false">IF(2_Daily_input!AY16="","",2_Daily_input!AY16)</f>
        <v/>
      </c>
      <c r="AZ17" s="57" t="str">
        <f aca="false">IF(2_Daily_input!AZ16="","",2_Daily_input!AZ16)</f>
        <v/>
      </c>
      <c r="BA17" s="57" t="str">
        <f aca="false">IF(2_Daily_input!BA16="","",2_Daily_input!BA16)</f>
        <v/>
      </c>
      <c r="BB17" s="57" t="str">
        <f aca="false">IF(2_Daily_input!BB16="","",2_Daily_input!BB16)</f>
        <v/>
      </c>
      <c r="BC17" s="57" t="str">
        <f aca="false">IF(2_Daily_input!BC16="","",2_Daily_input!BC16)</f>
        <v/>
      </c>
      <c r="BD17" s="57" t="str">
        <f aca="false">IF(2_Daily_input!BD16="","",2_Daily_input!BD16)</f>
        <v/>
      </c>
      <c r="BE17" s="57" t="n">
        <f aca="false">IF(2_Daily_input!BE16="","",2_Daily_input!BE16)</f>
        <v>280.6</v>
      </c>
      <c r="BF17" s="57" t="str">
        <f aca="false">IF(2_Daily_input!BF16="","",2_Daily_input!BF16)</f>
        <v/>
      </c>
      <c r="BG17" s="57" t="n">
        <f aca="false">IF(2_Daily_input!BG16="","",2_Daily_input!BG16)</f>
        <v>282.4</v>
      </c>
      <c r="BH17" s="57" t="str">
        <f aca="false">IF(2_Daily_input!BH16="","",2_Daily_input!BH16)</f>
        <v/>
      </c>
      <c r="BI17" s="57" t="str">
        <f aca="false">IF(2_Daily_input!BI16="","",2_Daily_input!BI16)</f>
        <v/>
      </c>
      <c r="BJ17" s="57" t="str">
        <f aca="false">IF(2_Daily_input!BJ16="","",2_Daily_input!BJ16)</f>
        <v/>
      </c>
      <c r="BK17" s="57" t="n">
        <f aca="false">IF(2_Daily_input!BK16="","",2_Daily_input!BK16)</f>
        <v>282.3</v>
      </c>
      <c r="BL17" s="57" t="str">
        <f aca="false">IF(2_Daily_input!BL16="","",2_Daily_input!BL16)</f>
        <v/>
      </c>
      <c r="BM17" s="57" t="str">
        <f aca="false">IF(2_Daily_input!BM16="","",2_Daily_input!BM16)</f>
        <v/>
      </c>
      <c r="BN17" s="57" t="str">
        <f aca="false">IF(2_Daily_input!BN16="","",2_Daily_input!BN16)</f>
        <v/>
      </c>
      <c r="BO17" s="57" t="str">
        <f aca="false">IF(2_Daily_input!BO16="","",2_Daily_input!BO16)</f>
        <v/>
      </c>
      <c r="BP17" s="57" t="n">
        <f aca="false">IF(2_Daily_input!BP16="","",2_Daily_input!BP16)</f>
        <v>281.9</v>
      </c>
      <c r="BQ17" s="57" t="str">
        <f aca="false">IF(2_Daily_input!BQ16="","",2_Daily_input!BQ16)</f>
        <v/>
      </c>
      <c r="BR17" s="57" t="str">
        <f aca="false">IF(2_Daily_input!BR16="","",2_Daily_input!BR16)</f>
        <v/>
      </c>
      <c r="BS17" s="57" t="str">
        <f aca="false">IF(2_Daily_input!BS16="","",2_Daily_input!BS16)</f>
        <v/>
      </c>
      <c r="BT17" s="57" t="str">
        <f aca="false">IF(2_Daily_input!BT16="","",2_Daily_input!BT16)</f>
        <v/>
      </c>
      <c r="BU17" s="57" t="str">
        <f aca="false">IF(2_Daily_input!BU16="","",2_Daily_input!BU16)</f>
        <v/>
      </c>
      <c r="BV17" s="57" t="str">
        <f aca="false">IF(2_Daily_input!BV16="","",2_Daily_input!BV16)</f>
        <v/>
      </c>
      <c r="BW17" s="57" t="n">
        <f aca="false">IF(2_Daily_input!BW16="","",2_Daily_input!BW16)</f>
        <v>282.4</v>
      </c>
      <c r="BX17" s="57" t="str">
        <f aca="false">IF(2_Daily_input!BX16="","",2_Daily_input!BX16)</f>
        <v/>
      </c>
      <c r="BY17" s="57" t="str">
        <f aca="false">IF(2_Daily_input!BY16="","",2_Daily_input!BY16)</f>
        <v/>
      </c>
      <c r="BZ17" s="57" t="str">
        <f aca="false">IF(2_Daily_input!BZ16="","",2_Daily_input!BZ16)</f>
        <v/>
      </c>
      <c r="CA17" s="57" t="str">
        <f aca="false">IF(2_Daily_input!CA16="","",2_Daily_input!CA16)</f>
        <v/>
      </c>
      <c r="CB17" s="57" t="str">
        <f aca="false">IF(2_Daily_input!CB16="","",2_Daily_input!CB16)</f>
        <v/>
      </c>
      <c r="CC17" s="57" t="str">
        <f aca="false">IF(2_Daily_input!CC16="","",2_Daily_input!CC16)</f>
        <v/>
      </c>
      <c r="CD17" s="57" t="n">
        <f aca="false">IF(2_Daily_input!CD16="","",2_Daily_input!CD16)</f>
        <v>281.3</v>
      </c>
      <c r="CE17" s="57" t="str">
        <f aca="false">IF(2_Daily_input!CE16="","",2_Daily_input!CE16)</f>
        <v/>
      </c>
      <c r="CF17" s="57" t="str">
        <f aca="false">IF(2_Daily_input!CF16="","",2_Daily_input!CF16)</f>
        <v/>
      </c>
      <c r="CG17" s="57" t="str">
        <f aca="false">IF(2_Daily_input!CG16="","",2_Daily_input!CG16)</f>
        <v/>
      </c>
      <c r="CH17" s="57" t="n">
        <f aca="false">IF(2_Daily_input!CH16="","",2_Daily_input!CH16)</f>
        <v>282.8</v>
      </c>
      <c r="CI17" s="57" t="str">
        <f aca="false">IF(2_Daily_input!CI16="","",2_Daily_input!CI16)</f>
        <v/>
      </c>
      <c r="CJ17" s="57" t="str">
        <f aca="false">IF(2_Daily_input!CJ16="","",2_Daily_input!CJ16)</f>
        <v/>
      </c>
      <c r="CK17" s="57" t="str">
        <f aca="false">IF(2_Daily_input!CK16="","",2_Daily_input!CK16)</f>
        <v/>
      </c>
      <c r="CL17" s="57" t="str">
        <f aca="false">IF(2_Daily_input!CL16="","",2_Daily_input!CL16)</f>
        <v/>
      </c>
      <c r="CM17" s="57" t="str">
        <f aca="false">IF(2_Daily_input!CM16="","",2_Daily_input!CM16)</f>
        <v/>
      </c>
      <c r="CN17" s="57" t="str">
        <f aca="false">IF(2_Daily_input!CN16="","",2_Daily_input!CN16)</f>
        <v/>
      </c>
      <c r="CO17" s="57" t="str">
        <f aca="false">IF(2_Daily_input!CO16="","",2_Daily_input!CO16)</f>
        <v/>
      </c>
      <c r="CP17" s="57" t="str">
        <f aca="false">IF(2_Daily_input!CP16="","",2_Daily_input!CP16)</f>
        <v/>
      </c>
      <c r="CQ17" s="57" t="str">
        <f aca="false">IF(2_Daily_input!CQ16="","",2_Daily_input!CQ16)</f>
        <v/>
      </c>
      <c r="CR17" s="57" t="str">
        <f aca="false">IF(2_Daily_input!CR16="","",2_Daily_input!CR16)</f>
        <v/>
      </c>
      <c r="CS17" s="57" t="str">
        <f aca="false">IF(2_Daily_input!CS16="","",2_Daily_input!CS16)</f>
        <v/>
      </c>
      <c r="CT17" s="57" t="str">
        <f aca="false">IF(2_Daily_input!CT16="","",2_Daily_input!CT16)</f>
        <v/>
      </c>
      <c r="CU17" s="57" t="str">
        <f aca="false">IF(2_Daily_input!CU16="","",2_Daily_input!CU16)</f>
        <v/>
      </c>
      <c r="CV17" s="57" t="str">
        <f aca="false">IF(2_Daily_input!CV16="","",2_Daily_input!CV16)</f>
        <v/>
      </c>
      <c r="CW17" s="57" t="n">
        <f aca="false">IF(2_Daily_input!CW16="","",2_Daily_input!CW16)</f>
        <v>280.7</v>
      </c>
      <c r="CX17" s="57" t="str">
        <f aca="false">IF(2_Daily_input!CX16="","",2_Daily_input!CX16)</f>
        <v/>
      </c>
      <c r="CY17" s="57" t="str">
        <f aca="false">IF(2_Daily_input!CY16="","",2_Daily_input!CY16)</f>
        <v/>
      </c>
      <c r="CZ17" s="57" t="n">
        <f aca="false">IF(2_Daily_input!CZ16="","",2_Daily_input!CZ16)</f>
        <v>281.9</v>
      </c>
      <c r="DA17" s="57" t="str">
        <f aca="false">IF(2_Daily_input!DA16="","",2_Daily_input!DA16)</f>
        <v/>
      </c>
      <c r="DB17" s="57" t="str">
        <f aca="false">IF(2_Daily_input!DB16="","",2_Daily_input!DB16)</f>
        <v/>
      </c>
      <c r="DC17" s="57" t="n">
        <f aca="false">IF(2_Daily_input!DC16="","",2_Daily_input!DC16)</f>
        <v>283.4</v>
      </c>
      <c r="DD17" s="57" t="str">
        <f aca="false">IF(2_Daily_input!DD16="","",2_Daily_input!DD16)</f>
        <v/>
      </c>
      <c r="DE17" s="57" t="str">
        <f aca="false">IF(2_Daily_input!DE16="","",2_Daily_input!DE16)</f>
        <v/>
      </c>
      <c r="DF17" s="57" t="str">
        <f aca="false">IF(2_Daily_input!DF16="","",2_Daily_input!DF16)</f>
        <v/>
      </c>
      <c r="DG17" s="57" t="str">
        <f aca="false">IF(2_Daily_input!DG16="","",2_Daily_input!DG16)</f>
        <v/>
      </c>
      <c r="DH17" s="57" t="str">
        <f aca="false">IF(2_Daily_input!DH16="","",2_Daily_input!DH16)</f>
        <v/>
      </c>
      <c r="DI17" s="57" t="n">
        <f aca="false">IF(2_Daily_input!DI16="","",2_Daily_input!DI16)</f>
        <v>282.4</v>
      </c>
      <c r="DJ17" s="57" t="n">
        <f aca="false">IF(2_Daily_input!DJ16="","",2_Daily_input!DJ16)</f>
        <v>281.9</v>
      </c>
      <c r="DK17" s="57" t="str">
        <f aca="false">IF(2_Daily_input!DK16="","",2_Daily_input!DK16)</f>
        <v/>
      </c>
      <c r="DL17" s="57" t="str">
        <f aca="false">IF(2_Daily_input!DL16="","",2_Daily_input!DL16)</f>
        <v/>
      </c>
      <c r="DM17" s="57" t="n">
        <f aca="false">IF(2_Daily_input!DM16="","",2_Daily_input!DM16)</f>
        <v>281</v>
      </c>
      <c r="DN17" s="57" t="str">
        <f aca="false">IF(2_Daily_input!DN16="","",2_Daily_input!DN16)</f>
        <v/>
      </c>
      <c r="DO17" s="57" t="n">
        <f aca="false">IF(2_Daily_input!DO16="","",2_Daily_input!DO16)</f>
        <v>281.9</v>
      </c>
      <c r="DP17" s="57" t="str">
        <f aca="false">IF(2_Daily_input!DP16="","",2_Daily_input!DP16)</f>
        <v/>
      </c>
      <c r="DQ17" s="57" t="str">
        <f aca="false">IF(2_Daily_input!DQ16="","",2_Daily_input!DQ16)</f>
        <v/>
      </c>
      <c r="DR17" s="57" t="n">
        <f aca="false">IF(2_Daily_input!DR16="","",2_Daily_input!DR16)</f>
        <v>281</v>
      </c>
      <c r="DS17" s="57" t="str">
        <f aca="false">IF(2_Daily_input!DS16="","",2_Daily_input!DS16)</f>
        <v/>
      </c>
      <c r="DT17" s="57" t="n">
        <f aca="false">IF(2_Daily_input!DT16="","",2_Daily_input!DT16)</f>
        <v>281.9</v>
      </c>
      <c r="DU17" s="57" t="str">
        <f aca="false">IF(2_Daily_input!DU16="","",2_Daily_input!DU16)</f>
        <v/>
      </c>
      <c r="DV17" s="57" t="str">
        <f aca="false">IF(2_Daily_input!DV16="","",2_Daily_input!DV16)</f>
        <v/>
      </c>
      <c r="DW17" s="57" t="n">
        <f aca="false">IF(2_Daily_input!DW16="","",2_Daily_input!DW16)</f>
        <v>281.9</v>
      </c>
      <c r="DX17" s="57" t="str">
        <f aca="false">IF(2_Daily_input!DX16="","",2_Daily_input!DX16)</f>
        <v/>
      </c>
      <c r="DY17" s="57" t="str">
        <f aca="false">IF(2_Daily_input!DY16="","",2_Daily_input!DY16)</f>
        <v/>
      </c>
      <c r="DZ17" s="57" t="str">
        <f aca="false">IF(2_Daily_input!DZ16="","",2_Daily_input!DZ16)</f>
        <v/>
      </c>
      <c r="EA17" s="57" t="n">
        <f aca="false">IF(2_Daily_input!EA16="","",2_Daily_input!EA16)</f>
        <v>282.1</v>
      </c>
      <c r="EB17" s="57" t="str">
        <f aca="false">IF(2_Daily_input!EB16="","",2_Daily_input!EB16)</f>
        <v/>
      </c>
      <c r="EC17" s="57" t="str">
        <f aca="false">IF(2_Daily_input!EC16="","",2_Daily_input!EC16)</f>
        <v/>
      </c>
      <c r="ED17" s="57" t="str">
        <f aca="false">IF(2_Daily_input!ED16="","",2_Daily_input!ED16)</f>
        <v/>
      </c>
      <c r="EE17" s="57" t="str">
        <f aca="false">IF(2_Daily_input!EE16="","",2_Daily_input!EE16)</f>
        <v/>
      </c>
      <c r="EF17" s="57" t="str">
        <f aca="false">IF(2_Daily_input!EF16="","",2_Daily_input!EF16)</f>
        <v/>
      </c>
      <c r="EG17" s="57" t="str">
        <f aca="false">IF(2_Daily_input!EG16="","",2_Daily_input!EG16)</f>
        <v/>
      </c>
      <c r="EH17" s="57" t="n">
        <f aca="false">IF(2_Daily_input!EH16="","",2_Daily_input!EH16)</f>
        <v>281.9</v>
      </c>
      <c r="EI17" s="57" t="str">
        <f aca="false">IF(2_Daily_input!EI16="","",2_Daily_input!EI16)</f>
        <v/>
      </c>
      <c r="EJ17" s="57" t="n">
        <f aca="false">IF(2_Daily_input!EJ16="","",2_Daily_input!EJ16)</f>
        <v>283.4</v>
      </c>
      <c r="EK17" s="57" t="str">
        <f aca="false">IF(2_Daily_input!EK16="","",2_Daily_input!EK16)</f>
        <v/>
      </c>
      <c r="EL17" s="57" t="str">
        <f aca="false">IF(2_Daily_input!EL16="","",2_Daily_input!EL16)</f>
        <v/>
      </c>
      <c r="EM17" s="57" t="str">
        <f aca="false">IF(2_Daily_input!EM16="","",2_Daily_input!EM16)</f>
        <v/>
      </c>
      <c r="EN17" s="57" t="str">
        <f aca="false">IF(2_Daily_input!EN16="","",2_Daily_input!EN16)</f>
        <v/>
      </c>
      <c r="EO17" s="57" t="str">
        <f aca="false">IF(2_Daily_input!EO16="","",2_Daily_input!EO16)</f>
        <v/>
      </c>
      <c r="EP17" s="57" t="n">
        <f aca="false">IF(2_Daily_input!EP16="","",2_Daily_input!EP16)</f>
        <v>281.9</v>
      </c>
      <c r="EQ17" s="57" t="str">
        <f aca="false">IF(2_Daily_input!EQ16="","",2_Daily_input!EQ16)</f>
        <v/>
      </c>
      <c r="ER17" s="57" t="str">
        <f aca="false">IF(2_Daily_input!ER16="","",2_Daily_input!ER16)</f>
        <v/>
      </c>
      <c r="ES17" s="57" t="str">
        <f aca="false">IF(2_Daily_input!ES16="","",2_Daily_input!ES16)</f>
        <v/>
      </c>
      <c r="ET17" s="57" t="str">
        <f aca="false">IF(2_Daily_input!ET16="","",2_Daily_input!ET16)</f>
        <v/>
      </c>
      <c r="EU17" s="57" t="str">
        <f aca="false">IF(2_Daily_input!EU16="","",2_Daily_input!EU16)</f>
        <v/>
      </c>
      <c r="EV17" s="57" t="str">
        <f aca="false">IF(2_Daily_input!EV16="","",2_Daily_input!EV16)</f>
        <v/>
      </c>
      <c r="EW17" s="57" t="str">
        <f aca="false">IF(2_Daily_input!EW16="","",2_Daily_input!EW16)</f>
        <v/>
      </c>
      <c r="EX17" s="57" t="str">
        <f aca="false">IF(2_Daily_input!EX16="","",2_Daily_input!EX16)</f>
        <v/>
      </c>
      <c r="EY17" s="57" t="str">
        <f aca="false">IF(2_Daily_input!EY16="","",2_Daily_input!EY16)</f>
        <v/>
      </c>
      <c r="EZ17" s="57" t="str">
        <f aca="false">IF(2_Daily_input!EZ16="","",2_Daily_input!EZ16)</f>
        <v/>
      </c>
      <c r="FA17" s="57" t="str">
        <f aca="false">IF(2_Daily_input!FA16="","",2_Daily_input!FA16)</f>
        <v/>
      </c>
      <c r="FB17" s="57" t="str">
        <f aca="false">IF(2_Daily_input!FB16="","",2_Daily_input!FB16)</f>
        <v/>
      </c>
      <c r="FC17" s="57" t="str">
        <f aca="false">IF(2_Daily_input!FC16="","",2_Daily_input!FC16)</f>
        <v/>
      </c>
      <c r="FD17" s="57" t="str">
        <f aca="false">IF(2_Daily_input!FD16="","",2_Daily_input!FD16)</f>
        <v/>
      </c>
      <c r="FE17" s="57" t="str">
        <f aca="false">IF(2_Daily_input!FE16="","",2_Daily_input!FE16)</f>
        <v/>
      </c>
      <c r="FF17" s="57" t="str">
        <f aca="false">IF(2_Daily_input!FF16="","",2_Daily_input!FF16)</f>
        <v/>
      </c>
      <c r="FG17" s="57" t="str">
        <f aca="false">IF(2_Daily_input!FG16="","",2_Daily_input!FG16)</f>
        <v/>
      </c>
      <c r="FH17" s="57" t="str">
        <f aca="false">IF(2_Daily_input!FH16="","",2_Daily_input!FH16)</f>
        <v/>
      </c>
      <c r="FI17" s="57" t="str">
        <f aca="false">IF(2_Daily_input!FI16="","",2_Daily_input!FI16)</f>
        <v/>
      </c>
      <c r="FJ17" s="57" t="str">
        <f aca="false">IF(2_Daily_input!FJ16="","",2_Daily_input!FJ16)</f>
        <v/>
      </c>
      <c r="FK17" s="57" t="str">
        <f aca="false">IF(2_Daily_input!FK16="","",2_Daily_input!FK16)</f>
        <v/>
      </c>
      <c r="FL17" s="57" t="str">
        <f aca="false">IF(2_Daily_input!FL16="","",2_Daily_input!FL16)</f>
        <v/>
      </c>
      <c r="FM17" s="57" t="str">
        <f aca="false">IF(2_Daily_input!FM16="","",2_Daily_input!FM16)</f>
        <v/>
      </c>
      <c r="FN17" s="57" t="str">
        <f aca="false">IF(2_Daily_input!FN16="","",2_Daily_input!FN16)</f>
        <v/>
      </c>
      <c r="FO17" s="57" t="str">
        <f aca="false">IF(2_Daily_input!FO16="","",2_Daily_input!FO16)</f>
        <v/>
      </c>
      <c r="FP17" s="57" t="str">
        <f aca="false">IF(2_Daily_input!FP16="","",2_Daily_input!FP16)</f>
        <v/>
      </c>
      <c r="FQ17" s="57" t="str">
        <f aca="false">IF(2_Daily_input!FQ16="","",2_Daily_input!FQ16)</f>
        <v/>
      </c>
    </row>
    <row r="18" customFormat="false" ht="15" hidden="false" customHeight="false" outlineLevel="0" collapsed="false">
      <c r="A18" s="31" t="s">
        <v>328</v>
      </c>
      <c r="B18" s="17" t="s">
        <v>417</v>
      </c>
      <c r="D18" s="57" t="str">
        <f aca="false">IF(2_Daily_input!D17="","",2_Daily_input!D17)</f>
        <v/>
      </c>
      <c r="E18" s="57" t="str">
        <f aca="false">IF(2_Daily_input!E17="","",2_Daily_input!E17)</f>
        <v/>
      </c>
      <c r="F18" s="57" t="str">
        <f aca="false">IF(2_Daily_input!F17="","",2_Daily_input!F17)</f>
        <v/>
      </c>
      <c r="G18" s="57" t="str">
        <f aca="false">IF(2_Daily_input!G17="","",2_Daily_input!G17)</f>
        <v/>
      </c>
      <c r="H18" s="57" t="str">
        <f aca="false">IF(2_Daily_input!H17="","",2_Daily_input!H17)</f>
        <v/>
      </c>
      <c r="I18" s="57" t="str">
        <f aca="false">IF(2_Daily_input!I17="","",2_Daily_input!I17)</f>
        <v/>
      </c>
      <c r="J18" s="57" t="str">
        <f aca="false">IF(2_Daily_input!J17="","",2_Daily_input!J17)</f>
        <v/>
      </c>
      <c r="K18" s="57" t="str">
        <f aca="false">IF(2_Daily_input!K17="","",2_Daily_input!K17)</f>
        <v/>
      </c>
      <c r="L18" s="57" t="str">
        <f aca="false">IF(2_Daily_input!L17="","",2_Daily_input!L17)</f>
        <v/>
      </c>
      <c r="M18" s="57" t="str">
        <f aca="false">IF(2_Daily_input!M17="","",2_Daily_input!M17)</f>
        <v/>
      </c>
      <c r="N18" s="57" t="str">
        <f aca="false">IF(2_Daily_input!N17="","",2_Daily_input!N17)</f>
        <v/>
      </c>
      <c r="O18" s="57" t="str">
        <f aca="false">IF(2_Daily_input!O17="","",2_Daily_input!O17)</f>
        <v/>
      </c>
      <c r="P18" s="57" t="str">
        <f aca="false">IF(2_Daily_input!P17="","",2_Daily_input!P17)</f>
        <v/>
      </c>
      <c r="Q18" s="57" t="str">
        <f aca="false">IF(2_Daily_input!Q17="","",2_Daily_input!Q17)</f>
        <v/>
      </c>
      <c r="R18" s="57" t="str">
        <f aca="false">IF(2_Daily_input!R17="","",2_Daily_input!R17)</f>
        <v/>
      </c>
      <c r="S18" s="57" t="str">
        <f aca="false">IF(2_Daily_input!S17="","",2_Daily_input!S17)</f>
        <v/>
      </c>
      <c r="T18" s="57" t="str">
        <f aca="false">IF(2_Daily_input!T17="","",2_Daily_input!T17)</f>
        <v/>
      </c>
      <c r="U18" s="57" t="str">
        <f aca="false">IF(2_Daily_input!U17="","",2_Daily_input!U17)</f>
        <v/>
      </c>
      <c r="V18" s="57" t="str">
        <f aca="false">IF(2_Daily_input!V17="","",2_Daily_input!V17)</f>
        <v/>
      </c>
      <c r="W18" s="57" t="str">
        <f aca="false">IF(2_Daily_input!W17="","",2_Daily_input!W17)</f>
        <v/>
      </c>
      <c r="X18" s="57" t="str">
        <f aca="false">IF(2_Daily_input!X17="","",2_Daily_input!X17)</f>
        <v/>
      </c>
      <c r="Y18" s="57" t="str">
        <f aca="false">IF(2_Daily_input!Y17="","",2_Daily_input!Y17)</f>
        <v/>
      </c>
      <c r="Z18" s="57" t="str">
        <f aca="false">IF(2_Daily_input!Z17="","",2_Daily_input!Z17)</f>
        <v/>
      </c>
      <c r="AA18" s="57" t="str">
        <f aca="false">IF(2_Daily_input!AA17="","",2_Daily_input!AA17)</f>
        <v/>
      </c>
      <c r="AB18" s="57" t="str">
        <f aca="false">IF(2_Daily_input!AB17="","",2_Daily_input!AB17)</f>
        <v/>
      </c>
      <c r="AC18" s="57" t="str">
        <f aca="false">IF(2_Daily_input!AC17="","",2_Daily_input!AC17)</f>
        <v/>
      </c>
      <c r="AD18" s="57" t="str">
        <f aca="false">IF(2_Daily_input!AD17="","",2_Daily_input!AD17)</f>
        <v/>
      </c>
      <c r="AE18" s="57" t="str">
        <f aca="false">IF(2_Daily_input!AE17="","",2_Daily_input!AE17)</f>
        <v/>
      </c>
      <c r="AF18" s="57" t="str">
        <f aca="false">IF(2_Daily_input!AF17="","",2_Daily_input!AF17)</f>
        <v/>
      </c>
      <c r="AG18" s="57" t="str">
        <f aca="false">IF(2_Daily_input!AG17="","",2_Daily_input!AG17)</f>
        <v/>
      </c>
      <c r="AH18" s="57" t="str">
        <f aca="false">IF(2_Daily_input!AH17="","",2_Daily_input!AH17)</f>
        <v/>
      </c>
      <c r="AI18" s="57" t="str">
        <f aca="false">IF(2_Daily_input!AI17="","",2_Daily_input!AI17)</f>
        <v/>
      </c>
      <c r="AJ18" s="57" t="str">
        <f aca="false">IF(2_Daily_input!AJ17="","",2_Daily_input!AJ17)</f>
        <v/>
      </c>
      <c r="AK18" s="57" t="str">
        <f aca="false">IF(2_Daily_input!AK17="","",2_Daily_input!AK17)</f>
        <v/>
      </c>
      <c r="AL18" s="57" t="str">
        <f aca="false">IF(2_Daily_input!AL17="","",2_Daily_input!AL17)</f>
        <v/>
      </c>
      <c r="AM18" s="57" t="str">
        <f aca="false">IF(2_Daily_input!AM17="","",2_Daily_input!AM17)</f>
        <v/>
      </c>
      <c r="AN18" s="57" t="str">
        <f aca="false">IF(2_Daily_input!AN17="","",2_Daily_input!AN17)</f>
        <v/>
      </c>
      <c r="AO18" s="57" t="str">
        <f aca="false">IF(2_Daily_input!AO17="","",2_Daily_input!AO17)</f>
        <v/>
      </c>
      <c r="AP18" s="57" t="str">
        <f aca="false">IF(2_Daily_input!AP17="","",2_Daily_input!AP17)</f>
        <v/>
      </c>
      <c r="AQ18" s="57" t="str">
        <f aca="false">IF(2_Daily_input!AQ17="","",2_Daily_input!AQ17)</f>
        <v/>
      </c>
      <c r="AR18" s="57" t="str">
        <f aca="false">IF(2_Daily_input!AR17="","",2_Daily_input!AR17)</f>
        <v/>
      </c>
      <c r="AS18" s="57" t="str">
        <f aca="false">IF(2_Daily_input!AS17="","",2_Daily_input!AS17)</f>
        <v/>
      </c>
      <c r="AT18" s="57" t="str">
        <f aca="false">IF(2_Daily_input!AT17="","",2_Daily_input!AT17)</f>
        <v/>
      </c>
      <c r="AU18" s="57" t="str">
        <f aca="false">IF(2_Daily_input!AU17="","",2_Daily_input!AU17)</f>
        <v/>
      </c>
      <c r="AV18" s="57" t="str">
        <f aca="false">IF(2_Daily_input!AV17="","",2_Daily_input!AV17)</f>
        <v/>
      </c>
      <c r="AW18" s="57" t="str">
        <f aca="false">IF(2_Daily_input!AW17="","",2_Daily_input!AW17)</f>
        <v/>
      </c>
      <c r="AX18" s="57" t="str">
        <f aca="false">IF(2_Daily_input!AX17="","",2_Daily_input!AX17)</f>
        <v/>
      </c>
      <c r="AY18" s="57" t="str">
        <f aca="false">IF(2_Daily_input!AY17="","",2_Daily_input!AY17)</f>
        <v/>
      </c>
      <c r="AZ18" s="57" t="str">
        <f aca="false">IF(2_Daily_input!AZ17="","",2_Daily_input!AZ17)</f>
        <v/>
      </c>
      <c r="BA18" s="57" t="str">
        <f aca="false">IF(2_Daily_input!BA17="","",2_Daily_input!BA17)</f>
        <v/>
      </c>
      <c r="BB18" s="57" t="str">
        <f aca="false">IF(2_Daily_input!BB17="","",2_Daily_input!BB17)</f>
        <v/>
      </c>
      <c r="BC18" s="57" t="str">
        <f aca="false">IF(2_Daily_input!BC17="","",2_Daily_input!BC17)</f>
        <v/>
      </c>
      <c r="BD18" s="57" t="str">
        <f aca="false">IF(2_Daily_input!BD17="","",2_Daily_input!BD17)</f>
        <v/>
      </c>
      <c r="BE18" s="57" t="str">
        <f aca="false">IF(2_Daily_input!BE17="","",2_Daily_input!BE17)</f>
        <v>15:00</v>
      </c>
      <c r="BF18" s="57" t="str">
        <f aca="false">IF(2_Daily_input!BF17="","",2_Daily_input!BF17)</f>
        <v/>
      </c>
      <c r="BG18" s="57" t="str">
        <f aca="false">IF(2_Daily_input!BG17="","",2_Daily_input!BG17)</f>
        <v>40:00</v>
      </c>
      <c r="BH18" s="57" t="str">
        <f aca="false">IF(2_Daily_input!BH17="","",2_Daily_input!BH17)</f>
        <v/>
      </c>
      <c r="BI18" s="57" t="str">
        <f aca="false">IF(2_Daily_input!BI17="","",2_Daily_input!BI17)</f>
        <v/>
      </c>
      <c r="BJ18" s="57" t="str">
        <f aca="false">IF(2_Daily_input!BJ17="","",2_Daily_input!BJ17)</f>
        <v/>
      </c>
      <c r="BK18" s="57" t="str">
        <f aca="false">IF(2_Daily_input!BK17="","",2_Daily_input!BK17)</f>
        <v>40:00</v>
      </c>
      <c r="BL18" s="57" t="str">
        <f aca="false">IF(2_Daily_input!BL17="","",2_Daily_input!BL17)</f>
        <v/>
      </c>
      <c r="BM18" s="57" t="str">
        <f aca="false">IF(2_Daily_input!BM17="","",2_Daily_input!BM17)</f>
        <v/>
      </c>
      <c r="BN18" s="57" t="str">
        <f aca="false">IF(2_Daily_input!BN17="","",2_Daily_input!BN17)</f>
        <v/>
      </c>
      <c r="BO18" s="57" t="str">
        <f aca="false">IF(2_Daily_input!BO17="","",2_Daily_input!BO17)</f>
        <v/>
      </c>
      <c r="BP18" s="57" t="str">
        <f aca="false">IF(2_Daily_input!BP17="","",2_Daily_input!BP17)</f>
        <v>30:00</v>
      </c>
      <c r="BQ18" s="57" t="str">
        <f aca="false">IF(2_Daily_input!BQ17="","",2_Daily_input!BQ17)</f>
        <v/>
      </c>
      <c r="BR18" s="57" t="str">
        <f aca="false">IF(2_Daily_input!BR17="","",2_Daily_input!BR17)</f>
        <v/>
      </c>
      <c r="BS18" s="57" t="str">
        <f aca="false">IF(2_Daily_input!BS17="","",2_Daily_input!BS17)</f>
        <v/>
      </c>
      <c r="BT18" s="57" t="str">
        <f aca="false">IF(2_Daily_input!BT17="","",2_Daily_input!BT17)</f>
        <v/>
      </c>
      <c r="BU18" s="57" t="str">
        <f aca="false">IF(2_Daily_input!BU17="","",2_Daily_input!BU17)</f>
        <v/>
      </c>
      <c r="BV18" s="57" t="str">
        <f aca="false">IF(2_Daily_input!BV17="","",2_Daily_input!BV17)</f>
        <v/>
      </c>
      <c r="BW18" s="57" t="str">
        <f aca="false">IF(2_Daily_input!BW17="","",2_Daily_input!BW17)</f>
        <v>20:00</v>
      </c>
      <c r="BX18" s="57" t="str">
        <f aca="false">IF(2_Daily_input!BX17="","",2_Daily_input!BX17)</f>
        <v/>
      </c>
      <c r="BY18" s="57" t="str">
        <f aca="false">IF(2_Daily_input!BY17="","",2_Daily_input!BY17)</f>
        <v/>
      </c>
      <c r="BZ18" s="57" t="str">
        <f aca="false">IF(2_Daily_input!BZ17="","",2_Daily_input!BZ17)</f>
        <v/>
      </c>
      <c r="CA18" s="57" t="str">
        <f aca="false">IF(2_Daily_input!CA17="","",2_Daily_input!CA17)</f>
        <v/>
      </c>
      <c r="CB18" s="57" t="str">
        <f aca="false">IF(2_Daily_input!CB17="","",2_Daily_input!CB17)</f>
        <v/>
      </c>
      <c r="CC18" s="57" t="str">
        <f aca="false">IF(2_Daily_input!CC17="","",2_Daily_input!CC17)</f>
        <v/>
      </c>
      <c r="CD18" s="57" t="str">
        <f aca="false">IF(2_Daily_input!CD17="","",2_Daily_input!CD17)</f>
        <v>25:00</v>
      </c>
      <c r="CE18" s="57" t="str">
        <f aca="false">IF(2_Daily_input!CE17="","",2_Daily_input!CE17)</f>
        <v/>
      </c>
      <c r="CF18" s="57" t="str">
        <f aca="false">IF(2_Daily_input!CF17="","",2_Daily_input!CF17)</f>
        <v/>
      </c>
      <c r="CG18" s="57" t="str">
        <f aca="false">IF(2_Daily_input!CG17="","",2_Daily_input!CG17)</f>
        <v/>
      </c>
      <c r="CH18" s="57" t="str">
        <f aca="false">IF(2_Daily_input!CH17="","",2_Daily_input!CH17)</f>
        <v>40:00</v>
      </c>
      <c r="CI18" s="57" t="str">
        <f aca="false">IF(2_Daily_input!CI17="","",2_Daily_input!CI17)</f>
        <v/>
      </c>
      <c r="CJ18" s="57" t="str">
        <f aca="false">IF(2_Daily_input!CJ17="","",2_Daily_input!CJ17)</f>
        <v/>
      </c>
      <c r="CK18" s="57" t="str">
        <f aca="false">IF(2_Daily_input!CK17="","",2_Daily_input!CK17)</f>
        <v/>
      </c>
      <c r="CL18" s="57" t="str">
        <f aca="false">IF(2_Daily_input!CL17="","",2_Daily_input!CL17)</f>
        <v/>
      </c>
      <c r="CM18" s="57" t="str">
        <f aca="false">IF(2_Daily_input!CM17="","",2_Daily_input!CM17)</f>
        <v/>
      </c>
      <c r="CN18" s="57" t="str">
        <f aca="false">IF(2_Daily_input!CN17="","",2_Daily_input!CN17)</f>
        <v/>
      </c>
      <c r="CO18" s="57" t="str">
        <f aca="false">IF(2_Daily_input!CO17="","",2_Daily_input!CO17)</f>
        <v/>
      </c>
      <c r="CP18" s="57" t="str">
        <f aca="false">IF(2_Daily_input!CP17="","",2_Daily_input!CP17)</f>
        <v/>
      </c>
      <c r="CQ18" s="57" t="str">
        <f aca="false">IF(2_Daily_input!CQ17="","",2_Daily_input!CQ17)</f>
        <v/>
      </c>
      <c r="CR18" s="57" t="str">
        <f aca="false">IF(2_Daily_input!CR17="","",2_Daily_input!CR17)</f>
        <v/>
      </c>
      <c r="CS18" s="57" t="str">
        <f aca="false">IF(2_Daily_input!CS17="","",2_Daily_input!CS17)</f>
        <v/>
      </c>
      <c r="CT18" s="57" t="str">
        <f aca="false">IF(2_Daily_input!CT17="","",2_Daily_input!CT17)</f>
        <v/>
      </c>
      <c r="CU18" s="57" t="str">
        <f aca="false">IF(2_Daily_input!CU17="","",2_Daily_input!CU17)</f>
        <v/>
      </c>
      <c r="CV18" s="57" t="str">
        <f aca="false">IF(2_Daily_input!CV17="","",2_Daily_input!CV17)</f>
        <v/>
      </c>
      <c r="CW18" s="57" t="str">
        <f aca="false">IF(2_Daily_input!CW17="","",2_Daily_input!CW17)</f>
        <v>30:00</v>
      </c>
      <c r="CX18" s="57" t="str">
        <f aca="false">IF(2_Daily_input!CX17="","",2_Daily_input!CX17)</f>
        <v/>
      </c>
      <c r="CY18" s="57" t="str">
        <f aca="false">IF(2_Daily_input!CY17="","",2_Daily_input!CY17)</f>
        <v/>
      </c>
      <c r="CZ18" s="57" t="str">
        <f aca="false">IF(2_Daily_input!CZ17="","",2_Daily_input!CZ17)</f>
        <v>30:00</v>
      </c>
      <c r="DA18" s="57" t="str">
        <f aca="false">IF(2_Daily_input!DA17="","",2_Daily_input!DA17)</f>
        <v/>
      </c>
      <c r="DB18" s="57" t="str">
        <f aca="false">IF(2_Daily_input!DB17="","",2_Daily_input!DB17)</f>
        <v/>
      </c>
      <c r="DC18" s="57" t="str">
        <f aca="false">IF(2_Daily_input!DC17="","",2_Daily_input!DC17)</f>
        <v>40:00</v>
      </c>
      <c r="DD18" s="57" t="str">
        <f aca="false">IF(2_Daily_input!DD17="","",2_Daily_input!DD17)</f>
        <v/>
      </c>
      <c r="DE18" s="57" t="str">
        <f aca="false">IF(2_Daily_input!DE17="","",2_Daily_input!DE17)</f>
        <v/>
      </c>
      <c r="DF18" s="57" t="str">
        <f aca="false">IF(2_Daily_input!DF17="","",2_Daily_input!DF17)</f>
        <v/>
      </c>
      <c r="DG18" s="57" t="str">
        <f aca="false">IF(2_Daily_input!DG17="","",2_Daily_input!DG17)</f>
        <v/>
      </c>
      <c r="DH18" s="57" t="str">
        <f aca="false">IF(2_Daily_input!DH17="","",2_Daily_input!DH17)</f>
        <v/>
      </c>
      <c r="DI18" s="57" t="str">
        <f aca="false">IF(2_Daily_input!DI17="","",2_Daily_input!DI17)</f>
        <v>20:00</v>
      </c>
      <c r="DJ18" s="57" t="str">
        <f aca="false">IF(2_Daily_input!DJ17="","",2_Daily_input!DJ17)</f>
        <v>20:00</v>
      </c>
      <c r="DK18" s="57" t="str">
        <f aca="false">IF(2_Daily_input!DK17="","",2_Daily_input!DK17)</f>
        <v/>
      </c>
      <c r="DL18" s="57" t="str">
        <f aca="false">IF(2_Daily_input!DL17="","",2_Daily_input!DL17)</f>
        <v/>
      </c>
      <c r="DM18" s="57" t="str">
        <f aca="false">IF(2_Daily_input!DM17="","",2_Daily_input!DM17)</f>
        <v>10:00</v>
      </c>
      <c r="DN18" s="57" t="str">
        <f aca="false">IF(2_Daily_input!DN17="","",2_Daily_input!DN17)</f>
        <v/>
      </c>
      <c r="DO18" s="57" t="str">
        <f aca="false">IF(2_Daily_input!DO17="","",2_Daily_input!DO17)</f>
        <v>20:00</v>
      </c>
      <c r="DP18" s="57" t="str">
        <f aca="false">IF(2_Daily_input!DP17="","",2_Daily_input!DP17)</f>
        <v/>
      </c>
      <c r="DQ18" s="57" t="str">
        <f aca="false">IF(2_Daily_input!DQ17="","",2_Daily_input!DQ17)</f>
        <v/>
      </c>
      <c r="DR18" s="57" t="str">
        <f aca="false">IF(2_Daily_input!DR17="","",2_Daily_input!DR17)</f>
        <v>20:00</v>
      </c>
      <c r="DS18" s="57" t="str">
        <f aca="false">IF(2_Daily_input!DS17="","",2_Daily_input!DS17)</f>
        <v/>
      </c>
      <c r="DT18" s="57" t="str">
        <f aca="false">IF(2_Daily_input!DT17="","",2_Daily_input!DT17)</f>
        <v>30:00</v>
      </c>
      <c r="DU18" s="57" t="str">
        <f aca="false">IF(2_Daily_input!DU17="","",2_Daily_input!DU17)</f>
        <v/>
      </c>
      <c r="DV18" s="57" t="str">
        <f aca="false">IF(2_Daily_input!DV17="","",2_Daily_input!DV17)</f>
        <v/>
      </c>
      <c r="DW18" s="57" t="str">
        <f aca="false">IF(2_Daily_input!DW17="","",2_Daily_input!DW17)</f>
        <v>20:00</v>
      </c>
      <c r="DX18" s="57" t="str">
        <f aca="false">IF(2_Daily_input!DX17="","",2_Daily_input!DX17)</f>
        <v/>
      </c>
      <c r="DY18" s="57" t="str">
        <f aca="false">IF(2_Daily_input!DY17="","",2_Daily_input!DY17)</f>
        <v/>
      </c>
      <c r="DZ18" s="57" t="str">
        <f aca="false">IF(2_Daily_input!DZ17="","",2_Daily_input!DZ17)</f>
        <v/>
      </c>
      <c r="EA18" s="57" t="str">
        <f aca="false">IF(2_Daily_input!EA17="","",2_Daily_input!EA17)</f>
        <v>20:00</v>
      </c>
      <c r="EB18" s="57" t="str">
        <f aca="false">IF(2_Daily_input!EB17="","",2_Daily_input!EB17)</f>
        <v/>
      </c>
      <c r="EC18" s="57" t="str">
        <f aca="false">IF(2_Daily_input!EC17="","",2_Daily_input!EC17)</f>
        <v/>
      </c>
      <c r="ED18" s="57" t="str">
        <f aca="false">IF(2_Daily_input!ED17="","",2_Daily_input!ED17)</f>
        <v/>
      </c>
      <c r="EE18" s="57" t="str">
        <f aca="false">IF(2_Daily_input!EE17="","",2_Daily_input!EE17)</f>
        <v/>
      </c>
      <c r="EF18" s="57" t="str">
        <f aca="false">IF(2_Daily_input!EF17="","",2_Daily_input!EF17)</f>
        <v/>
      </c>
      <c r="EG18" s="57" t="str">
        <f aca="false">IF(2_Daily_input!EG17="","",2_Daily_input!EG17)</f>
        <v/>
      </c>
      <c r="EH18" s="57" t="str">
        <f aca="false">IF(2_Daily_input!EH17="","",2_Daily_input!EH17)</f>
        <v>25:00</v>
      </c>
      <c r="EI18" s="57" t="str">
        <f aca="false">IF(2_Daily_input!EI17="","",2_Daily_input!EI17)</f>
        <v/>
      </c>
      <c r="EJ18" s="57" t="str">
        <f aca="false">IF(2_Daily_input!EJ17="","",2_Daily_input!EJ17)</f>
        <v>25:00</v>
      </c>
      <c r="EK18" s="57" t="str">
        <f aca="false">IF(2_Daily_input!EK17="","",2_Daily_input!EK17)</f>
        <v/>
      </c>
      <c r="EL18" s="57" t="str">
        <f aca="false">IF(2_Daily_input!EL17="","",2_Daily_input!EL17)</f>
        <v/>
      </c>
      <c r="EM18" s="57" t="str">
        <f aca="false">IF(2_Daily_input!EM17="","",2_Daily_input!EM17)</f>
        <v/>
      </c>
      <c r="EN18" s="57" t="str">
        <f aca="false">IF(2_Daily_input!EN17="","",2_Daily_input!EN17)</f>
        <v/>
      </c>
      <c r="EO18" s="57" t="str">
        <f aca="false">IF(2_Daily_input!EO17="","",2_Daily_input!EO17)</f>
        <v/>
      </c>
      <c r="EP18" s="57" t="str">
        <f aca="false">IF(2_Daily_input!EP17="","",2_Daily_input!EP17)</f>
        <v>20:00</v>
      </c>
      <c r="EQ18" s="57" t="str">
        <f aca="false">IF(2_Daily_input!EQ17="","",2_Daily_input!EQ17)</f>
        <v/>
      </c>
      <c r="ER18" s="57" t="str">
        <f aca="false">IF(2_Daily_input!ER17="","",2_Daily_input!ER17)</f>
        <v/>
      </c>
      <c r="ES18" s="57" t="str">
        <f aca="false">IF(2_Daily_input!ES17="","",2_Daily_input!ES17)</f>
        <v/>
      </c>
      <c r="ET18" s="57" t="str">
        <f aca="false">IF(2_Daily_input!ET17="","",2_Daily_input!ET17)</f>
        <v/>
      </c>
      <c r="EU18" s="57" t="str">
        <f aca="false">IF(2_Daily_input!EU17="","",2_Daily_input!EU17)</f>
        <v/>
      </c>
      <c r="EV18" s="57" t="str">
        <f aca="false">IF(2_Daily_input!EV17="","",2_Daily_input!EV17)</f>
        <v/>
      </c>
      <c r="EW18" s="57" t="str">
        <f aca="false">IF(2_Daily_input!EW17="","",2_Daily_input!EW17)</f>
        <v/>
      </c>
      <c r="EX18" s="57" t="str">
        <f aca="false">IF(2_Daily_input!EX17="","",2_Daily_input!EX17)</f>
        <v/>
      </c>
      <c r="EY18" s="57" t="str">
        <f aca="false">IF(2_Daily_input!EY17="","",2_Daily_input!EY17)</f>
        <v/>
      </c>
      <c r="EZ18" s="57" t="str">
        <f aca="false">IF(2_Daily_input!EZ17="","",2_Daily_input!EZ17)</f>
        <v/>
      </c>
      <c r="FA18" s="57" t="str">
        <f aca="false">IF(2_Daily_input!FA17="","",2_Daily_input!FA17)</f>
        <v/>
      </c>
      <c r="FB18" s="57" t="str">
        <f aca="false">IF(2_Daily_input!FB17="","",2_Daily_input!FB17)</f>
        <v/>
      </c>
      <c r="FC18" s="57" t="str">
        <f aca="false">IF(2_Daily_input!FC17="","",2_Daily_input!FC17)</f>
        <v/>
      </c>
      <c r="FD18" s="57" t="str">
        <f aca="false">IF(2_Daily_input!FD17="","",2_Daily_input!FD17)</f>
        <v/>
      </c>
      <c r="FE18" s="57" t="str">
        <f aca="false">IF(2_Daily_input!FE17="","",2_Daily_input!FE17)</f>
        <v/>
      </c>
      <c r="FF18" s="57" t="str">
        <f aca="false">IF(2_Daily_input!FF17="","",2_Daily_input!FF17)</f>
        <v/>
      </c>
      <c r="FG18" s="57" t="str">
        <f aca="false">IF(2_Daily_input!FG17="","",2_Daily_input!FG17)</f>
        <v/>
      </c>
      <c r="FH18" s="57" t="str">
        <f aca="false">IF(2_Daily_input!FH17="","",2_Daily_input!FH17)</f>
        <v/>
      </c>
      <c r="FI18" s="57" t="str">
        <f aca="false">IF(2_Daily_input!FI17="","",2_Daily_input!FI17)</f>
        <v/>
      </c>
      <c r="FJ18" s="57" t="str">
        <f aca="false">IF(2_Daily_input!FJ17="","",2_Daily_input!FJ17)</f>
        <v/>
      </c>
      <c r="FK18" s="57" t="str">
        <f aca="false">IF(2_Daily_input!FK17="","",2_Daily_input!FK17)</f>
        <v/>
      </c>
      <c r="FL18" s="57" t="str">
        <f aca="false">IF(2_Daily_input!FL17="","",2_Daily_input!FL17)</f>
        <v/>
      </c>
      <c r="FM18" s="57" t="str">
        <f aca="false">IF(2_Daily_input!FM17="","",2_Daily_input!FM17)</f>
        <v/>
      </c>
      <c r="FN18" s="57" t="str">
        <f aca="false">IF(2_Daily_input!FN17="","",2_Daily_input!FN17)</f>
        <v/>
      </c>
      <c r="FO18" s="57" t="str">
        <f aca="false">IF(2_Daily_input!FO17="","",2_Daily_input!FO17)</f>
        <v/>
      </c>
      <c r="FP18" s="57" t="str">
        <f aca="false">IF(2_Daily_input!FP17="","",2_Daily_input!FP17)</f>
        <v/>
      </c>
      <c r="FQ18" s="57" t="str">
        <f aca="false">IF(2_Daily_input!FQ17="","",2_Daily_input!FQ17)</f>
        <v/>
      </c>
    </row>
    <row r="19" customFormat="false" ht="15" hidden="false" customHeight="false" outlineLevel="0" collapsed="false">
      <c r="A19" s="31" t="s">
        <v>328</v>
      </c>
      <c r="B19" s="17" t="s">
        <v>418</v>
      </c>
      <c r="D19" s="50" t="str">
        <f aca="false">IF(AND(ISNUMBER(D16),ISNUMBER(D17),D14&lt;&gt;""),ROUND(D16-D14+D15,1),"")</f>
        <v/>
      </c>
      <c r="E19" s="50" t="str">
        <f aca="false">IF(AND(ISNUMBER(E16),ISNUMBER(E17),E14&lt;&gt;""),ROUND(E16-E14+E15,1),"")</f>
        <v/>
      </c>
      <c r="F19" s="50" t="str">
        <f aca="false">IF(AND(ISNUMBER(F16),ISNUMBER(F17),F14&lt;&gt;""),ROUND(F16-F14+F15,1),"")</f>
        <v/>
      </c>
      <c r="G19" s="50" t="str">
        <f aca="false">IF(AND(ISNUMBER(G16),ISNUMBER(G17),G14&lt;&gt;""),ROUND(G16-G14+G15,1),"")</f>
        <v/>
      </c>
      <c r="H19" s="50" t="str">
        <f aca="false">IF(AND(ISNUMBER(H16),ISNUMBER(H17),H14&lt;&gt;""),ROUND(H16-H14+H15,1),"")</f>
        <v/>
      </c>
      <c r="I19" s="50" t="str">
        <f aca="false">IF(AND(ISNUMBER(I16),ISNUMBER(I17),I14&lt;&gt;""),ROUND(I16-I14+I15,1),"")</f>
        <v/>
      </c>
      <c r="J19" s="50" t="str">
        <f aca="false">IF(AND(ISNUMBER(J16),ISNUMBER(J17),J14&lt;&gt;""),ROUND(J16-J14+J15,1),"")</f>
        <v/>
      </c>
      <c r="K19" s="50" t="str">
        <f aca="false">IF(AND(ISNUMBER(K16),ISNUMBER(K17),K14&lt;&gt;""),ROUND(K16-K14+K15,1),"")</f>
        <v/>
      </c>
      <c r="L19" s="50" t="str">
        <f aca="false">IF(AND(ISNUMBER(L16),ISNUMBER(L17),L14&lt;&gt;""),ROUND(L16-L14+L15,1),"")</f>
        <v/>
      </c>
      <c r="M19" s="50" t="str">
        <f aca="false">IF(AND(ISNUMBER(M16),ISNUMBER(M17),M14&lt;&gt;""),ROUND(M16-M14+M15,1),"")</f>
        <v/>
      </c>
      <c r="N19" s="50" t="str">
        <f aca="false">IF(AND(ISNUMBER(N16),ISNUMBER(N17),N14&lt;&gt;""),ROUND(N16-N14+N15,1),"")</f>
        <v/>
      </c>
      <c r="O19" s="50" t="str">
        <f aca="false">IF(AND(ISNUMBER(O16),ISNUMBER(O17),O14&lt;&gt;""),ROUND(O16-O14+O15,1),"")</f>
        <v/>
      </c>
      <c r="P19" s="50" t="str">
        <f aca="false">IF(AND(ISNUMBER(P16),ISNUMBER(P17),P14&lt;&gt;""),ROUND(P16-P14+P15,1),"")</f>
        <v/>
      </c>
      <c r="Q19" s="50" t="str">
        <f aca="false">IF(AND(ISNUMBER(Q16),ISNUMBER(Q17),Q14&lt;&gt;""),ROUND(Q16-Q14+Q15,1),"")</f>
        <v/>
      </c>
      <c r="R19" s="50" t="str">
        <f aca="false">IF(AND(ISNUMBER(R16),ISNUMBER(R17),R14&lt;&gt;""),ROUND(R16-R14+R15,1),"")</f>
        <v/>
      </c>
      <c r="S19" s="50" t="str">
        <f aca="false">IF(AND(ISNUMBER(S16),ISNUMBER(S17),S14&lt;&gt;""),ROUND(S16-S14+S15,1),"")</f>
        <v/>
      </c>
      <c r="T19" s="50" t="str">
        <f aca="false">IF(AND(ISNUMBER(T16),ISNUMBER(T17),T14&lt;&gt;""),ROUND(T16-T14+T15,1),"")</f>
        <v/>
      </c>
      <c r="U19" s="50" t="str">
        <f aca="false">IF(AND(ISNUMBER(U16),ISNUMBER(U17),U14&lt;&gt;""),ROUND(U16-U14+U15,1),"")</f>
        <v/>
      </c>
      <c r="V19" s="50" t="str">
        <f aca="false">IF(AND(ISNUMBER(V16),ISNUMBER(V17),V14&lt;&gt;""),ROUND(V16-V14+V15,1),"")</f>
        <v/>
      </c>
      <c r="W19" s="50" t="str">
        <f aca="false">IF(AND(ISNUMBER(W16),ISNUMBER(W17),W14&lt;&gt;""),ROUND(W16-W14+W15,1),"")</f>
        <v/>
      </c>
      <c r="X19" s="50" t="str">
        <f aca="false">IF(AND(ISNUMBER(X16),ISNUMBER(X17),X14&lt;&gt;""),ROUND(X16-X14+X15,1),"")</f>
        <v/>
      </c>
      <c r="Y19" s="50" t="str">
        <f aca="false">IF(AND(ISNUMBER(Y16),ISNUMBER(Y17),Y14&lt;&gt;""),ROUND(Y16-Y14+Y15,1),"")</f>
        <v/>
      </c>
      <c r="Z19" s="50" t="str">
        <f aca="false">IF(AND(ISNUMBER(Z16),ISNUMBER(Z17),Z14&lt;&gt;""),ROUND(Z16-Z14+Z15,1),"")</f>
        <v/>
      </c>
      <c r="AA19" s="50" t="str">
        <f aca="false">IF(AND(ISNUMBER(AA16),ISNUMBER(AA17),AA14&lt;&gt;""),ROUND(AA16-AA14+AA15,1),"")</f>
        <v/>
      </c>
      <c r="AB19" s="50" t="str">
        <f aca="false">IF(AND(ISNUMBER(AB16),ISNUMBER(AB17),AB14&lt;&gt;""),ROUND(AB16-AB14+AB15,1),"")</f>
        <v/>
      </c>
      <c r="AC19" s="50" t="str">
        <f aca="false">IF(AND(ISNUMBER(AC16),ISNUMBER(AC17),AC14&lt;&gt;""),ROUND(AC16-AC14+AC15,1),"")</f>
        <v/>
      </c>
      <c r="AD19" s="50" t="str">
        <f aca="false">IF(AND(ISNUMBER(AD16),ISNUMBER(AD17),AD14&lt;&gt;""),ROUND(AD16-AD14+AD15,1),"")</f>
        <v/>
      </c>
      <c r="AE19" s="50" t="str">
        <f aca="false">IF(AND(ISNUMBER(AE16),ISNUMBER(AE17),AE14&lt;&gt;""),ROUND(AE16-AE14+AE15,1),"")</f>
        <v/>
      </c>
      <c r="AF19" s="50" t="str">
        <f aca="false">IF(AND(ISNUMBER(AF16),ISNUMBER(AF17),AF14&lt;&gt;""),ROUND(AF16-AF14+AF15,1),"")</f>
        <v/>
      </c>
      <c r="AG19" s="50" t="str">
        <f aca="false">IF(AND(ISNUMBER(AG16),ISNUMBER(AG17),AG14&lt;&gt;""),ROUND(AG16-AG14+AG15,1),"")</f>
        <v/>
      </c>
      <c r="AH19" s="50" t="str">
        <f aca="false">IF(AND(ISNUMBER(AH16),ISNUMBER(AH17),AH14&lt;&gt;""),ROUND(AH16-AH14+AH15,1),"")</f>
        <v/>
      </c>
      <c r="AI19" s="50" t="str">
        <f aca="false">IF(AND(ISNUMBER(AI16),ISNUMBER(AI17),AI14&lt;&gt;""),ROUND(AI16-AI14+AI15,1),"")</f>
        <v/>
      </c>
      <c r="AJ19" s="50" t="str">
        <f aca="false">IF(AND(ISNUMBER(AJ16),ISNUMBER(AJ17),AJ14&lt;&gt;""),ROUND(AJ16-AJ14+AJ15,1),"")</f>
        <v/>
      </c>
      <c r="AK19" s="50" t="str">
        <f aca="false">IF(AND(ISNUMBER(AK16),ISNUMBER(AK17),AK14&lt;&gt;""),ROUND(AK16-AK14+AK15,1),"")</f>
        <v/>
      </c>
      <c r="AL19" s="50" t="str">
        <f aca="false">IF(AND(ISNUMBER(AL16),ISNUMBER(AL17),AL14&lt;&gt;""),ROUND(AL16-AL14+AL15,1),"")</f>
        <v/>
      </c>
      <c r="AM19" s="50" t="str">
        <f aca="false">IF(AND(ISNUMBER(AM16),ISNUMBER(AM17),AM14&lt;&gt;""),ROUND(AM16-AM14+AM15,1),"")</f>
        <v/>
      </c>
      <c r="AN19" s="50" t="str">
        <f aca="false">IF(AND(ISNUMBER(AN16),ISNUMBER(AN17),AN14&lt;&gt;""),ROUND(AN16-AN14+AN15,1),"")</f>
        <v/>
      </c>
      <c r="AO19" s="50" t="str">
        <f aca="false">IF(AND(ISNUMBER(AO16),ISNUMBER(AO17),AO14&lt;&gt;""),ROUND(AO16-AO14+AO15,1),"")</f>
        <v/>
      </c>
      <c r="AP19" s="50" t="str">
        <f aca="false">IF(AND(ISNUMBER(AP16),ISNUMBER(AP17),AP14&lt;&gt;""),ROUND(AP16-AP14+AP15,1),"")</f>
        <v/>
      </c>
      <c r="AQ19" s="50" t="str">
        <f aca="false">IF(AND(ISNUMBER(AQ16),ISNUMBER(AQ17),AQ14&lt;&gt;""),ROUND(AQ16-AQ14+AQ15,1),"")</f>
        <v/>
      </c>
      <c r="AR19" s="50" t="str">
        <f aca="false">IF(AND(ISNUMBER(AR16),ISNUMBER(AR17),AR14&lt;&gt;""),ROUND(AR16-AR14+AR15,1),"")</f>
        <v/>
      </c>
      <c r="AS19" s="50" t="str">
        <f aca="false">IF(AND(ISNUMBER(AS16),ISNUMBER(AS17),AS14&lt;&gt;""),ROUND(AS16-AS14+AS15,1),"")</f>
        <v/>
      </c>
      <c r="AT19" s="50" t="str">
        <f aca="false">IF(AND(ISNUMBER(AT16),ISNUMBER(AT17),AT14&lt;&gt;""),ROUND(AT16-AT14+AT15,1),"")</f>
        <v/>
      </c>
      <c r="AU19" s="50" t="str">
        <f aca="false">IF(AND(ISNUMBER(AU16),ISNUMBER(AU17),AU14&lt;&gt;""),ROUND(AU16-AU14+AU15,1),"")</f>
        <v/>
      </c>
      <c r="AV19" s="50" t="str">
        <f aca="false">IF(AND(ISNUMBER(AV16),ISNUMBER(AV17),AV14&lt;&gt;""),ROUND(AV16-AV14+AV15,1),"")</f>
        <v/>
      </c>
      <c r="AW19" s="50" t="str">
        <f aca="false">IF(AND(ISNUMBER(AW16),ISNUMBER(AW17),AW14&lt;&gt;""),ROUND(AW16-AW14+AW15,1),"")</f>
        <v/>
      </c>
      <c r="AX19" s="50" t="str">
        <f aca="false">IF(AND(ISNUMBER(AX16),ISNUMBER(AX17),AX14&lt;&gt;""),ROUND(AX16-AX14+AX15,1),"")</f>
        <v/>
      </c>
      <c r="AY19" s="50" t="str">
        <f aca="false">IF(AND(ISNUMBER(AY16),ISNUMBER(AY17),AY14&lt;&gt;""),ROUND(AY16-AY14+AY15,1),"")</f>
        <v/>
      </c>
      <c r="AZ19" s="50" t="str">
        <f aca="false">IF(AND(ISNUMBER(AZ16),ISNUMBER(AZ17),AZ14&lt;&gt;""),ROUND(AZ16-AZ14+AZ15,1),"")</f>
        <v/>
      </c>
      <c r="BA19" s="50" t="str">
        <f aca="false">IF(AND(ISNUMBER(BA16),ISNUMBER(BA17),BA14&lt;&gt;""),ROUND(BA16-BA14+BA15,1),"")</f>
        <v/>
      </c>
      <c r="BB19" s="50" t="str">
        <f aca="false">IF(AND(ISNUMBER(BB16),ISNUMBER(BB17),BB14&lt;&gt;""),ROUND(BB16-BB14+BB15,1),"")</f>
        <v/>
      </c>
      <c r="BC19" s="50" t="str">
        <f aca="false">IF(AND(ISNUMBER(BC16),ISNUMBER(BC17),BC14&lt;&gt;""),ROUND(BC16-BC14+BC15,1),"")</f>
        <v/>
      </c>
      <c r="BD19" s="50" t="str">
        <f aca="false">IF(AND(ISNUMBER(BD16),ISNUMBER(BD17),BD14&lt;&gt;""),ROUND(BD16-BD14+BD15,1),"")</f>
        <v/>
      </c>
      <c r="BE19" s="50" t="n">
        <f aca="false">IF(AND(ISNUMBER(BE16),ISNUMBER(BE17),BE14&lt;&gt;""),ROUND(BE16-BE14+BE15,1),"")</f>
        <v>0.9</v>
      </c>
      <c r="BF19" s="50" t="str">
        <f aca="false">IF(AND(ISNUMBER(BF16),ISNUMBER(BF17),BF14&lt;&gt;""),ROUND(BF16-BF14+BF15,1),"")</f>
        <v/>
      </c>
      <c r="BG19" s="50" t="n">
        <f aca="false">IF(AND(ISNUMBER(BG16),ISNUMBER(BG17),BG14&lt;&gt;""),ROUND(BG16-BG14+BG15,1),"")</f>
        <v>1</v>
      </c>
      <c r="BH19" s="50" t="str">
        <f aca="false">IF(AND(ISNUMBER(BH16),ISNUMBER(BH17),BH14&lt;&gt;""),ROUND(BH16-BH14+BH15,1),"")</f>
        <v/>
      </c>
      <c r="BI19" s="50" t="str">
        <f aca="false">IF(AND(ISNUMBER(BI16),ISNUMBER(BI17),BI14&lt;&gt;""),ROUND(BI16-BI14+BI15,1),"")</f>
        <v/>
      </c>
      <c r="BJ19" s="50" t="str">
        <f aca="false">IF(AND(ISNUMBER(BJ16),ISNUMBER(BJ17),BJ14&lt;&gt;""),ROUND(BJ16-BJ14+BJ15,1),"")</f>
        <v/>
      </c>
      <c r="BK19" s="50" t="n">
        <f aca="false">IF(AND(ISNUMBER(BK16),ISNUMBER(BK17),BK14&lt;&gt;""),ROUND(BK16-BK14+BK15,1),"")</f>
        <v>1.5</v>
      </c>
      <c r="BL19" s="50" t="str">
        <f aca="false">IF(AND(ISNUMBER(BL16),ISNUMBER(BL17),BL14&lt;&gt;""),ROUND(BL16-BL14+BL15,1),"")</f>
        <v/>
      </c>
      <c r="BM19" s="50" t="str">
        <f aca="false">IF(AND(ISNUMBER(BM16),ISNUMBER(BM17),BM14&lt;&gt;""),ROUND(BM16-BM14+BM15,1),"")</f>
        <v/>
      </c>
      <c r="BN19" s="50" t="str">
        <f aca="false">IF(AND(ISNUMBER(BN16),ISNUMBER(BN17),BN14&lt;&gt;""),ROUND(BN16-BN14+BN15,1),"")</f>
        <v/>
      </c>
      <c r="BO19" s="50" t="str">
        <f aca="false">IF(AND(ISNUMBER(BO16),ISNUMBER(BO17),BO14&lt;&gt;""),ROUND(BO16-BO14+BO15,1),"")</f>
        <v/>
      </c>
      <c r="BP19" s="50" t="n">
        <f aca="false">IF(AND(ISNUMBER(BP16),ISNUMBER(BP17),BP14&lt;&gt;""),ROUND(BP16-BP14+BP15,1),"")</f>
        <v>1.3</v>
      </c>
      <c r="BQ19" s="50" t="str">
        <f aca="false">IF(AND(ISNUMBER(BQ16),ISNUMBER(BQ17),BQ14&lt;&gt;""),ROUND(BQ16-BQ14+BQ15,1),"")</f>
        <v/>
      </c>
      <c r="BR19" s="50" t="str">
        <f aca="false">IF(AND(ISNUMBER(BR16),ISNUMBER(BR17),BR14&lt;&gt;""),ROUND(BR16-BR14+BR15,1),"")</f>
        <v/>
      </c>
      <c r="BS19" s="50" t="str">
        <f aca="false">IF(AND(ISNUMBER(BS16),ISNUMBER(BS17),BS14&lt;&gt;""),ROUND(BS16-BS14+BS15,1),"")</f>
        <v/>
      </c>
      <c r="BT19" s="50" t="str">
        <f aca="false">IF(AND(ISNUMBER(BT16),ISNUMBER(BT17),BT14&lt;&gt;""),ROUND(BT16-BT14+BT15,1),"")</f>
        <v/>
      </c>
      <c r="BU19" s="50" t="str">
        <f aca="false">IF(AND(ISNUMBER(BU16),ISNUMBER(BU17),BU14&lt;&gt;""),ROUND(BU16-BU14+BU15,1),"")</f>
        <v/>
      </c>
      <c r="BV19" s="50" t="str">
        <f aca="false">IF(AND(ISNUMBER(BV16),ISNUMBER(BV17),BV14&lt;&gt;""),ROUND(BV16-BV14+BV15,1),"")</f>
        <v/>
      </c>
      <c r="BW19" s="50" t="n">
        <f aca="false">IF(AND(ISNUMBER(BW16),ISNUMBER(BW17),BW14&lt;&gt;""),ROUND(BW16-BW14+BW15,1),"")</f>
        <v>0.7</v>
      </c>
      <c r="BX19" s="50" t="str">
        <f aca="false">IF(AND(ISNUMBER(BX16),ISNUMBER(BX17),BX14&lt;&gt;""),ROUND(BX16-BX14+BX15,1),"")</f>
        <v/>
      </c>
      <c r="BY19" s="50" t="str">
        <f aca="false">IF(AND(ISNUMBER(BY16),ISNUMBER(BY17),BY14&lt;&gt;""),ROUND(BY16-BY14+BY15,1),"")</f>
        <v/>
      </c>
      <c r="BZ19" s="50" t="str">
        <f aca="false">IF(AND(ISNUMBER(BZ16),ISNUMBER(BZ17),BZ14&lt;&gt;""),ROUND(BZ16-BZ14+BZ15,1),"")</f>
        <v/>
      </c>
      <c r="CA19" s="50" t="str">
        <f aca="false">IF(AND(ISNUMBER(CA16),ISNUMBER(CA17),CA14&lt;&gt;""),ROUND(CA16-CA14+CA15,1),"")</f>
        <v/>
      </c>
      <c r="CB19" s="50" t="str">
        <f aca="false">IF(AND(ISNUMBER(CB16),ISNUMBER(CB17),CB14&lt;&gt;""),ROUND(CB16-CB14+CB15,1),"")</f>
        <v/>
      </c>
      <c r="CC19" s="50" t="str">
        <f aca="false">IF(AND(ISNUMBER(CC16),ISNUMBER(CC17),CC14&lt;&gt;""),ROUND(CC16-CC14+CC15,1),"")</f>
        <v/>
      </c>
      <c r="CD19" s="50" t="n">
        <f aca="false">IF(AND(ISNUMBER(CD16),ISNUMBER(CD17),CD14&lt;&gt;""),ROUND(CD16-CD14+CD15,1),"")</f>
        <v>-0.5</v>
      </c>
      <c r="CE19" s="50" t="str">
        <f aca="false">IF(AND(ISNUMBER(CE16),ISNUMBER(CE17),CE14&lt;&gt;""),ROUND(CE16-CE14+CE15,1),"")</f>
        <v/>
      </c>
      <c r="CF19" s="50" t="str">
        <f aca="false">IF(AND(ISNUMBER(CF16),ISNUMBER(CF17),CF14&lt;&gt;""),ROUND(CF16-CF14+CF15,1),"")</f>
        <v/>
      </c>
      <c r="CG19" s="50" t="str">
        <f aca="false">IF(AND(ISNUMBER(CG16),ISNUMBER(CG17),CG14&lt;&gt;""),ROUND(CG16-CG14+CG15,1),"")</f>
        <v/>
      </c>
      <c r="CH19" s="50" t="n">
        <f aca="false">IF(AND(ISNUMBER(CH16),ISNUMBER(CH17),CH14&lt;&gt;""),ROUND(CH16-CH14+CH15,1),"")</f>
        <v>0.9</v>
      </c>
      <c r="CI19" s="50" t="str">
        <f aca="false">IF(AND(ISNUMBER(CI16),ISNUMBER(CI17),CI14&lt;&gt;""),ROUND(CI16-CI14+CI15,1),"")</f>
        <v/>
      </c>
      <c r="CJ19" s="50" t="str">
        <f aca="false">IF(AND(ISNUMBER(CJ16),ISNUMBER(CJ17),CJ14&lt;&gt;""),ROUND(CJ16-CJ14+CJ15,1),"")</f>
        <v/>
      </c>
      <c r="CK19" s="50" t="str">
        <f aca="false">IF(AND(ISNUMBER(CK16),ISNUMBER(CK17),CK14&lt;&gt;""),ROUND(CK16-CK14+CK15,1),"")</f>
        <v/>
      </c>
      <c r="CL19" s="50" t="str">
        <f aca="false">IF(AND(ISNUMBER(CL16),ISNUMBER(CL17),CL14&lt;&gt;""),ROUND(CL16-CL14+CL15,1),"")</f>
        <v/>
      </c>
      <c r="CM19" s="50" t="str">
        <f aca="false">IF(AND(ISNUMBER(CM16),ISNUMBER(CM17),CM14&lt;&gt;""),ROUND(CM16-CM14+CM15,1),"")</f>
        <v/>
      </c>
      <c r="CN19" s="50" t="str">
        <f aca="false">IF(AND(ISNUMBER(CN16),ISNUMBER(CN17),CN14&lt;&gt;""),ROUND(CN16-CN14+CN15,1),"")</f>
        <v/>
      </c>
      <c r="CO19" s="50" t="str">
        <f aca="false">IF(AND(ISNUMBER(CO16),ISNUMBER(CO17),CO14&lt;&gt;""),ROUND(CO16-CO14+CO15,1),"")</f>
        <v/>
      </c>
      <c r="CP19" s="50" t="str">
        <f aca="false">IF(AND(ISNUMBER(CP16),ISNUMBER(CP17),CP14&lt;&gt;""),ROUND(CP16-CP14+CP15,1),"")</f>
        <v/>
      </c>
      <c r="CQ19" s="50" t="str">
        <f aca="false">IF(AND(ISNUMBER(CQ16),ISNUMBER(CQ17),CQ14&lt;&gt;""),ROUND(CQ16-CQ14+CQ15,1),"")</f>
        <v/>
      </c>
      <c r="CR19" s="50" t="str">
        <f aca="false">IF(AND(ISNUMBER(CR16),ISNUMBER(CR17),CR14&lt;&gt;""),ROUND(CR16-CR14+CR15,1),"")</f>
        <v/>
      </c>
      <c r="CS19" s="50" t="str">
        <f aca="false">IF(AND(ISNUMBER(CS16),ISNUMBER(CS17),CS14&lt;&gt;""),ROUND(CS16-CS14+CS15,1),"")</f>
        <v/>
      </c>
      <c r="CT19" s="50" t="str">
        <f aca="false">IF(AND(ISNUMBER(CT16),ISNUMBER(CT17),CT14&lt;&gt;""),ROUND(CT16-CT14+CT15,1),"")</f>
        <v/>
      </c>
      <c r="CU19" s="50" t="str">
        <f aca="false">IF(AND(ISNUMBER(CU16),ISNUMBER(CU17),CU14&lt;&gt;""),ROUND(CU16-CU14+CU15,1),"")</f>
        <v/>
      </c>
      <c r="CV19" s="50" t="str">
        <f aca="false">IF(AND(ISNUMBER(CV16),ISNUMBER(CV17),CV14&lt;&gt;""),ROUND(CV16-CV14+CV15,1),"")</f>
        <v/>
      </c>
      <c r="CW19" s="50" t="n">
        <f aca="false">IF(AND(ISNUMBER(CW16),ISNUMBER(CW17),CW14&lt;&gt;""),ROUND(CW16-CW14+CW15,1),"")</f>
        <v>-15</v>
      </c>
      <c r="CX19" s="50" t="str">
        <f aca="false">IF(AND(ISNUMBER(CX16),ISNUMBER(CX17),CX14&lt;&gt;""),ROUND(CX16-CX14+CX15,1),"")</f>
        <v/>
      </c>
      <c r="CY19" s="50" t="str">
        <f aca="false">IF(AND(ISNUMBER(CY16),ISNUMBER(CY17),CY14&lt;&gt;""),ROUND(CY16-CY14+CY15,1),"")</f>
        <v/>
      </c>
      <c r="CZ19" s="50" t="n">
        <f aca="false">IF(AND(ISNUMBER(CZ16),ISNUMBER(CZ17),CZ14&lt;&gt;""),ROUND(CZ16-CZ14+CZ15,1),"")</f>
        <v>0.2</v>
      </c>
      <c r="DA19" s="50" t="str">
        <f aca="false">IF(AND(ISNUMBER(DA16),ISNUMBER(DA17),DA14&lt;&gt;""),ROUND(DA16-DA14+DA15,1),"")</f>
        <v/>
      </c>
      <c r="DB19" s="50" t="str">
        <f aca="false">IF(AND(ISNUMBER(DB16),ISNUMBER(DB17),DB14&lt;&gt;""),ROUND(DB16-DB14+DB15,1),"")</f>
        <v/>
      </c>
      <c r="DC19" s="50" t="n">
        <f aca="false">IF(AND(ISNUMBER(DC16),ISNUMBER(DC17),DC14&lt;&gt;""),ROUND(DC16-DC14+DC15,1),"")</f>
        <v>0.5</v>
      </c>
      <c r="DD19" s="50" t="str">
        <f aca="false">IF(AND(ISNUMBER(DD16),ISNUMBER(DD17),DD14&lt;&gt;""),ROUND(DD16-DD14+DD15,1),"")</f>
        <v/>
      </c>
      <c r="DE19" s="50" t="str">
        <f aca="false">IF(AND(ISNUMBER(DE16),ISNUMBER(DE17),DE14&lt;&gt;""),ROUND(DE16-DE14+DE15,1),"")</f>
        <v/>
      </c>
      <c r="DF19" s="50" t="str">
        <f aca="false">IF(AND(ISNUMBER(DF16),ISNUMBER(DF17),DF14&lt;&gt;""),ROUND(DF16-DF14+DF15,1),"")</f>
        <v/>
      </c>
      <c r="DG19" s="50" t="str">
        <f aca="false">IF(AND(ISNUMBER(DG16),ISNUMBER(DG17),DG14&lt;&gt;""),ROUND(DG16-DG14+DG15,1),"")</f>
        <v/>
      </c>
      <c r="DH19" s="50" t="str">
        <f aca="false">IF(AND(ISNUMBER(DH16),ISNUMBER(DH17),DH14&lt;&gt;""),ROUND(DH16-DH14+DH15,1),"")</f>
        <v/>
      </c>
      <c r="DI19" s="50" t="n">
        <f aca="false">IF(AND(ISNUMBER(DI16),ISNUMBER(DI17),DI14&lt;&gt;""),ROUND(DI16-DI14+DI15,1),"")</f>
        <v>0.1</v>
      </c>
      <c r="DJ19" s="50" t="n">
        <f aca="false">IF(AND(ISNUMBER(DJ16),ISNUMBER(DJ17),DJ14&lt;&gt;""),ROUND(DJ16-DJ14+DJ15,1),"")</f>
        <v>0</v>
      </c>
      <c r="DK19" s="50" t="str">
        <f aca="false">IF(AND(ISNUMBER(DK16),ISNUMBER(DK17),DK14&lt;&gt;""),ROUND(DK16-DK14+DK15,1),"")</f>
        <v/>
      </c>
      <c r="DL19" s="50" t="str">
        <f aca="false">IF(AND(ISNUMBER(DL16),ISNUMBER(DL17),DL14&lt;&gt;""),ROUND(DL16-DL14+DL15,1),"")</f>
        <v/>
      </c>
      <c r="DM19" s="50" t="n">
        <f aca="false">IF(AND(ISNUMBER(DM16),ISNUMBER(DM17),DM14&lt;&gt;""),ROUND(DM16-DM14+DM15,1),"")</f>
        <v>0.2</v>
      </c>
      <c r="DN19" s="50" t="str">
        <f aca="false">IF(AND(ISNUMBER(DN16),ISNUMBER(DN17),DN14&lt;&gt;""),ROUND(DN16-DN14+DN15,1),"")</f>
        <v/>
      </c>
      <c r="DO19" s="50" t="n">
        <f aca="false">IF(AND(ISNUMBER(DO16),ISNUMBER(DO17),DO14&lt;&gt;""),ROUND(DO16-DO14+DO15,1),"")</f>
        <v>0</v>
      </c>
      <c r="DP19" s="50" t="str">
        <f aca="false">IF(AND(ISNUMBER(DP16),ISNUMBER(DP17),DP14&lt;&gt;""),ROUND(DP16-DP14+DP15,1),"")</f>
        <v/>
      </c>
      <c r="DQ19" s="50" t="str">
        <f aca="false">IF(AND(ISNUMBER(DQ16),ISNUMBER(DQ17),DQ14&lt;&gt;""),ROUND(DQ16-DQ14+DQ15,1),"")</f>
        <v/>
      </c>
      <c r="DR19" s="50" t="n">
        <f aca="false">IF(AND(ISNUMBER(DR16),ISNUMBER(DR17),DR14&lt;&gt;""),ROUND(DR16-DR14+DR15,1),"")</f>
        <v>0.3</v>
      </c>
      <c r="DS19" s="50" t="str">
        <f aca="false">IF(AND(ISNUMBER(DS16),ISNUMBER(DS17),DS14&lt;&gt;""),ROUND(DS16-DS14+DS15,1),"")</f>
        <v/>
      </c>
      <c r="DT19" s="50" t="n">
        <f aca="false">IF(AND(ISNUMBER(DT16),ISNUMBER(DT17),DT14&lt;&gt;""),ROUND(DT16-DT14+DT15,1),"")</f>
        <v>0</v>
      </c>
      <c r="DU19" s="50" t="str">
        <f aca="false">IF(AND(ISNUMBER(DU16),ISNUMBER(DU17),DU14&lt;&gt;""),ROUND(DU16-DU14+DU15,1),"")</f>
        <v/>
      </c>
      <c r="DV19" s="50" t="str">
        <f aca="false">IF(AND(ISNUMBER(DV16),ISNUMBER(DV17),DV14&lt;&gt;""),ROUND(DV16-DV14+DV15,1),"")</f>
        <v/>
      </c>
      <c r="DW19" s="50" t="n">
        <f aca="false">IF(AND(ISNUMBER(DW16),ISNUMBER(DW17),DW14&lt;&gt;""),ROUND(DW16-DW14+DW15,1),"")</f>
        <v>0.5</v>
      </c>
      <c r="DX19" s="50" t="str">
        <f aca="false">IF(AND(ISNUMBER(DX16),ISNUMBER(DX17),DX14&lt;&gt;""),ROUND(DX16-DX14+DX15,1),"")</f>
        <v/>
      </c>
      <c r="DY19" s="50" t="str">
        <f aca="false">IF(AND(ISNUMBER(DY16),ISNUMBER(DY17),DY14&lt;&gt;""),ROUND(DY16-DY14+DY15,1),"")</f>
        <v/>
      </c>
      <c r="DZ19" s="50" t="str">
        <f aca="false">IF(AND(ISNUMBER(DZ16),ISNUMBER(DZ17),DZ14&lt;&gt;""),ROUND(DZ16-DZ14+DZ15,1),"")</f>
        <v/>
      </c>
      <c r="EA19" s="50" t="n">
        <f aca="false">IF(AND(ISNUMBER(EA16),ISNUMBER(EA17),EA14&lt;&gt;""),ROUND(EA16-EA14+EA15,1),"")</f>
        <v>0.1</v>
      </c>
      <c r="EB19" s="50" t="str">
        <f aca="false">IF(AND(ISNUMBER(EB16),ISNUMBER(EB17),EB14&lt;&gt;""),ROUND(EB16-EB14+EB15,1),"")</f>
        <v/>
      </c>
      <c r="EC19" s="50" t="str">
        <f aca="false">IF(AND(ISNUMBER(EC16),ISNUMBER(EC17),EC14&lt;&gt;""),ROUND(EC16-EC14+EC15,1),"")</f>
        <v/>
      </c>
      <c r="ED19" s="50" t="str">
        <f aca="false">IF(AND(ISNUMBER(ED16),ISNUMBER(ED17),ED14&lt;&gt;""),ROUND(ED16-ED14+ED15,1),"")</f>
        <v/>
      </c>
      <c r="EE19" s="50" t="str">
        <f aca="false">IF(AND(ISNUMBER(EE16),ISNUMBER(EE17),EE14&lt;&gt;""),ROUND(EE16-EE14+EE15,1),"")</f>
        <v/>
      </c>
      <c r="EF19" s="50" t="str">
        <f aca="false">IF(AND(ISNUMBER(EF16),ISNUMBER(EF17),EF14&lt;&gt;""),ROUND(EF16-EF14+EF15,1),"")</f>
        <v/>
      </c>
      <c r="EG19" s="50" t="str">
        <f aca="false">IF(AND(ISNUMBER(EG16),ISNUMBER(EG17),EG14&lt;&gt;""),ROUND(EG16-EG14+EG15,1),"")</f>
        <v/>
      </c>
      <c r="EH19" s="50" t="n">
        <f aca="false">IF(AND(ISNUMBER(EH16),ISNUMBER(EH17),EH14&lt;&gt;""),ROUND(EH16-EH14+EH15,1),"")</f>
        <v>0.6</v>
      </c>
      <c r="EI19" s="50" t="str">
        <f aca="false">IF(AND(ISNUMBER(EI16),ISNUMBER(EI17),EI14&lt;&gt;""),ROUND(EI16-EI14+EI15,1),"")</f>
        <v/>
      </c>
      <c r="EJ19" s="50" t="n">
        <f aca="false">IF(AND(ISNUMBER(EJ16),ISNUMBER(EJ17),EJ14&lt;&gt;""),ROUND(EJ16-EJ14+EJ15,1),"")</f>
        <v>1</v>
      </c>
      <c r="EK19" s="50" t="str">
        <f aca="false">IF(AND(ISNUMBER(EK16),ISNUMBER(EK17),EK14&lt;&gt;""),ROUND(EK16-EK14+EK15,1),"")</f>
        <v/>
      </c>
      <c r="EL19" s="50" t="str">
        <f aca="false">IF(AND(ISNUMBER(EL16),ISNUMBER(EL17),EL14&lt;&gt;""),ROUND(EL16-EL14+EL15,1),"")</f>
        <v/>
      </c>
      <c r="EM19" s="50" t="str">
        <f aca="false">IF(AND(ISNUMBER(EM16),ISNUMBER(EM17),EM14&lt;&gt;""),ROUND(EM16-EM14+EM15,1),"")</f>
        <v/>
      </c>
      <c r="EN19" s="50" t="str">
        <f aca="false">IF(AND(ISNUMBER(EN16),ISNUMBER(EN17),EN14&lt;&gt;""),ROUND(EN16-EN14+EN15,1),"")</f>
        <v/>
      </c>
      <c r="EO19" s="50" t="str">
        <f aca="false">IF(AND(ISNUMBER(EO16),ISNUMBER(EO17),EO14&lt;&gt;""),ROUND(EO16-EO14+EO15,1),"")</f>
        <v/>
      </c>
      <c r="EP19" s="50" t="n">
        <f aca="false">IF(AND(ISNUMBER(EP16),ISNUMBER(EP17),EP14&lt;&gt;""),ROUND(EP16-EP14+EP15,1),"")</f>
        <v>0.5</v>
      </c>
      <c r="EQ19" s="50" t="str">
        <f aca="false">IF(AND(ISNUMBER(EQ16),ISNUMBER(EQ17),EQ14&lt;&gt;""),ROUND(EQ16-EQ14+EQ15,1),"")</f>
        <v/>
      </c>
      <c r="ER19" s="50" t="str">
        <f aca="false">IF(AND(ISNUMBER(ER16),ISNUMBER(ER17),ER14&lt;&gt;""),ROUND(ER16-ER14+ER15,1),"")</f>
        <v/>
      </c>
      <c r="ES19" s="50" t="str">
        <f aca="false">IF(AND(ISNUMBER(ES16),ISNUMBER(ES17),ES14&lt;&gt;""),ROUND(ES16-ES14+ES15,1),"")</f>
        <v/>
      </c>
      <c r="ET19" s="50" t="str">
        <f aca="false">IF(AND(ISNUMBER(ET16),ISNUMBER(ET17),ET14&lt;&gt;""),ROUND(ET16-ET14+ET15,1),"")</f>
        <v/>
      </c>
      <c r="EU19" s="50" t="str">
        <f aca="false">IF(AND(ISNUMBER(EU16),ISNUMBER(EU17),EU14&lt;&gt;""),ROUND(EU16-EU14+EU15,1),"")</f>
        <v/>
      </c>
      <c r="EV19" s="50" t="str">
        <f aca="false">IF(AND(ISNUMBER(EV16),ISNUMBER(EV17),EV14&lt;&gt;""),ROUND(EV16-EV14+EV15,1),"")</f>
        <v/>
      </c>
      <c r="EW19" s="50" t="str">
        <f aca="false">IF(AND(ISNUMBER(EW16),ISNUMBER(EW17),EW14&lt;&gt;""),ROUND(EW16-EW14+EW15,1),"")</f>
        <v/>
      </c>
      <c r="EX19" s="50" t="str">
        <f aca="false">IF(AND(ISNUMBER(EX16),ISNUMBER(EX17),EX14&lt;&gt;""),ROUND(EX16-EX14+EX15,1),"")</f>
        <v/>
      </c>
      <c r="EY19" s="50" t="str">
        <f aca="false">IF(AND(ISNUMBER(EY16),ISNUMBER(EY17),EY14&lt;&gt;""),ROUND(EY16-EY14+EY15,1),"")</f>
        <v/>
      </c>
      <c r="EZ19" s="50" t="str">
        <f aca="false">IF(AND(ISNUMBER(EZ16),ISNUMBER(EZ17),EZ14&lt;&gt;""),ROUND(EZ16-EZ14+EZ15,1),"")</f>
        <v/>
      </c>
      <c r="FA19" s="50" t="str">
        <f aca="false">IF(AND(ISNUMBER(FA16),ISNUMBER(FA17),FA14&lt;&gt;""),ROUND(FA16-FA14+FA15,1),"")</f>
        <v/>
      </c>
      <c r="FB19" s="50" t="str">
        <f aca="false">IF(AND(ISNUMBER(FB16),ISNUMBER(FB17),FB14&lt;&gt;""),ROUND(FB16-FB14+FB15,1),"")</f>
        <v/>
      </c>
      <c r="FC19" s="50" t="str">
        <f aca="false">IF(AND(ISNUMBER(FC16),ISNUMBER(FC17),FC14&lt;&gt;""),ROUND(FC16-FC14+FC15,1),"")</f>
        <v/>
      </c>
      <c r="FD19" s="50" t="str">
        <f aca="false">IF(AND(ISNUMBER(FD16),ISNUMBER(FD17),FD14&lt;&gt;""),ROUND(FD16-FD14+FD15,1),"")</f>
        <v/>
      </c>
      <c r="FE19" s="50" t="str">
        <f aca="false">IF(AND(ISNUMBER(FE16),ISNUMBER(FE17),FE14&lt;&gt;""),ROUND(FE16-FE14+FE15,1),"")</f>
        <v/>
      </c>
      <c r="FF19" s="50" t="str">
        <f aca="false">IF(AND(ISNUMBER(FF16),ISNUMBER(FF17),FF14&lt;&gt;""),ROUND(FF16-FF14+FF15,1),"")</f>
        <v/>
      </c>
      <c r="FG19" s="50" t="str">
        <f aca="false">IF(AND(ISNUMBER(FG16),ISNUMBER(FG17),FG14&lt;&gt;""),ROUND(FG16-FG14+FG15,1),"")</f>
        <v/>
      </c>
      <c r="FH19" s="50" t="str">
        <f aca="false">IF(AND(ISNUMBER(FH16),ISNUMBER(FH17),FH14&lt;&gt;""),ROUND(FH16-FH14+FH15,1),"")</f>
        <v/>
      </c>
      <c r="FI19" s="50" t="str">
        <f aca="false">IF(AND(ISNUMBER(FI16),ISNUMBER(FI17),FI14&lt;&gt;""),ROUND(FI16-FI14+FI15,1),"")</f>
        <v/>
      </c>
      <c r="FJ19" s="50" t="str">
        <f aca="false">IF(AND(ISNUMBER(FJ16),ISNUMBER(FJ17),FJ14&lt;&gt;""),ROUND(FJ16-FJ14+FJ15,1),"")</f>
        <v/>
      </c>
      <c r="FK19" s="50" t="str">
        <f aca="false">IF(AND(ISNUMBER(FK16),ISNUMBER(FK17),FK14&lt;&gt;""),ROUND(FK16-FK14+FK15,1),"")</f>
        <v/>
      </c>
      <c r="FL19" s="50" t="str">
        <f aca="false">IF(AND(ISNUMBER(FL16),ISNUMBER(FL17),FL14&lt;&gt;""),ROUND(FL16-FL14+FL15,1),"")</f>
        <v/>
      </c>
      <c r="FM19" s="50" t="str">
        <f aca="false">IF(AND(ISNUMBER(FM16),ISNUMBER(FM17),FM14&lt;&gt;""),ROUND(FM16-FM14+FM15,1),"")</f>
        <v/>
      </c>
      <c r="FN19" s="50" t="str">
        <f aca="false">IF(AND(ISNUMBER(FN16),ISNUMBER(FN17),FN14&lt;&gt;""),ROUND(FN16-FN14+FN15,1),"")</f>
        <v/>
      </c>
      <c r="FO19" s="50" t="str">
        <f aca="false">IF(AND(ISNUMBER(FO16),ISNUMBER(FO17),FO14&lt;&gt;""),ROUND(FO16-FO14+FO15,1),"")</f>
        <v/>
      </c>
      <c r="FP19" s="50" t="str">
        <f aca="false">IF(AND(ISNUMBER(FP16),ISNUMBER(FP17),FP14&lt;&gt;""),ROUND(FP16-FP14+FP15,1),"")</f>
        <v/>
      </c>
      <c r="FQ19" s="50" t="str">
        <f aca="false">IF(AND(ISNUMBER(FQ16),ISNUMBER(FQ17),FQ14&lt;&gt;""),ROUND(FQ16-FQ14+FQ15,1),"")</f>
        <v/>
      </c>
    </row>
    <row r="20" customFormat="false" ht="15" hidden="false" customHeight="false" outlineLevel="0" collapsed="false">
      <c r="A20" s="31" t="s">
        <v>328</v>
      </c>
      <c r="B20" s="17" t="s">
        <v>419</v>
      </c>
      <c r="D20" s="50" t="str">
        <f aca="false">IF(AND(ISNUMBER(D16),ISNUMBER(D17),D14&lt;&gt;""),ROUND(D17-D14+D15,1),"")</f>
        <v/>
      </c>
      <c r="E20" s="50" t="str">
        <f aca="false">IF(AND(ISNUMBER(E16),ISNUMBER(E17),E14&lt;&gt;""),ROUND(E17-E14+E15,1),"")</f>
        <v/>
      </c>
      <c r="F20" s="50" t="str">
        <f aca="false">IF(AND(ISNUMBER(F16),ISNUMBER(F17),F14&lt;&gt;""),ROUND(F17-F14+F15,1),"")</f>
        <v/>
      </c>
      <c r="G20" s="50" t="str">
        <f aca="false">IF(AND(ISNUMBER(G16),ISNUMBER(G17),G14&lt;&gt;""),ROUND(G17-G14+G15,1),"")</f>
        <v/>
      </c>
      <c r="H20" s="50" t="str">
        <f aca="false">IF(AND(ISNUMBER(H16),ISNUMBER(H17),H14&lt;&gt;""),ROUND(H17-H14+H15,1),"")</f>
        <v/>
      </c>
      <c r="I20" s="50" t="str">
        <f aca="false">IF(AND(ISNUMBER(I16),ISNUMBER(I17),I14&lt;&gt;""),ROUND(I17-I14+I15,1),"")</f>
        <v/>
      </c>
      <c r="J20" s="50" t="str">
        <f aca="false">IF(AND(ISNUMBER(J16),ISNUMBER(J17),J14&lt;&gt;""),ROUND(J17-J14+J15,1),"")</f>
        <v/>
      </c>
      <c r="K20" s="50" t="str">
        <f aca="false">IF(AND(ISNUMBER(K16),ISNUMBER(K17),K14&lt;&gt;""),ROUND(K17-K14+K15,1),"")</f>
        <v/>
      </c>
      <c r="L20" s="50" t="str">
        <f aca="false">IF(AND(ISNUMBER(L16),ISNUMBER(L17),L14&lt;&gt;""),ROUND(L17-L14+L15,1),"")</f>
        <v/>
      </c>
      <c r="M20" s="50" t="str">
        <f aca="false">IF(AND(ISNUMBER(M16),ISNUMBER(M17),M14&lt;&gt;""),ROUND(M17-M14+M15,1),"")</f>
        <v/>
      </c>
      <c r="N20" s="50" t="str">
        <f aca="false">IF(AND(ISNUMBER(N16),ISNUMBER(N17),N14&lt;&gt;""),ROUND(N17-N14+N15,1),"")</f>
        <v/>
      </c>
      <c r="O20" s="50" t="str">
        <f aca="false">IF(AND(ISNUMBER(O16),ISNUMBER(O17),O14&lt;&gt;""),ROUND(O17-O14+O15,1),"")</f>
        <v/>
      </c>
      <c r="P20" s="50" t="str">
        <f aca="false">IF(AND(ISNUMBER(P16),ISNUMBER(P17),P14&lt;&gt;""),ROUND(P17-P14+P15,1),"")</f>
        <v/>
      </c>
      <c r="Q20" s="50" t="str">
        <f aca="false">IF(AND(ISNUMBER(Q16),ISNUMBER(Q17),Q14&lt;&gt;""),ROUND(Q17-Q14+Q15,1),"")</f>
        <v/>
      </c>
      <c r="R20" s="50" t="str">
        <f aca="false">IF(AND(ISNUMBER(R16),ISNUMBER(R17),R14&lt;&gt;""),ROUND(R17-R14+R15,1),"")</f>
        <v/>
      </c>
      <c r="S20" s="50" t="str">
        <f aca="false">IF(AND(ISNUMBER(S16),ISNUMBER(S17),S14&lt;&gt;""),ROUND(S17-S14+S15,1),"")</f>
        <v/>
      </c>
      <c r="T20" s="50" t="str">
        <f aca="false">IF(AND(ISNUMBER(T16),ISNUMBER(T17),T14&lt;&gt;""),ROUND(T17-T14+T15,1),"")</f>
        <v/>
      </c>
      <c r="U20" s="50" t="str">
        <f aca="false">IF(AND(ISNUMBER(U16),ISNUMBER(U17),U14&lt;&gt;""),ROUND(U17-U14+U15,1),"")</f>
        <v/>
      </c>
      <c r="V20" s="50" t="str">
        <f aca="false">IF(AND(ISNUMBER(V16),ISNUMBER(V17),V14&lt;&gt;""),ROUND(V17-V14+V15,1),"")</f>
        <v/>
      </c>
      <c r="W20" s="50" t="str">
        <f aca="false">IF(AND(ISNUMBER(W16),ISNUMBER(W17),W14&lt;&gt;""),ROUND(W17-W14+W15,1),"")</f>
        <v/>
      </c>
      <c r="X20" s="50" t="str">
        <f aca="false">IF(AND(ISNUMBER(X16),ISNUMBER(X17),X14&lt;&gt;""),ROUND(X17-X14+X15,1),"")</f>
        <v/>
      </c>
      <c r="Y20" s="50" t="str">
        <f aca="false">IF(AND(ISNUMBER(Y16),ISNUMBER(Y17),Y14&lt;&gt;""),ROUND(Y17-Y14+Y15,1),"")</f>
        <v/>
      </c>
      <c r="Z20" s="50" t="str">
        <f aca="false">IF(AND(ISNUMBER(Z16),ISNUMBER(Z17),Z14&lt;&gt;""),ROUND(Z17-Z14+Z15,1),"")</f>
        <v/>
      </c>
      <c r="AA20" s="50" t="str">
        <f aca="false">IF(AND(ISNUMBER(AA16),ISNUMBER(AA17),AA14&lt;&gt;""),ROUND(AA17-AA14+AA15,1),"")</f>
        <v/>
      </c>
      <c r="AB20" s="50" t="str">
        <f aca="false">IF(AND(ISNUMBER(AB16),ISNUMBER(AB17),AB14&lt;&gt;""),ROUND(AB17-AB14+AB15,1),"")</f>
        <v/>
      </c>
      <c r="AC20" s="50" t="str">
        <f aca="false">IF(AND(ISNUMBER(AC16),ISNUMBER(AC17),AC14&lt;&gt;""),ROUND(AC17-AC14+AC15,1),"")</f>
        <v/>
      </c>
      <c r="AD20" s="50" t="str">
        <f aca="false">IF(AND(ISNUMBER(AD16),ISNUMBER(AD17),AD14&lt;&gt;""),ROUND(AD17-AD14+AD15,1),"")</f>
        <v/>
      </c>
      <c r="AE20" s="50" t="str">
        <f aca="false">IF(AND(ISNUMBER(AE16),ISNUMBER(AE17),AE14&lt;&gt;""),ROUND(AE17-AE14+AE15,1),"")</f>
        <v/>
      </c>
      <c r="AF20" s="50" t="str">
        <f aca="false">IF(AND(ISNUMBER(AF16),ISNUMBER(AF17),AF14&lt;&gt;""),ROUND(AF17-AF14+AF15,1),"")</f>
        <v/>
      </c>
      <c r="AG20" s="50" t="str">
        <f aca="false">IF(AND(ISNUMBER(AG16),ISNUMBER(AG17),AG14&lt;&gt;""),ROUND(AG17-AG14+AG15,1),"")</f>
        <v/>
      </c>
      <c r="AH20" s="50" t="str">
        <f aca="false">IF(AND(ISNUMBER(AH16),ISNUMBER(AH17),AH14&lt;&gt;""),ROUND(AH17-AH14+AH15,1),"")</f>
        <v/>
      </c>
      <c r="AI20" s="50" t="str">
        <f aca="false">IF(AND(ISNUMBER(AI16),ISNUMBER(AI17),AI14&lt;&gt;""),ROUND(AI17-AI14+AI15,1),"")</f>
        <v/>
      </c>
      <c r="AJ20" s="50" t="str">
        <f aca="false">IF(AND(ISNUMBER(AJ16),ISNUMBER(AJ17),AJ14&lt;&gt;""),ROUND(AJ17-AJ14+AJ15,1),"")</f>
        <v/>
      </c>
      <c r="AK20" s="50" t="str">
        <f aca="false">IF(AND(ISNUMBER(AK16),ISNUMBER(AK17),AK14&lt;&gt;""),ROUND(AK17-AK14+AK15,1),"")</f>
        <v/>
      </c>
      <c r="AL20" s="50" t="str">
        <f aca="false">IF(AND(ISNUMBER(AL16),ISNUMBER(AL17),AL14&lt;&gt;""),ROUND(AL17-AL14+AL15,1),"")</f>
        <v/>
      </c>
      <c r="AM20" s="50" t="str">
        <f aca="false">IF(AND(ISNUMBER(AM16),ISNUMBER(AM17),AM14&lt;&gt;""),ROUND(AM17-AM14+AM15,1),"")</f>
        <v/>
      </c>
      <c r="AN20" s="50" t="str">
        <f aca="false">IF(AND(ISNUMBER(AN16),ISNUMBER(AN17),AN14&lt;&gt;""),ROUND(AN17-AN14+AN15,1),"")</f>
        <v/>
      </c>
      <c r="AO20" s="50" t="str">
        <f aca="false">IF(AND(ISNUMBER(AO16),ISNUMBER(AO17),AO14&lt;&gt;""),ROUND(AO17-AO14+AO15,1),"")</f>
        <v/>
      </c>
      <c r="AP20" s="50" t="str">
        <f aca="false">IF(AND(ISNUMBER(AP16),ISNUMBER(AP17),AP14&lt;&gt;""),ROUND(AP17-AP14+AP15,1),"")</f>
        <v/>
      </c>
      <c r="AQ20" s="50" t="str">
        <f aca="false">IF(AND(ISNUMBER(AQ16),ISNUMBER(AQ17),AQ14&lt;&gt;""),ROUND(AQ17-AQ14+AQ15,1),"")</f>
        <v/>
      </c>
      <c r="AR20" s="50" t="str">
        <f aca="false">IF(AND(ISNUMBER(AR16),ISNUMBER(AR17),AR14&lt;&gt;""),ROUND(AR17-AR14+AR15,1),"")</f>
        <v/>
      </c>
      <c r="AS20" s="50" t="str">
        <f aca="false">IF(AND(ISNUMBER(AS16),ISNUMBER(AS17),AS14&lt;&gt;""),ROUND(AS17-AS14+AS15,1),"")</f>
        <v/>
      </c>
      <c r="AT20" s="50" t="str">
        <f aca="false">IF(AND(ISNUMBER(AT16),ISNUMBER(AT17),AT14&lt;&gt;""),ROUND(AT17-AT14+AT15,1),"")</f>
        <v/>
      </c>
      <c r="AU20" s="50" t="str">
        <f aca="false">IF(AND(ISNUMBER(AU16),ISNUMBER(AU17),AU14&lt;&gt;""),ROUND(AU17-AU14+AU15,1),"")</f>
        <v/>
      </c>
      <c r="AV20" s="50" t="str">
        <f aca="false">IF(AND(ISNUMBER(AV16),ISNUMBER(AV17),AV14&lt;&gt;""),ROUND(AV17-AV14+AV15,1),"")</f>
        <v/>
      </c>
      <c r="AW20" s="50" t="str">
        <f aca="false">IF(AND(ISNUMBER(AW16),ISNUMBER(AW17),AW14&lt;&gt;""),ROUND(AW17-AW14+AW15,1),"")</f>
        <v/>
      </c>
      <c r="AX20" s="50" t="str">
        <f aca="false">IF(AND(ISNUMBER(AX16),ISNUMBER(AX17),AX14&lt;&gt;""),ROUND(AX17-AX14+AX15,1),"")</f>
        <v/>
      </c>
      <c r="AY20" s="50" t="str">
        <f aca="false">IF(AND(ISNUMBER(AY16),ISNUMBER(AY17),AY14&lt;&gt;""),ROUND(AY17-AY14+AY15,1),"")</f>
        <v/>
      </c>
      <c r="AZ20" s="50" t="str">
        <f aca="false">IF(AND(ISNUMBER(AZ16),ISNUMBER(AZ17),AZ14&lt;&gt;""),ROUND(AZ17-AZ14+AZ15,1),"")</f>
        <v/>
      </c>
      <c r="BA20" s="50" t="str">
        <f aca="false">IF(AND(ISNUMBER(BA16),ISNUMBER(BA17),BA14&lt;&gt;""),ROUND(BA17-BA14+BA15,1),"")</f>
        <v/>
      </c>
      <c r="BB20" s="50" t="str">
        <f aca="false">IF(AND(ISNUMBER(BB16),ISNUMBER(BB17),BB14&lt;&gt;""),ROUND(BB17-BB14+BB15,1),"")</f>
        <v/>
      </c>
      <c r="BC20" s="50" t="str">
        <f aca="false">IF(AND(ISNUMBER(BC16),ISNUMBER(BC17),BC14&lt;&gt;""),ROUND(BC17-BC14+BC15,1),"")</f>
        <v/>
      </c>
      <c r="BD20" s="50" t="str">
        <f aca="false">IF(AND(ISNUMBER(BD16),ISNUMBER(BD17),BD14&lt;&gt;""),ROUND(BD17-BD14+BD15,1),"")</f>
        <v/>
      </c>
      <c r="BE20" s="50" t="n">
        <f aca="false">IF(AND(ISNUMBER(BE16),ISNUMBER(BE17),BE14&lt;&gt;""),ROUND(BE17-BE14+BE15,1),"")</f>
        <v>1.6</v>
      </c>
      <c r="BF20" s="50" t="str">
        <f aca="false">IF(AND(ISNUMBER(BF16),ISNUMBER(BF17),BF14&lt;&gt;""),ROUND(BF17-BF14+BF15,1),"")</f>
        <v/>
      </c>
      <c r="BG20" s="50" t="n">
        <f aca="false">IF(AND(ISNUMBER(BG16),ISNUMBER(BG17),BG14&lt;&gt;""),ROUND(BG17-BG14+BG15,1),"")</f>
        <v>3.4</v>
      </c>
      <c r="BH20" s="50" t="str">
        <f aca="false">IF(AND(ISNUMBER(BH16),ISNUMBER(BH17),BH14&lt;&gt;""),ROUND(BH17-BH14+BH15,1),"")</f>
        <v/>
      </c>
      <c r="BI20" s="50" t="str">
        <f aca="false">IF(AND(ISNUMBER(BI16),ISNUMBER(BI17),BI14&lt;&gt;""),ROUND(BI17-BI14+BI15,1),"")</f>
        <v/>
      </c>
      <c r="BJ20" s="50" t="str">
        <f aca="false">IF(AND(ISNUMBER(BJ16),ISNUMBER(BJ17),BJ14&lt;&gt;""),ROUND(BJ17-BJ14+BJ15,1),"")</f>
        <v/>
      </c>
      <c r="BK20" s="50" t="n">
        <f aca="false">IF(AND(ISNUMBER(BK16),ISNUMBER(BK17),BK14&lt;&gt;""),ROUND(BK17-BK14+BK15,1),"")</f>
        <v>3.3</v>
      </c>
      <c r="BL20" s="50" t="str">
        <f aca="false">IF(AND(ISNUMBER(BL16),ISNUMBER(BL17),BL14&lt;&gt;""),ROUND(BL17-BL14+BL15,1),"")</f>
        <v/>
      </c>
      <c r="BM20" s="50" t="str">
        <f aca="false">IF(AND(ISNUMBER(BM16),ISNUMBER(BM17),BM14&lt;&gt;""),ROUND(BM17-BM14+BM15,1),"")</f>
        <v/>
      </c>
      <c r="BN20" s="50" t="str">
        <f aca="false">IF(AND(ISNUMBER(BN16),ISNUMBER(BN17),BN14&lt;&gt;""),ROUND(BN17-BN14+BN15,1),"")</f>
        <v/>
      </c>
      <c r="BO20" s="50" t="str">
        <f aca="false">IF(AND(ISNUMBER(BO16),ISNUMBER(BO17),BO14&lt;&gt;""),ROUND(BO17-BO14+BO15,1),"")</f>
        <v/>
      </c>
      <c r="BP20" s="50" t="n">
        <f aca="false">IF(AND(ISNUMBER(BP16),ISNUMBER(BP17),BP14&lt;&gt;""),ROUND(BP17-BP14+BP15,1),"")</f>
        <v>2.9</v>
      </c>
      <c r="BQ20" s="50" t="str">
        <f aca="false">IF(AND(ISNUMBER(BQ16),ISNUMBER(BQ17),BQ14&lt;&gt;""),ROUND(BQ17-BQ14+BQ15,1),"")</f>
        <v/>
      </c>
      <c r="BR20" s="50" t="str">
        <f aca="false">IF(AND(ISNUMBER(BR16),ISNUMBER(BR17),BR14&lt;&gt;""),ROUND(BR17-BR14+BR15,1),"")</f>
        <v/>
      </c>
      <c r="BS20" s="50" t="str">
        <f aca="false">IF(AND(ISNUMBER(BS16),ISNUMBER(BS17),BS14&lt;&gt;""),ROUND(BS17-BS14+BS15,1),"")</f>
        <v/>
      </c>
      <c r="BT20" s="50" t="str">
        <f aca="false">IF(AND(ISNUMBER(BT16),ISNUMBER(BT17),BT14&lt;&gt;""),ROUND(BT17-BT14+BT15,1),"")</f>
        <v/>
      </c>
      <c r="BU20" s="50" t="str">
        <f aca="false">IF(AND(ISNUMBER(BU16),ISNUMBER(BU17),BU14&lt;&gt;""),ROUND(BU17-BU14+BU15,1),"")</f>
        <v/>
      </c>
      <c r="BV20" s="50" t="str">
        <f aca="false">IF(AND(ISNUMBER(BV16),ISNUMBER(BV17),BV14&lt;&gt;""),ROUND(BV17-BV14+BV15,1),"")</f>
        <v/>
      </c>
      <c r="BW20" s="50" t="n">
        <f aca="false">IF(AND(ISNUMBER(BW16),ISNUMBER(BW17),BW14&lt;&gt;""),ROUND(BW17-BW14+BW15,1),"")</f>
        <v>3.4</v>
      </c>
      <c r="BX20" s="50" t="str">
        <f aca="false">IF(AND(ISNUMBER(BX16),ISNUMBER(BX17),BX14&lt;&gt;""),ROUND(BX17-BX14+BX15,1),"")</f>
        <v/>
      </c>
      <c r="BY20" s="50" t="str">
        <f aca="false">IF(AND(ISNUMBER(BY16),ISNUMBER(BY17),BY14&lt;&gt;""),ROUND(BY17-BY14+BY15,1),"")</f>
        <v/>
      </c>
      <c r="BZ20" s="50" t="str">
        <f aca="false">IF(AND(ISNUMBER(BZ16),ISNUMBER(BZ17),BZ14&lt;&gt;""),ROUND(BZ17-BZ14+BZ15,1),"")</f>
        <v/>
      </c>
      <c r="CA20" s="50" t="str">
        <f aca="false">IF(AND(ISNUMBER(CA16),ISNUMBER(CA17),CA14&lt;&gt;""),ROUND(CA17-CA14+CA15,1),"")</f>
        <v/>
      </c>
      <c r="CB20" s="50" t="str">
        <f aca="false">IF(AND(ISNUMBER(CB16),ISNUMBER(CB17),CB14&lt;&gt;""),ROUND(CB17-CB14+CB15,1),"")</f>
        <v/>
      </c>
      <c r="CC20" s="50" t="str">
        <f aca="false">IF(AND(ISNUMBER(CC16),ISNUMBER(CC17),CC14&lt;&gt;""),ROUND(CC17-CC14+CC15,1),"")</f>
        <v/>
      </c>
      <c r="CD20" s="50" t="n">
        <f aca="false">IF(AND(ISNUMBER(CD16),ISNUMBER(CD17),CD14&lt;&gt;""),ROUND(CD17-CD14+CD15,1),"")</f>
        <v>2.3</v>
      </c>
      <c r="CE20" s="50" t="str">
        <f aca="false">IF(AND(ISNUMBER(CE16),ISNUMBER(CE17),CE14&lt;&gt;""),ROUND(CE17-CE14+CE15,1),"")</f>
        <v/>
      </c>
      <c r="CF20" s="50" t="str">
        <f aca="false">IF(AND(ISNUMBER(CF16),ISNUMBER(CF17),CF14&lt;&gt;""),ROUND(CF17-CF14+CF15,1),"")</f>
        <v/>
      </c>
      <c r="CG20" s="50" t="str">
        <f aca="false">IF(AND(ISNUMBER(CG16),ISNUMBER(CG17),CG14&lt;&gt;""),ROUND(CG17-CG14+CG15,1),"")</f>
        <v/>
      </c>
      <c r="CH20" s="50" t="n">
        <f aca="false">IF(AND(ISNUMBER(CH16),ISNUMBER(CH17),CH14&lt;&gt;""),ROUND(CH17-CH14+CH15,1),"")</f>
        <v>3.8</v>
      </c>
      <c r="CI20" s="50" t="str">
        <f aca="false">IF(AND(ISNUMBER(CI16),ISNUMBER(CI17),CI14&lt;&gt;""),ROUND(CI17-CI14+CI15,1),"")</f>
        <v/>
      </c>
      <c r="CJ20" s="50" t="str">
        <f aca="false">IF(AND(ISNUMBER(CJ16),ISNUMBER(CJ17),CJ14&lt;&gt;""),ROUND(CJ17-CJ14+CJ15,1),"")</f>
        <v/>
      </c>
      <c r="CK20" s="50" t="str">
        <f aca="false">IF(AND(ISNUMBER(CK16),ISNUMBER(CK17),CK14&lt;&gt;""),ROUND(CK17-CK14+CK15,1),"")</f>
        <v/>
      </c>
      <c r="CL20" s="50" t="str">
        <f aca="false">IF(AND(ISNUMBER(CL16),ISNUMBER(CL17),CL14&lt;&gt;""),ROUND(CL17-CL14+CL15,1),"")</f>
        <v/>
      </c>
      <c r="CM20" s="50" t="str">
        <f aca="false">IF(AND(ISNUMBER(CM16),ISNUMBER(CM17),CM14&lt;&gt;""),ROUND(CM17-CM14+CM15,1),"")</f>
        <v/>
      </c>
      <c r="CN20" s="50" t="str">
        <f aca="false">IF(AND(ISNUMBER(CN16),ISNUMBER(CN17),CN14&lt;&gt;""),ROUND(CN17-CN14+CN15,1),"")</f>
        <v/>
      </c>
      <c r="CO20" s="50" t="str">
        <f aca="false">IF(AND(ISNUMBER(CO16),ISNUMBER(CO17),CO14&lt;&gt;""),ROUND(CO17-CO14+CO15,1),"")</f>
        <v/>
      </c>
      <c r="CP20" s="50" t="str">
        <f aca="false">IF(AND(ISNUMBER(CP16),ISNUMBER(CP17),CP14&lt;&gt;""),ROUND(CP17-CP14+CP15,1),"")</f>
        <v/>
      </c>
      <c r="CQ20" s="50" t="str">
        <f aca="false">IF(AND(ISNUMBER(CQ16),ISNUMBER(CQ17),CQ14&lt;&gt;""),ROUND(CQ17-CQ14+CQ15,1),"")</f>
        <v/>
      </c>
      <c r="CR20" s="50" t="str">
        <f aca="false">IF(AND(ISNUMBER(CR16),ISNUMBER(CR17),CR14&lt;&gt;""),ROUND(CR17-CR14+CR15,1),"")</f>
        <v/>
      </c>
      <c r="CS20" s="50" t="str">
        <f aca="false">IF(AND(ISNUMBER(CS16),ISNUMBER(CS17),CS14&lt;&gt;""),ROUND(CS17-CS14+CS15,1),"")</f>
        <v/>
      </c>
      <c r="CT20" s="50" t="str">
        <f aca="false">IF(AND(ISNUMBER(CT16),ISNUMBER(CT17),CT14&lt;&gt;""),ROUND(CT17-CT14+CT15,1),"")</f>
        <v/>
      </c>
      <c r="CU20" s="50" t="str">
        <f aca="false">IF(AND(ISNUMBER(CU16),ISNUMBER(CU17),CU14&lt;&gt;""),ROUND(CU17-CU14+CU15,1),"")</f>
        <v/>
      </c>
      <c r="CV20" s="50" t="str">
        <f aca="false">IF(AND(ISNUMBER(CV16),ISNUMBER(CV17),CV14&lt;&gt;""),ROUND(CV17-CV14+CV15,1),"")</f>
        <v/>
      </c>
      <c r="CW20" s="50" t="n">
        <f aca="false">IF(AND(ISNUMBER(CW16),ISNUMBER(CW17),CW14&lt;&gt;""),ROUND(CW17-CW14+CW15,1),"")</f>
        <v>0.7</v>
      </c>
      <c r="CX20" s="50" t="str">
        <f aca="false">IF(AND(ISNUMBER(CX16),ISNUMBER(CX17),CX14&lt;&gt;""),ROUND(CX17-CX14+CX15,1),"")</f>
        <v/>
      </c>
      <c r="CY20" s="50" t="str">
        <f aca="false">IF(AND(ISNUMBER(CY16),ISNUMBER(CY17),CY14&lt;&gt;""),ROUND(CY17-CY14+CY15,1),"")</f>
        <v/>
      </c>
      <c r="CZ20" s="50" t="n">
        <f aca="false">IF(AND(ISNUMBER(CZ16),ISNUMBER(CZ17),CZ14&lt;&gt;""),ROUND(CZ17-CZ14+CZ15,1),"")</f>
        <v>1.9</v>
      </c>
      <c r="DA20" s="50" t="str">
        <f aca="false">IF(AND(ISNUMBER(DA16),ISNUMBER(DA17),DA14&lt;&gt;""),ROUND(DA17-DA14+DA15,1),"")</f>
        <v/>
      </c>
      <c r="DB20" s="50" t="str">
        <f aca="false">IF(AND(ISNUMBER(DB16),ISNUMBER(DB17),DB14&lt;&gt;""),ROUND(DB17-DB14+DB15,1),"")</f>
        <v/>
      </c>
      <c r="DC20" s="50" t="n">
        <f aca="false">IF(AND(ISNUMBER(DC16),ISNUMBER(DC17),DC14&lt;&gt;""),ROUND(DC17-DC14+DC15,1),"")</f>
        <v>3.4</v>
      </c>
      <c r="DD20" s="50" t="str">
        <f aca="false">IF(AND(ISNUMBER(DD16),ISNUMBER(DD17),DD14&lt;&gt;""),ROUND(DD17-DD14+DD15,1),"")</f>
        <v/>
      </c>
      <c r="DE20" s="50" t="str">
        <f aca="false">IF(AND(ISNUMBER(DE16),ISNUMBER(DE17),DE14&lt;&gt;""),ROUND(DE17-DE14+DE15,1),"")</f>
        <v/>
      </c>
      <c r="DF20" s="50" t="str">
        <f aca="false">IF(AND(ISNUMBER(DF16),ISNUMBER(DF17),DF14&lt;&gt;""),ROUND(DF17-DF14+DF15,1),"")</f>
        <v/>
      </c>
      <c r="DG20" s="50" t="str">
        <f aca="false">IF(AND(ISNUMBER(DG16),ISNUMBER(DG17),DG14&lt;&gt;""),ROUND(DG17-DG14+DG15,1),"")</f>
        <v/>
      </c>
      <c r="DH20" s="50" t="str">
        <f aca="false">IF(AND(ISNUMBER(DH16),ISNUMBER(DH17),DH14&lt;&gt;""),ROUND(DH17-DH14+DH15,1),"")</f>
        <v/>
      </c>
      <c r="DI20" s="50" t="n">
        <f aca="false">IF(AND(ISNUMBER(DI16),ISNUMBER(DI17),DI14&lt;&gt;""),ROUND(DI17-DI14+DI15,1),"")</f>
        <v>2.4</v>
      </c>
      <c r="DJ20" s="50" t="n">
        <f aca="false">IF(AND(ISNUMBER(DJ16),ISNUMBER(DJ17),DJ14&lt;&gt;""),ROUND(DJ17-DJ14+DJ15,1),"")</f>
        <v>1.9</v>
      </c>
      <c r="DK20" s="50" t="str">
        <f aca="false">IF(AND(ISNUMBER(DK16),ISNUMBER(DK17),DK14&lt;&gt;""),ROUND(DK17-DK14+DK15,1),"")</f>
        <v/>
      </c>
      <c r="DL20" s="50" t="str">
        <f aca="false">IF(AND(ISNUMBER(DL16),ISNUMBER(DL17),DL14&lt;&gt;""),ROUND(DL17-DL14+DL15,1),"")</f>
        <v/>
      </c>
      <c r="DM20" s="50" t="n">
        <f aca="false">IF(AND(ISNUMBER(DM16),ISNUMBER(DM17),DM14&lt;&gt;""),ROUND(DM17-DM14+DM15,1),"")</f>
        <v>1</v>
      </c>
      <c r="DN20" s="50" t="str">
        <f aca="false">IF(AND(ISNUMBER(DN16),ISNUMBER(DN17),DN14&lt;&gt;""),ROUND(DN17-DN14+DN15,1),"")</f>
        <v/>
      </c>
      <c r="DO20" s="50" t="n">
        <f aca="false">IF(AND(ISNUMBER(DO16),ISNUMBER(DO17),DO14&lt;&gt;""),ROUND(DO17-DO14+DO15,1),"")</f>
        <v>1.9</v>
      </c>
      <c r="DP20" s="50" t="str">
        <f aca="false">IF(AND(ISNUMBER(DP16),ISNUMBER(DP17),DP14&lt;&gt;""),ROUND(DP17-DP14+DP15,1),"")</f>
        <v/>
      </c>
      <c r="DQ20" s="50" t="str">
        <f aca="false">IF(AND(ISNUMBER(DQ16),ISNUMBER(DQ17),DQ14&lt;&gt;""),ROUND(DQ17-DQ14+DQ15,1),"")</f>
        <v/>
      </c>
      <c r="DR20" s="50" t="n">
        <f aca="false">IF(AND(ISNUMBER(DR16),ISNUMBER(DR17),DR14&lt;&gt;""),ROUND(DR17-DR14+DR15,1),"")</f>
        <v>1</v>
      </c>
      <c r="DS20" s="50" t="str">
        <f aca="false">IF(AND(ISNUMBER(DS16),ISNUMBER(DS17),DS14&lt;&gt;""),ROUND(DS17-DS14+DS15,1),"")</f>
        <v/>
      </c>
      <c r="DT20" s="50" t="n">
        <f aca="false">IF(AND(ISNUMBER(DT16),ISNUMBER(DT17),DT14&lt;&gt;""),ROUND(DT17-DT14+DT15,1),"")</f>
        <v>1.9</v>
      </c>
      <c r="DU20" s="50" t="str">
        <f aca="false">IF(AND(ISNUMBER(DU16),ISNUMBER(DU17),DU14&lt;&gt;""),ROUND(DU17-DU14+DU15,1),"")</f>
        <v/>
      </c>
      <c r="DV20" s="50" t="str">
        <f aca="false">IF(AND(ISNUMBER(DV16),ISNUMBER(DV17),DV14&lt;&gt;""),ROUND(DV17-DV14+DV15,1),"")</f>
        <v/>
      </c>
      <c r="DW20" s="50" t="n">
        <f aca="false">IF(AND(ISNUMBER(DW16),ISNUMBER(DW17),DW14&lt;&gt;""),ROUND(DW17-DW14+DW15,1),"")</f>
        <v>1.9</v>
      </c>
      <c r="DX20" s="50" t="str">
        <f aca="false">IF(AND(ISNUMBER(DX16),ISNUMBER(DX17),DX14&lt;&gt;""),ROUND(DX17-DX14+DX15,1),"")</f>
        <v/>
      </c>
      <c r="DY20" s="50" t="str">
        <f aca="false">IF(AND(ISNUMBER(DY16),ISNUMBER(DY17),DY14&lt;&gt;""),ROUND(DY17-DY14+DY15,1),"")</f>
        <v/>
      </c>
      <c r="DZ20" s="50" t="str">
        <f aca="false">IF(AND(ISNUMBER(DZ16),ISNUMBER(DZ17),DZ14&lt;&gt;""),ROUND(DZ17-DZ14+DZ15,1),"")</f>
        <v/>
      </c>
      <c r="EA20" s="50" t="n">
        <f aca="false">IF(AND(ISNUMBER(EA16),ISNUMBER(EA17),EA14&lt;&gt;""),ROUND(EA17-EA14+EA15,1),"")</f>
        <v>2.1</v>
      </c>
      <c r="EB20" s="50" t="str">
        <f aca="false">IF(AND(ISNUMBER(EB16),ISNUMBER(EB17),EB14&lt;&gt;""),ROUND(EB17-EB14+EB15,1),"")</f>
        <v/>
      </c>
      <c r="EC20" s="50" t="str">
        <f aca="false">IF(AND(ISNUMBER(EC16),ISNUMBER(EC17),EC14&lt;&gt;""),ROUND(EC17-EC14+EC15,1),"")</f>
        <v/>
      </c>
      <c r="ED20" s="50" t="str">
        <f aca="false">IF(AND(ISNUMBER(ED16),ISNUMBER(ED17),ED14&lt;&gt;""),ROUND(ED17-ED14+ED15,1),"")</f>
        <v/>
      </c>
      <c r="EE20" s="50" t="str">
        <f aca="false">IF(AND(ISNUMBER(EE16),ISNUMBER(EE17),EE14&lt;&gt;""),ROUND(EE17-EE14+EE15,1),"")</f>
        <v/>
      </c>
      <c r="EF20" s="50" t="str">
        <f aca="false">IF(AND(ISNUMBER(EF16),ISNUMBER(EF17),EF14&lt;&gt;""),ROUND(EF17-EF14+EF15,1),"")</f>
        <v/>
      </c>
      <c r="EG20" s="50" t="str">
        <f aca="false">IF(AND(ISNUMBER(EG16),ISNUMBER(EG17),EG14&lt;&gt;""),ROUND(EG17-EG14+EG15,1),"")</f>
        <v/>
      </c>
      <c r="EH20" s="50" t="n">
        <f aca="false">IF(AND(ISNUMBER(EH16),ISNUMBER(EH17),EH14&lt;&gt;""),ROUND(EH17-EH14+EH15,1),"")</f>
        <v>1.9</v>
      </c>
      <c r="EI20" s="50" t="str">
        <f aca="false">IF(AND(ISNUMBER(EI16),ISNUMBER(EI17),EI14&lt;&gt;""),ROUND(EI17-EI14+EI15,1),"")</f>
        <v/>
      </c>
      <c r="EJ20" s="50" t="n">
        <f aca="false">IF(AND(ISNUMBER(EJ16),ISNUMBER(EJ17),EJ14&lt;&gt;""),ROUND(EJ17-EJ14+EJ15,1),"")</f>
        <v>3.4</v>
      </c>
      <c r="EK20" s="50" t="str">
        <f aca="false">IF(AND(ISNUMBER(EK16),ISNUMBER(EK17),EK14&lt;&gt;""),ROUND(EK17-EK14+EK15,1),"")</f>
        <v/>
      </c>
      <c r="EL20" s="50" t="str">
        <f aca="false">IF(AND(ISNUMBER(EL16),ISNUMBER(EL17),EL14&lt;&gt;""),ROUND(EL17-EL14+EL15,1),"")</f>
        <v/>
      </c>
      <c r="EM20" s="50" t="str">
        <f aca="false">IF(AND(ISNUMBER(EM16),ISNUMBER(EM17),EM14&lt;&gt;""),ROUND(EM17-EM14+EM15,1),"")</f>
        <v/>
      </c>
      <c r="EN20" s="50" t="str">
        <f aca="false">IF(AND(ISNUMBER(EN16),ISNUMBER(EN17),EN14&lt;&gt;""),ROUND(EN17-EN14+EN15,1),"")</f>
        <v/>
      </c>
      <c r="EO20" s="50" t="str">
        <f aca="false">IF(AND(ISNUMBER(EO16),ISNUMBER(EO17),EO14&lt;&gt;""),ROUND(EO17-EO14+EO15,1),"")</f>
        <v/>
      </c>
      <c r="EP20" s="50" t="n">
        <f aca="false">IF(AND(ISNUMBER(EP16),ISNUMBER(EP17),EP14&lt;&gt;""),ROUND(EP17-EP14+EP15,1),"")</f>
        <v>1.9</v>
      </c>
      <c r="EQ20" s="50" t="str">
        <f aca="false">IF(AND(ISNUMBER(EQ16),ISNUMBER(EQ17),EQ14&lt;&gt;""),ROUND(EQ17-EQ14+EQ15,1),"")</f>
        <v/>
      </c>
      <c r="ER20" s="50" t="str">
        <f aca="false">IF(AND(ISNUMBER(ER16),ISNUMBER(ER17),ER14&lt;&gt;""),ROUND(ER17-ER14+ER15,1),"")</f>
        <v/>
      </c>
      <c r="ES20" s="50" t="str">
        <f aca="false">IF(AND(ISNUMBER(ES16),ISNUMBER(ES17),ES14&lt;&gt;""),ROUND(ES17-ES14+ES15,1),"")</f>
        <v/>
      </c>
      <c r="ET20" s="50" t="str">
        <f aca="false">IF(AND(ISNUMBER(ET16),ISNUMBER(ET17),ET14&lt;&gt;""),ROUND(ET17-ET14+ET15,1),"")</f>
        <v/>
      </c>
      <c r="EU20" s="50" t="str">
        <f aca="false">IF(AND(ISNUMBER(EU16),ISNUMBER(EU17),EU14&lt;&gt;""),ROUND(EU17-EU14+EU15,1),"")</f>
        <v/>
      </c>
      <c r="EV20" s="50" t="str">
        <f aca="false">IF(AND(ISNUMBER(EV16),ISNUMBER(EV17),EV14&lt;&gt;""),ROUND(EV17-EV14+EV15,1),"")</f>
        <v/>
      </c>
      <c r="EW20" s="50" t="str">
        <f aca="false">IF(AND(ISNUMBER(EW16),ISNUMBER(EW17),EW14&lt;&gt;""),ROUND(EW17-EW14+EW15,1),"")</f>
        <v/>
      </c>
      <c r="EX20" s="50" t="str">
        <f aca="false">IF(AND(ISNUMBER(EX16),ISNUMBER(EX17),EX14&lt;&gt;""),ROUND(EX17-EX14+EX15,1),"")</f>
        <v/>
      </c>
      <c r="EY20" s="50" t="str">
        <f aca="false">IF(AND(ISNUMBER(EY16),ISNUMBER(EY17),EY14&lt;&gt;""),ROUND(EY17-EY14+EY15,1),"")</f>
        <v/>
      </c>
      <c r="EZ20" s="50" t="str">
        <f aca="false">IF(AND(ISNUMBER(EZ16),ISNUMBER(EZ17),EZ14&lt;&gt;""),ROUND(EZ17-EZ14+EZ15,1),"")</f>
        <v/>
      </c>
      <c r="FA20" s="50" t="str">
        <f aca="false">IF(AND(ISNUMBER(FA16),ISNUMBER(FA17),FA14&lt;&gt;""),ROUND(FA17-FA14+FA15,1),"")</f>
        <v/>
      </c>
      <c r="FB20" s="50" t="str">
        <f aca="false">IF(AND(ISNUMBER(FB16),ISNUMBER(FB17),FB14&lt;&gt;""),ROUND(FB17-FB14+FB15,1),"")</f>
        <v/>
      </c>
      <c r="FC20" s="50" t="str">
        <f aca="false">IF(AND(ISNUMBER(FC16),ISNUMBER(FC17),FC14&lt;&gt;""),ROUND(FC17-FC14+FC15,1),"")</f>
        <v/>
      </c>
      <c r="FD20" s="50" t="str">
        <f aca="false">IF(AND(ISNUMBER(FD16),ISNUMBER(FD17),FD14&lt;&gt;""),ROUND(FD17-FD14+FD15,1),"")</f>
        <v/>
      </c>
      <c r="FE20" s="50" t="str">
        <f aca="false">IF(AND(ISNUMBER(FE16),ISNUMBER(FE17),FE14&lt;&gt;""),ROUND(FE17-FE14+FE15,1),"")</f>
        <v/>
      </c>
      <c r="FF20" s="50" t="str">
        <f aca="false">IF(AND(ISNUMBER(FF16),ISNUMBER(FF17),FF14&lt;&gt;""),ROUND(FF17-FF14+FF15,1),"")</f>
        <v/>
      </c>
      <c r="FG20" s="50" t="str">
        <f aca="false">IF(AND(ISNUMBER(FG16),ISNUMBER(FG17),FG14&lt;&gt;""),ROUND(FG17-FG14+FG15,1),"")</f>
        <v/>
      </c>
      <c r="FH20" s="50" t="str">
        <f aca="false">IF(AND(ISNUMBER(FH16),ISNUMBER(FH17),FH14&lt;&gt;""),ROUND(FH17-FH14+FH15,1),"")</f>
        <v/>
      </c>
      <c r="FI20" s="50" t="str">
        <f aca="false">IF(AND(ISNUMBER(FI16),ISNUMBER(FI17),FI14&lt;&gt;""),ROUND(FI17-FI14+FI15,1),"")</f>
        <v/>
      </c>
      <c r="FJ20" s="50" t="str">
        <f aca="false">IF(AND(ISNUMBER(FJ16),ISNUMBER(FJ17),FJ14&lt;&gt;""),ROUND(FJ17-FJ14+FJ15,1),"")</f>
        <v/>
      </c>
      <c r="FK20" s="50" t="str">
        <f aca="false">IF(AND(ISNUMBER(FK16),ISNUMBER(FK17),FK14&lt;&gt;""),ROUND(FK17-FK14+FK15,1),"")</f>
        <v/>
      </c>
      <c r="FL20" s="50" t="str">
        <f aca="false">IF(AND(ISNUMBER(FL16),ISNUMBER(FL17),FL14&lt;&gt;""),ROUND(FL17-FL14+FL15,1),"")</f>
        <v/>
      </c>
      <c r="FM20" s="50" t="str">
        <f aca="false">IF(AND(ISNUMBER(FM16),ISNUMBER(FM17),FM14&lt;&gt;""),ROUND(FM17-FM14+FM15,1),"")</f>
        <v/>
      </c>
      <c r="FN20" s="50" t="str">
        <f aca="false">IF(AND(ISNUMBER(FN16),ISNUMBER(FN17),FN14&lt;&gt;""),ROUND(FN17-FN14+FN15,1),"")</f>
        <v/>
      </c>
      <c r="FO20" s="50" t="str">
        <f aca="false">IF(AND(ISNUMBER(FO16),ISNUMBER(FO17),FO14&lt;&gt;""),ROUND(FO17-FO14+FO15,1),"")</f>
        <v/>
      </c>
      <c r="FP20" s="50" t="str">
        <f aca="false">IF(AND(ISNUMBER(FP16),ISNUMBER(FP17),FP14&lt;&gt;""),ROUND(FP17-FP14+FP15,1),"")</f>
        <v/>
      </c>
      <c r="FQ20" s="50" t="str">
        <f aca="false">IF(AND(ISNUMBER(FQ16),ISNUMBER(FQ17),FQ14&lt;&gt;""),ROUND(FQ17-FQ14+FQ15,1),"")</f>
        <v/>
      </c>
    </row>
    <row r="21" customFormat="false" ht="15" hidden="false" customHeight="false" outlineLevel="0" collapsed="false">
      <c r="A21" s="31" t="s">
        <v>328</v>
      </c>
      <c r="B21" s="17" t="s">
        <v>420</v>
      </c>
      <c r="C21" s="48" t="n">
        <f aca="false">ROUND(SUM($D$21:$FQ$21),0)</f>
        <v>377</v>
      </c>
      <c r="D21" s="50" t="str">
        <f aca="false">IF(AND(ISNUMBER(D12),ISNUMBER(D19),ISNUMBER(D20)),ROUND((D20-MAX(D19,0))*10,1),"")</f>
        <v/>
      </c>
      <c r="E21" s="50" t="str">
        <f aca="false">IF(AND(ISNUMBER(E12),ISNUMBER(E19),ISNUMBER(E20)),ROUND((E20-MAX(E19,0))*10,1),"")</f>
        <v/>
      </c>
      <c r="F21" s="50" t="str">
        <f aca="false">IF(AND(ISNUMBER(F12),ISNUMBER(F19),ISNUMBER(F20)),ROUND((F20-MAX(F19,0))*10,1),"")</f>
        <v/>
      </c>
      <c r="G21" s="50" t="str">
        <f aca="false">IF(AND(ISNUMBER(G12),ISNUMBER(G19),ISNUMBER(G20)),ROUND((G20-MAX(G19,0))*10,1),"")</f>
        <v/>
      </c>
      <c r="H21" s="50" t="str">
        <f aca="false">IF(AND(ISNUMBER(H12),ISNUMBER(H19),ISNUMBER(H20)),ROUND((H20-MAX(H19,0))*10,1),"")</f>
        <v/>
      </c>
      <c r="I21" s="50" t="str">
        <f aca="false">IF(AND(ISNUMBER(I12),ISNUMBER(I19),ISNUMBER(I20)),ROUND((I20-MAX(I19,0))*10,1),"")</f>
        <v/>
      </c>
      <c r="J21" s="50" t="str">
        <f aca="false">IF(AND(ISNUMBER(J12),ISNUMBER(J19),ISNUMBER(J20)),ROUND((J20-MAX(J19,0))*10,1),"")</f>
        <v/>
      </c>
      <c r="K21" s="50" t="str">
        <f aca="false">IF(AND(ISNUMBER(K12),ISNUMBER(K19),ISNUMBER(K20)),ROUND((K20-MAX(K19,0))*10,1),"")</f>
        <v/>
      </c>
      <c r="L21" s="50" t="str">
        <f aca="false">IF(AND(ISNUMBER(L12),ISNUMBER(L19),ISNUMBER(L20)),ROUND((L20-MAX(L19,0))*10,1),"")</f>
        <v/>
      </c>
      <c r="M21" s="50" t="str">
        <f aca="false">IF(AND(ISNUMBER(M12),ISNUMBER(M19),ISNUMBER(M20)),ROUND((M20-MAX(M19,0))*10,1),"")</f>
        <v/>
      </c>
      <c r="N21" s="50" t="str">
        <f aca="false">IF(AND(ISNUMBER(N12),ISNUMBER(N19),ISNUMBER(N20)),ROUND((N20-MAX(N19,0))*10,1),"")</f>
        <v/>
      </c>
      <c r="O21" s="50" t="str">
        <f aca="false">IF(AND(ISNUMBER(O12),ISNUMBER(O19),ISNUMBER(O20)),ROUND((O20-MAX(O19,0))*10,1),"")</f>
        <v/>
      </c>
      <c r="P21" s="50" t="str">
        <f aca="false">IF(AND(ISNUMBER(P12),ISNUMBER(P19),ISNUMBER(P20)),ROUND((P20-MAX(P19,0))*10,1),"")</f>
        <v/>
      </c>
      <c r="Q21" s="50" t="str">
        <f aca="false">IF(AND(ISNUMBER(Q12),ISNUMBER(Q19),ISNUMBER(Q20)),ROUND((Q20-MAX(Q19,0))*10,1),"")</f>
        <v/>
      </c>
      <c r="R21" s="50" t="str">
        <f aca="false">IF(AND(ISNUMBER(R12),ISNUMBER(R19),ISNUMBER(R20)),ROUND((R20-MAX(R19,0))*10,1),"")</f>
        <v/>
      </c>
      <c r="S21" s="50" t="str">
        <f aca="false">IF(AND(ISNUMBER(S12),ISNUMBER(S19),ISNUMBER(S20)),ROUND((S20-MAX(S19,0))*10,1),"")</f>
        <v/>
      </c>
      <c r="T21" s="50" t="str">
        <f aca="false">IF(AND(ISNUMBER(T12),ISNUMBER(T19),ISNUMBER(T20)),ROUND((T20-MAX(T19,0))*10,1),"")</f>
        <v/>
      </c>
      <c r="U21" s="50" t="str">
        <f aca="false">IF(AND(ISNUMBER(U12),ISNUMBER(U19),ISNUMBER(U20)),ROUND((U20-MAX(U19,0))*10,1),"")</f>
        <v/>
      </c>
      <c r="V21" s="50" t="str">
        <f aca="false">IF(AND(ISNUMBER(V12),ISNUMBER(V19),ISNUMBER(V20)),ROUND((V20-MAX(V19,0))*10,1),"")</f>
        <v/>
      </c>
      <c r="W21" s="50" t="str">
        <f aca="false">IF(AND(ISNUMBER(W12),ISNUMBER(W19),ISNUMBER(W20)),ROUND((W20-MAX(W19,0))*10,1),"")</f>
        <v/>
      </c>
      <c r="X21" s="50" t="str">
        <f aca="false">IF(AND(ISNUMBER(X12),ISNUMBER(X19),ISNUMBER(X20)),ROUND((X20-MAX(X19,0))*10,1),"")</f>
        <v/>
      </c>
      <c r="Y21" s="50" t="str">
        <f aca="false">IF(AND(ISNUMBER(Y12),ISNUMBER(Y19),ISNUMBER(Y20)),ROUND((Y20-MAX(Y19,0))*10,1),"")</f>
        <v/>
      </c>
      <c r="Z21" s="50" t="str">
        <f aca="false">IF(AND(ISNUMBER(Z12),ISNUMBER(Z19),ISNUMBER(Z20)),ROUND((Z20-MAX(Z19,0))*10,1),"")</f>
        <v/>
      </c>
      <c r="AA21" s="50" t="str">
        <f aca="false">IF(AND(ISNUMBER(AA12),ISNUMBER(AA19),ISNUMBER(AA20)),ROUND((AA20-MAX(AA19,0))*10,1),"")</f>
        <v/>
      </c>
      <c r="AB21" s="50" t="str">
        <f aca="false">IF(AND(ISNUMBER(AB12),ISNUMBER(AB19),ISNUMBER(AB20)),ROUND((AB20-MAX(AB19,0))*10,1),"")</f>
        <v/>
      </c>
      <c r="AC21" s="50" t="str">
        <f aca="false">IF(AND(ISNUMBER(AC12),ISNUMBER(AC19),ISNUMBER(AC20)),ROUND((AC20-MAX(AC19,0))*10,1),"")</f>
        <v/>
      </c>
      <c r="AD21" s="50" t="str">
        <f aca="false">IF(AND(ISNUMBER(AD12),ISNUMBER(AD19),ISNUMBER(AD20)),ROUND((AD20-MAX(AD19,0))*10,1),"")</f>
        <v/>
      </c>
      <c r="AE21" s="50" t="str">
        <f aca="false">IF(AND(ISNUMBER(AE12),ISNUMBER(AE19),ISNUMBER(AE20)),ROUND((AE20-MAX(AE19,0))*10,1),"")</f>
        <v/>
      </c>
      <c r="AF21" s="50" t="str">
        <f aca="false">IF(AND(ISNUMBER(AF12),ISNUMBER(AF19),ISNUMBER(AF20)),ROUND((AF20-MAX(AF19,0))*10,1),"")</f>
        <v/>
      </c>
      <c r="AG21" s="50" t="str">
        <f aca="false">IF(AND(ISNUMBER(AG12),ISNUMBER(AG19),ISNUMBER(AG20)),ROUND((AG20-MAX(AG19,0))*10,1),"")</f>
        <v/>
      </c>
      <c r="AH21" s="50" t="str">
        <f aca="false">IF(AND(ISNUMBER(AH12),ISNUMBER(AH19),ISNUMBER(AH20)),ROUND((AH20-MAX(AH19,0))*10,1),"")</f>
        <v/>
      </c>
      <c r="AI21" s="50" t="str">
        <f aca="false">IF(AND(ISNUMBER(AI12),ISNUMBER(AI19),ISNUMBER(AI20)),ROUND((AI20-MAX(AI19,0))*10,1),"")</f>
        <v/>
      </c>
      <c r="AJ21" s="50" t="str">
        <f aca="false">IF(AND(ISNUMBER(AJ12),ISNUMBER(AJ19),ISNUMBER(AJ20)),ROUND((AJ20-MAX(AJ19,0))*10,1),"")</f>
        <v/>
      </c>
      <c r="AK21" s="50" t="str">
        <f aca="false">IF(AND(ISNUMBER(AK12),ISNUMBER(AK19),ISNUMBER(AK20)),ROUND((AK20-MAX(AK19,0))*10,1),"")</f>
        <v/>
      </c>
      <c r="AL21" s="50" t="str">
        <f aca="false">IF(AND(ISNUMBER(AL12),ISNUMBER(AL19),ISNUMBER(AL20)),ROUND((AL20-MAX(AL19,0))*10,1),"")</f>
        <v/>
      </c>
      <c r="AM21" s="50" t="str">
        <f aca="false">IF(AND(ISNUMBER(AM12),ISNUMBER(AM19),ISNUMBER(AM20)),ROUND((AM20-MAX(AM19,0))*10,1),"")</f>
        <v/>
      </c>
      <c r="AN21" s="50" t="str">
        <f aca="false">IF(AND(ISNUMBER(AN12),ISNUMBER(AN19),ISNUMBER(AN20)),ROUND((AN20-MAX(AN19,0))*10,1),"")</f>
        <v/>
      </c>
      <c r="AO21" s="50" t="str">
        <f aca="false">IF(AND(ISNUMBER(AO12),ISNUMBER(AO19),ISNUMBER(AO20)),ROUND((AO20-MAX(AO19,0))*10,1),"")</f>
        <v/>
      </c>
      <c r="AP21" s="50" t="str">
        <f aca="false">IF(AND(ISNUMBER(AP12),ISNUMBER(AP19),ISNUMBER(AP20)),ROUND((AP20-MAX(AP19,0))*10,1),"")</f>
        <v/>
      </c>
      <c r="AQ21" s="50" t="str">
        <f aca="false">IF(AND(ISNUMBER(AQ12),ISNUMBER(AQ19),ISNUMBER(AQ20)),ROUND((AQ20-MAX(AQ19,0))*10,1),"")</f>
        <v/>
      </c>
      <c r="AR21" s="50" t="str">
        <f aca="false">IF(AND(ISNUMBER(AR12),ISNUMBER(AR19),ISNUMBER(AR20)),ROUND((AR20-MAX(AR19,0))*10,1),"")</f>
        <v/>
      </c>
      <c r="AS21" s="50" t="str">
        <f aca="false">IF(AND(ISNUMBER(AS12),ISNUMBER(AS19),ISNUMBER(AS20)),ROUND((AS20-MAX(AS19,0))*10,1),"")</f>
        <v/>
      </c>
      <c r="AT21" s="50" t="str">
        <f aca="false">IF(AND(ISNUMBER(AT12),ISNUMBER(AT19),ISNUMBER(AT20)),ROUND((AT20-MAX(AT19,0))*10,1),"")</f>
        <v/>
      </c>
      <c r="AU21" s="50" t="str">
        <f aca="false">IF(AND(ISNUMBER(AU12),ISNUMBER(AU19),ISNUMBER(AU20)),ROUND((AU20-MAX(AU19,0))*10,1),"")</f>
        <v/>
      </c>
      <c r="AV21" s="50" t="str">
        <f aca="false">IF(AND(ISNUMBER(AV12),ISNUMBER(AV19),ISNUMBER(AV20)),ROUND((AV20-MAX(AV19,0))*10,1),"")</f>
        <v/>
      </c>
      <c r="AW21" s="50" t="str">
        <f aca="false">IF(AND(ISNUMBER(AW12),ISNUMBER(AW19),ISNUMBER(AW20)),ROUND((AW20-MAX(AW19,0))*10,1),"")</f>
        <v/>
      </c>
      <c r="AX21" s="50" t="str">
        <f aca="false">IF(AND(ISNUMBER(AX12),ISNUMBER(AX19),ISNUMBER(AX20)),ROUND((AX20-MAX(AX19,0))*10,1),"")</f>
        <v/>
      </c>
      <c r="AY21" s="50" t="str">
        <f aca="false">IF(AND(ISNUMBER(AY12),ISNUMBER(AY19),ISNUMBER(AY20)),ROUND((AY20-MAX(AY19,0))*10,1),"")</f>
        <v/>
      </c>
      <c r="AZ21" s="50" t="str">
        <f aca="false">IF(AND(ISNUMBER(AZ12),ISNUMBER(AZ19),ISNUMBER(AZ20)),ROUND((AZ20-MAX(AZ19,0))*10,1),"")</f>
        <v/>
      </c>
      <c r="BA21" s="50" t="str">
        <f aca="false">IF(AND(ISNUMBER(BA12),ISNUMBER(BA19),ISNUMBER(BA20)),ROUND((BA20-MAX(BA19,0))*10,1),"")</f>
        <v/>
      </c>
      <c r="BB21" s="50" t="str">
        <f aca="false">IF(AND(ISNUMBER(BB12),ISNUMBER(BB19),ISNUMBER(BB20)),ROUND((BB20-MAX(BB19,0))*10,1),"")</f>
        <v/>
      </c>
      <c r="BC21" s="50" t="str">
        <f aca="false">IF(AND(ISNUMBER(BC12),ISNUMBER(BC19),ISNUMBER(BC20)),ROUND((BC20-MAX(BC19,0))*10,1),"")</f>
        <v/>
      </c>
      <c r="BD21" s="50" t="str">
        <f aca="false">IF(AND(ISNUMBER(BD12),ISNUMBER(BD19),ISNUMBER(BD20)),ROUND((BD20-MAX(BD19,0))*10,1),"")</f>
        <v/>
      </c>
      <c r="BE21" s="50" t="n">
        <f aca="false">IF(AND(ISNUMBER(BE12),ISNUMBER(BE19),ISNUMBER(BE20)),ROUND((BE20-MAX(BE19,0))*10,1),"")</f>
        <v>7</v>
      </c>
      <c r="BF21" s="50" t="str">
        <f aca="false">IF(AND(ISNUMBER(BF12),ISNUMBER(BF19),ISNUMBER(BF20)),ROUND((BF20-MAX(BF19,0))*10,1),"")</f>
        <v/>
      </c>
      <c r="BG21" s="50" t="n">
        <f aca="false">IF(AND(ISNUMBER(BG12),ISNUMBER(BG19),ISNUMBER(BG20)),ROUND((BG20-MAX(BG19,0))*10,1),"")</f>
        <v>24</v>
      </c>
      <c r="BH21" s="50" t="str">
        <f aca="false">IF(AND(ISNUMBER(BH12),ISNUMBER(BH19),ISNUMBER(BH20)),ROUND((BH20-MAX(BH19,0))*10,1),"")</f>
        <v/>
      </c>
      <c r="BI21" s="50" t="str">
        <f aca="false">IF(AND(ISNUMBER(BI12),ISNUMBER(BI19),ISNUMBER(BI20)),ROUND((BI20-MAX(BI19,0))*10,1),"")</f>
        <v/>
      </c>
      <c r="BJ21" s="50" t="str">
        <f aca="false">IF(AND(ISNUMBER(BJ12),ISNUMBER(BJ19),ISNUMBER(BJ20)),ROUND((BJ20-MAX(BJ19,0))*10,1),"")</f>
        <v/>
      </c>
      <c r="BK21" s="50" t="n">
        <f aca="false">IF(AND(ISNUMBER(BK12),ISNUMBER(BK19),ISNUMBER(BK20)),ROUND((BK20-MAX(BK19,0))*10,1),"")</f>
        <v>18</v>
      </c>
      <c r="BL21" s="50" t="str">
        <f aca="false">IF(AND(ISNUMBER(BL12),ISNUMBER(BL19),ISNUMBER(BL20)),ROUND((BL20-MAX(BL19,0))*10,1),"")</f>
        <v/>
      </c>
      <c r="BM21" s="50" t="str">
        <f aca="false">IF(AND(ISNUMBER(BM12),ISNUMBER(BM19),ISNUMBER(BM20)),ROUND((BM20-MAX(BM19,0))*10,1),"")</f>
        <v/>
      </c>
      <c r="BN21" s="50" t="str">
        <f aca="false">IF(AND(ISNUMBER(BN12),ISNUMBER(BN19),ISNUMBER(BN20)),ROUND((BN20-MAX(BN19,0))*10,1),"")</f>
        <v/>
      </c>
      <c r="BO21" s="50" t="str">
        <f aca="false">IF(AND(ISNUMBER(BO12),ISNUMBER(BO19),ISNUMBER(BO20)),ROUND((BO20-MAX(BO19,0))*10,1),"")</f>
        <v/>
      </c>
      <c r="BP21" s="50" t="n">
        <f aca="false">IF(AND(ISNUMBER(BP12),ISNUMBER(BP19),ISNUMBER(BP20)),ROUND((BP20-MAX(BP19,0))*10,1),"")</f>
        <v>16</v>
      </c>
      <c r="BQ21" s="50" t="str">
        <f aca="false">IF(AND(ISNUMBER(BQ12),ISNUMBER(BQ19),ISNUMBER(BQ20)),ROUND((BQ20-MAX(BQ19,0))*10,1),"")</f>
        <v/>
      </c>
      <c r="BR21" s="50" t="str">
        <f aca="false">IF(AND(ISNUMBER(BR12),ISNUMBER(BR19),ISNUMBER(BR20)),ROUND((BR20-MAX(BR19,0))*10,1),"")</f>
        <v/>
      </c>
      <c r="BS21" s="50" t="str">
        <f aca="false">IF(AND(ISNUMBER(BS12),ISNUMBER(BS19),ISNUMBER(BS20)),ROUND((BS20-MAX(BS19,0))*10,1),"")</f>
        <v/>
      </c>
      <c r="BT21" s="50" t="str">
        <f aca="false">IF(AND(ISNUMBER(BT12),ISNUMBER(BT19),ISNUMBER(BT20)),ROUND((BT20-MAX(BT19,0))*10,1),"")</f>
        <v/>
      </c>
      <c r="BU21" s="50" t="str">
        <f aca="false">IF(AND(ISNUMBER(BU12),ISNUMBER(BU19),ISNUMBER(BU20)),ROUND((BU20-MAX(BU19,0))*10,1),"")</f>
        <v/>
      </c>
      <c r="BV21" s="50" t="str">
        <f aca="false">IF(AND(ISNUMBER(BV12),ISNUMBER(BV19),ISNUMBER(BV20)),ROUND((BV20-MAX(BV19,0))*10,1),"")</f>
        <v/>
      </c>
      <c r="BW21" s="50" t="n">
        <f aca="false">IF(AND(ISNUMBER(BW12),ISNUMBER(BW19),ISNUMBER(BW20)),ROUND((BW20-MAX(BW19,0))*10,1),"")</f>
        <v>27</v>
      </c>
      <c r="BX21" s="50" t="str">
        <f aca="false">IF(AND(ISNUMBER(BX12),ISNUMBER(BX19),ISNUMBER(BX20)),ROUND((BX20-MAX(BX19,0))*10,1),"")</f>
        <v/>
      </c>
      <c r="BY21" s="50" t="str">
        <f aca="false">IF(AND(ISNUMBER(BY12),ISNUMBER(BY19),ISNUMBER(BY20)),ROUND((BY20-MAX(BY19,0))*10,1),"")</f>
        <v/>
      </c>
      <c r="BZ21" s="50" t="str">
        <f aca="false">IF(AND(ISNUMBER(BZ12),ISNUMBER(BZ19),ISNUMBER(BZ20)),ROUND((BZ20-MAX(BZ19,0))*10,1),"")</f>
        <v/>
      </c>
      <c r="CA21" s="50" t="str">
        <f aca="false">IF(AND(ISNUMBER(CA12),ISNUMBER(CA19),ISNUMBER(CA20)),ROUND((CA20-MAX(CA19,0))*10,1),"")</f>
        <v/>
      </c>
      <c r="CB21" s="50" t="str">
        <f aca="false">IF(AND(ISNUMBER(CB12),ISNUMBER(CB19),ISNUMBER(CB20)),ROUND((CB20-MAX(CB19,0))*10,1),"")</f>
        <v/>
      </c>
      <c r="CC21" s="50" t="str">
        <f aca="false">IF(AND(ISNUMBER(CC12),ISNUMBER(CC19),ISNUMBER(CC20)),ROUND((CC20-MAX(CC19,0))*10,1),"")</f>
        <v/>
      </c>
      <c r="CD21" s="50" t="n">
        <f aca="false">IF(AND(ISNUMBER(CD12),ISNUMBER(CD19),ISNUMBER(CD20)),ROUND((CD20-MAX(CD19,0))*10,1),"")</f>
        <v>23</v>
      </c>
      <c r="CE21" s="50" t="str">
        <f aca="false">IF(AND(ISNUMBER(CE12),ISNUMBER(CE19),ISNUMBER(CE20)),ROUND((CE20-MAX(CE19,0))*10,1),"")</f>
        <v/>
      </c>
      <c r="CF21" s="50" t="str">
        <f aca="false">IF(AND(ISNUMBER(CF12),ISNUMBER(CF19),ISNUMBER(CF20)),ROUND((CF20-MAX(CF19,0))*10,1),"")</f>
        <v/>
      </c>
      <c r="CG21" s="50" t="str">
        <f aca="false">IF(AND(ISNUMBER(CG12),ISNUMBER(CG19),ISNUMBER(CG20)),ROUND((CG20-MAX(CG19,0))*10,1),"")</f>
        <v/>
      </c>
      <c r="CH21" s="50" t="n">
        <f aca="false">IF(AND(ISNUMBER(CH12),ISNUMBER(CH19),ISNUMBER(CH20)),ROUND((CH20-MAX(CH19,0))*10,1),"")</f>
        <v>29</v>
      </c>
      <c r="CI21" s="50" t="str">
        <f aca="false">IF(AND(ISNUMBER(CI12),ISNUMBER(CI19),ISNUMBER(CI20)),ROUND((CI20-MAX(CI19,0))*10,1),"")</f>
        <v/>
      </c>
      <c r="CJ21" s="50" t="str">
        <f aca="false">IF(AND(ISNUMBER(CJ12),ISNUMBER(CJ19),ISNUMBER(CJ20)),ROUND((CJ20-MAX(CJ19,0))*10,1),"")</f>
        <v/>
      </c>
      <c r="CK21" s="50" t="str">
        <f aca="false">IF(AND(ISNUMBER(CK12),ISNUMBER(CK19),ISNUMBER(CK20)),ROUND((CK20-MAX(CK19,0))*10,1),"")</f>
        <v/>
      </c>
      <c r="CL21" s="50" t="str">
        <f aca="false">IF(AND(ISNUMBER(CL12),ISNUMBER(CL19),ISNUMBER(CL20)),ROUND((CL20-MAX(CL19,0))*10,1),"")</f>
        <v/>
      </c>
      <c r="CM21" s="50" t="str">
        <f aca="false">IF(AND(ISNUMBER(CM12),ISNUMBER(CM19),ISNUMBER(CM20)),ROUND((CM20-MAX(CM19,0))*10,1),"")</f>
        <v/>
      </c>
      <c r="CN21" s="50" t="str">
        <f aca="false">IF(AND(ISNUMBER(CN12),ISNUMBER(CN19),ISNUMBER(CN20)),ROUND((CN20-MAX(CN19,0))*10,1),"")</f>
        <v/>
      </c>
      <c r="CO21" s="50" t="str">
        <f aca="false">IF(AND(ISNUMBER(CO12),ISNUMBER(CO19),ISNUMBER(CO20)),ROUND((CO20-MAX(CO19,0))*10,1),"")</f>
        <v/>
      </c>
      <c r="CP21" s="50" t="str">
        <f aca="false">IF(AND(ISNUMBER(CP12),ISNUMBER(CP19),ISNUMBER(CP20)),ROUND((CP20-MAX(CP19,0))*10,1),"")</f>
        <v/>
      </c>
      <c r="CQ21" s="50" t="str">
        <f aca="false">IF(AND(ISNUMBER(CQ12),ISNUMBER(CQ19),ISNUMBER(CQ20)),ROUND((CQ20-MAX(CQ19,0))*10,1),"")</f>
        <v/>
      </c>
      <c r="CR21" s="50" t="str">
        <f aca="false">IF(AND(ISNUMBER(CR12),ISNUMBER(CR19),ISNUMBER(CR20)),ROUND((CR20-MAX(CR19,0))*10,1),"")</f>
        <v/>
      </c>
      <c r="CS21" s="50" t="str">
        <f aca="false">IF(AND(ISNUMBER(CS12),ISNUMBER(CS19),ISNUMBER(CS20)),ROUND((CS20-MAX(CS19,0))*10,1),"")</f>
        <v/>
      </c>
      <c r="CT21" s="50" t="str">
        <f aca="false">IF(AND(ISNUMBER(CT12),ISNUMBER(CT19),ISNUMBER(CT20)),ROUND((CT20-MAX(CT19,0))*10,1),"")</f>
        <v/>
      </c>
      <c r="CU21" s="50" t="str">
        <f aca="false">IF(AND(ISNUMBER(CU12),ISNUMBER(CU19),ISNUMBER(CU20)),ROUND((CU20-MAX(CU19,0))*10,1),"")</f>
        <v/>
      </c>
      <c r="CV21" s="50" t="str">
        <f aca="false">IF(AND(ISNUMBER(CV12),ISNUMBER(CV19),ISNUMBER(CV20)),ROUND((CV20-MAX(CV19,0))*10,1),"")</f>
        <v/>
      </c>
      <c r="CW21" s="50" t="n">
        <f aca="false">IF(AND(ISNUMBER(CW12),ISNUMBER(CW19),ISNUMBER(CW20)),ROUND((CW20-MAX(CW19,0))*10,1),"")</f>
        <v>7</v>
      </c>
      <c r="CX21" s="50" t="str">
        <f aca="false">IF(AND(ISNUMBER(CX12),ISNUMBER(CX19),ISNUMBER(CX20)),ROUND((CX20-MAX(CX19,0))*10,1),"")</f>
        <v/>
      </c>
      <c r="CY21" s="50" t="str">
        <f aca="false">IF(AND(ISNUMBER(CY12),ISNUMBER(CY19),ISNUMBER(CY20)),ROUND((CY20-MAX(CY19,0))*10,1),"")</f>
        <v/>
      </c>
      <c r="CZ21" s="50" t="n">
        <f aca="false">IF(AND(ISNUMBER(CZ12),ISNUMBER(CZ19),ISNUMBER(CZ20)),ROUND((CZ20-MAX(CZ19,0))*10,1),"")</f>
        <v>17</v>
      </c>
      <c r="DA21" s="50" t="str">
        <f aca="false">IF(AND(ISNUMBER(DA12),ISNUMBER(DA19),ISNUMBER(DA20)),ROUND((DA20-MAX(DA19,0))*10,1),"")</f>
        <v/>
      </c>
      <c r="DB21" s="50" t="str">
        <f aca="false">IF(AND(ISNUMBER(DB12),ISNUMBER(DB19),ISNUMBER(DB20)),ROUND((DB20-MAX(DB19,0))*10,1),"")</f>
        <v/>
      </c>
      <c r="DC21" s="50" t="n">
        <f aca="false">IF(AND(ISNUMBER(DC12),ISNUMBER(DC19),ISNUMBER(DC20)),ROUND((DC20-MAX(DC19,0))*10,1),"")</f>
        <v>29</v>
      </c>
      <c r="DD21" s="50" t="str">
        <f aca="false">IF(AND(ISNUMBER(DD12),ISNUMBER(DD19),ISNUMBER(DD20)),ROUND((DD20-MAX(DD19,0))*10,1),"")</f>
        <v/>
      </c>
      <c r="DE21" s="50" t="str">
        <f aca="false">IF(AND(ISNUMBER(DE12),ISNUMBER(DE19),ISNUMBER(DE20)),ROUND((DE20-MAX(DE19,0))*10,1),"")</f>
        <v/>
      </c>
      <c r="DF21" s="50" t="str">
        <f aca="false">IF(AND(ISNUMBER(DF12),ISNUMBER(DF19),ISNUMBER(DF20)),ROUND((DF20-MAX(DF19,0))*10,1),"")</f>
        <v/>
      </c>
      <c r="DG21" s="50" t="str">
        <f aca="false">IF(AND(ISNUMBER(DG12),ISNUMBER(DG19),ISNUMBER(DG20)),ROUND((DG20-MAX(DG19,0))*10,1),"")</f>
        <v/>
      </c>
      <c r="DH21" s="50" t="str">
        <f aca="false">IF(AND(ISNUMBER(DH12),ISNUMBER(DH19),ISNUMBER(DH20)),ROUND((DH20-MAX(DH19,0))*10,1),"")</f>
        <v/>
      </c>
      <c r="DI21" s="50" t="n">
        <f aca="false">IF(AND(ISNUMBER(DI12),ISNUMBER(DI19),ISNUMBER(DI20)),ROUND((DI20-MAX(DI19,0))*10,1),"")</f>
        <v>23</v>
      </c>
      <c r="DJ21" s="50" t="n">
        <f aca="false">IF(AND(ISNUMBER(DJ12),ISNUMBER(DJ19),ISNUMBER(DJ20)),ROUND((DJ20-MAX(DJ19,0))*10,1),"")</f>
        <v>19</v>
      </c>
      <c r="DK21" s="50" t="str">
        <f aca="false">IF(AND(ISNUMBER(DK12),ISNUMBER(DK19),ISNUMBER(DK20)),ROUND((DK20-MAX(DK19,0))*10,1),"")</f>
        <v/>
      </c>
      <c r="DL21" s="50" t="str">
        <f aca="false">IF(AND(ISNUMBER(DL12),ISNUMBER(DL19),ISNUMBER(DL20)),ROUND((DL20-MAX(DL19,0))*10,1),"")</f>
        <v/>
      </c>
      <c r="DM21" s="50" t="n">
        <f aca="false">IF(AND(ISNUMBER(DM12),ISNUMBER(DM19),ISNUMBER(DM20)),ROUND((DM20-MAX(DM19,0))*10,1),"")</f>
        <v>8</v>
      </c>
      <c r="DN21" s="50" t="str">
        <f aca="false">IF(AND(ISNUMBER(DN12),ISNUMBER(DN19),ISNUMBER(DN20)),ROUND((DN20-MAX(DN19,0))*10,1),"")</f>
        <v/>
      </c>
      <c r="DO21" s="50" t="n">
        <f aca="false">IF(AND(ISNUMBER(DO12),ISNUMBER(DO19),ISNUMBER(DO20)),ROUND((DO20-MAX(DO19,0))*10,1),"")</f>
        <v>19</v>
      </c>
      <c r="DP21" s="50" t="str">
        <f aca="false">IF(AND(ISNUMBER(DP12),ISNUMBER(DP19),ISNUMBER(DP20)),ROUND((DP20-MAX(DP19,0))*10,1),"")</f>
        <v/>
      </c>
      <c r="DQ21" s="50" t="str">
        <f aca="false">IF(AND(ISNUMBER(DQ12),ISNUMBER(DQ19),ISNUMBER(DQ20)),ROUND((DQ20-MAX(DQ19,0))*10,1),"")</f>
        <v/>
      </c>
      <c r="DR21" s="50" t="n">
        <f aca="false">IF(AND(ISNUMBER(DR12),ISNUMBER(DR19),ISNUMBER(DR20)),ROUND((DR20-MAX(DR19,0))*10,1),"")</f>
        <v>7</v>
      </c>
      <c r="DS21" s="50" t="str">
        <f aca="false">IF(AND(ISNUMBER(DS12),ISNUMBER(DS19),ISNUMBER(DS20)),ROUND((DS20-MAX(DS19,0))*10,1),"")</f>
        <v/>
      </c>
      <c r="DT21" s="50" t="n">
        <f aca="false">IF(AND(ISNUMBER(DT12),ISNUMBER(DT19),ISNUMBER(DT20)),ROUND((DT20-MAX(DT19,0))*10,1),"")</f>
        <v>19</v>
      </c>
      <c r="DU21" s="50" t="str">
        <f aca="false">IF(AND(ISNUMBER(DU12),ISNUMBER(DU19),ISNUMBER(DU20)),ROUND((DU20-MAX(DU19,0))*10,1),"")</f>
        <v/>
      </c>
      <c r="DV21" s="50" t="str">
        <f aca="false">IF(AND(ISNUMBER(DV12),ISNUMBER(DV19),ISNUMBER(DV20)),ROUND((DV20-MAX(DV19,0))*10,1),"")</f>
        <v/>
      </c>
      <c r="DW21" s="50" t="n">
        <f aca="false">IF(AND(ISNUMBER(DW12),ISNUMBER(DW19),ISNUMBER(DW20)),ROUND((DW20-MAX(DW19,0))*10,1),"")</f>
        <v>14</v>
      </c>
      <c r="DX21" s="50" t="str">
        <f aca="false">IF(AND(ISNUMBER(DX12),ISNUMBER(DX19),ISNUMBER(DX20)),ROUND((DX20-MAX(DX19,0))*10,1),"")</f>
        <v/>
      </c>
      <c r="DY21" s="50" t="str">
        <f aca="false">IF(AND(ISNUMBER(DY12),ISNUMBER(DY19),ISNUMBER(DY20)),ROUND((DY20-MAX(DY19,0))*10,1),"")</f>
        <v/>
      </c>
      <c r="DZ21" s="50" t="str">
        <f aca="false">IF(AND(ISNUMBER(DZ12),ISNUMBER(DZ19),ISNUMBER(DZ20)),ROUND((DZ20-MAX(DZ19,0))*10,1),"")</f>
        <v/>
      </c>
      <c r="EA21" s="50" t="n">
        <f aca="false">IF(AND(ISNUMBER(EA12),ISNUMBER(EA19),ISNUMBER(EA20)),ROUND((EA20-MAX(EA19,0))*10,1),"")</f>
        <v>20</v>
      </c>
      <c r="EB21" s="50" t="str">
        <f aca="false">IF(AND(ISNUMBER(EB12),ISNUMBER(EB19),ISNUMBER(EB20)),ROUND((EB20-MAX(EB19,0))*10,1),"")</f>
        <v/>
      </c>
      <c r="EC21" s="50" t="str">
        <f aca="false">IF(AND(ISNUMBER(EC12),ISNUMBER(EC19),ISNUMBER(EC20)),ROUND((EC20-MAX(EC19,0))*10,1),"")</f>
        <v/>
      </c>
      <c r="ED21" s="50" t="str">
        <f aca="false">IF(AND(ISNUMBER(ED12),ISNUMBER(ED19),ISNUMBER(ED20)),ROUND((ED20-MAX(ED19,0))*10,1),"")</f>
        <v/>
      </c>
      <c r="EE21" s="50" t="str">
        <f aca="false">IF(AND(ISNUMBER(EE12),ISNUMBER(EE19),ISNUMBER(EE20)),ROUND((EE20-MAX(EE19,0))*10,1),"")</f>
        <v/>
      </c>
      <c r="EF21" s="50" t="str">
        <f aca="false">IF(AND(ISNUMBER(EF12),ISNUMBER(EF19),ISNUMBER(EF20)),ROUND((EF20-MAX(EF19,0))*10,1),"")</f>
        <v/>
      </c>
      <c r="EG21" s="50" t="str">
        <f aca="false">IF(AND(ISNUMBER(EG12),ISNUMBER(EG19),ISNUMBER(EG20)),ROUND((EG20-MAX(EG19,0))*10,1),"")</f>
        <v/>
      </c>
      <c r="EH21" s="50" t="n">
        <f aca="false">IF(AND(ISNUMBER(EH12),ISNUMBER(EH19),ISNUMBER(EH20)),ROUND((EH20-MAX(EH19,0))*10,1),"")</f>
        <v>13</v>
      </c>
      <c r="EI21" s="50" t="str">
        <f aca="false">IF(AND(ISNUMBER(EI12),ISNUMBER(EI19),ISNUMBER(EI20)),ROUND((EI20-MAX(EI19,0))*10,1),"")</f>
        <v/>
      </c>
      <c r="EJ21" s="50" t="n">
        <f aca="false">IF(AND(ISNUMBER(EJ12),ISNUMBER(EJ19),ISNUMBER(EJ20)),ROUND((EJ20-MAX(EJ19,0))*10,1),"")</f>
        <v>24</v>
      </c>
      <c r="EK21" s="50" t="str">
        <f aca="false">IF(AND(ISNUMBER(EK12),ISNUMBER(EK19),ISNUMBER(EK20)),ROUND((EK20-MAX(EK19,0))*10,1),"")</f>
        <v/>
      </c>
      <c r="EL21" s="50" t="str">
        <f aca="false">IF(AND(ISNUMBER(EL12),ISNUMBER(EL19),ISNUMBER(EL20)),ROUND((EL20-MAX(EL19,0))*10,1),"")</f>
        <v/>
      </c>
      <c r="EM21" s="50" t="str">
        <f aca="false">IF(AND(ISNUMBER(EM12),ISNUMBER(EM19),ISNUMBER(EM20)),ROUND((EM20-MAX(EM19,0))*10,1),"")</f>
        <v/>
      </c>
      <c r="EN21" s="50" t="str">
        <f aca="false">IF(AND(ISNUMBER(EN12),ISNUMBER(EN19),ISNUMBER(EN20)),ROUND((EN20-MAX(EN19,0))*10,1),"")</f>
        <v/>
      </c>
      <c r="EO21" s="50" t="str">
        <f aca="false">IF(AND(ISNUMBER(EO12),ISNUMBER(EO19),ISNUMBER(EO20)),ROUND((EO20-MAX(EO19,0))*10,1),"")</f>
        <v/>
      </c>
      <c r="EP21" s="50" t="n">
        <f aca="false">IF(AND(ISNUMBER(EP12),ISNUMBER(EP19),ISNUMBER(EP20)),ROUND((EP20-MAX(EP19,0))*10,1),"")</f>
        <v>14</v>
      </c>
      <c r="EQ21" s="50" t="str">
        <f aca="false">IF(AND(ISNUMBER(EQ12),ISNUMBER(EQ19),ISNUMBER(EQ20)),ROUND((EQ20-MAX(EQ19,0))*10,1),"")</f>
        <v/>
      </c>
      <c r="ER21" s="50" t="str">
        <f aca="false">IF(AND(ISNUMBER(ER12),ISNUMBER(ER19),ISNUMBER(ER20)),ROUND((ER20-MAX(ER19,0))*10,1),"")</f>
        <v/>
      </c>
      <c r="ES21" s="50" t="str">
        <f aca="false">IF(AND(ISNUMBER(ES12),ISNUMBER(ES19),ISNUMBER(ES20)),ROUND((ES20-MAX(ES19,0))*10,1),"")</f>
        <v/>
      </c>
      <c r="ET21" s="50" t="str">
        <f aca="false">IF(AND(ISNUMBER(ET12),ISNUMBER(ET19),ISNUMBER(ET20)),ROUND((ET20-MAX(ET19,0))*10,1),"")</f>
        <v/>
      </c>
      <c r="EU21" s="50" t="str">
        <f aca="false">IF(AND(ISNUMBER(EU12),ISNUMBER(EU19),ISNUMBER(EU20)),ROUND((EU20-MAX(EU19,0))*10,1),"")</f>
        <v/>
      </c>
      <c r="EV21" s="50" t="str">
        <f aca="false">IF(AND(ISNUMBER(EV12),ISNUMBER(EV19),ISNUMBER(EV20)),ROUND((EV20-MAX(EV19,0))*10,1),"")</f>
        <v/>
      </c>
      <c r="EW21" s="50" t="str">
        <f aca="false">IF(AND(ISNUMBER(EW12),ISNUMBER(EW19),ISNUMBER(EW20)),ROUND((EW20-MAX(EW19,0))*10,1),"")</f>
        <v/>
      </c>
      <c r="EX21" s="50" t="str">
        <f aca="false">IF(AND(ISNUMBER(EX12),ISNUMBER(EX19),ISNUMBER(EX20)),ROUND((EX20-MAX(EX19,0))*10,1),"")</f>
        <v/>
      </c>
      <c r="EY21" s="50" t="str">
        <f aca="false">IF(AND(ISNUMBER(EY12),ISNUMBER(EY19),ISNUMBER(EY20)),ROUND((EY20-MAX(EY19,0))*10,1),"")</f>
        <v/>
      </c>
      <c r="EZ21" s="50" t="str">
        <f aca="false">IF(AND(ISNUMBER(EZ12),ISNUMBER(EZ19),ISNUMBER(EZ20)),ROUND((EZ20-MAX(EZ19,0))*10,1),"")</f>
        <v/>
      </c>
      <c r="FA21" s="50" t="str">
        <f aca="false">IF(AND(ISNUMBER(FA12),ISNUMBER(FA19),ISNUMBER(FA20)),ROUND((FA20-MAX(FA19,0))*10,1),"")</f>
        <v/>
      </c>
      <c r="FB21" s="50" t="str">
        <f aca="false">IF(AND(ISNUMBER(FB12),ISNUMBER(FB19),ISNUMBER(FB20)),ROUND((FB20-MAX(FB19,0))*10,1),"")</f>
        <v/>
      </c>
      <c r="FC21" s="50" t="str">
        <f aca="false">IF(AND(ISNUMBER(FC12),ISNUMBER(FC19),ISNUMBER(FC20)),ROUND((FC20-MAX(FC19,0))*10,1),"")</f>
        <v/>
      </c>
      <c r="FD21" s="50" t="str">
        <f aca="false">IF(AND(ISNUMBER(FD12),ISNUMBER(FD19),ISNUMBER(FD20)),ROUND((FD20-MAX(FD19,0))*10,1),"")</f>
        <v/>
      </c>
      <c r="FE21" s="50" t="str">
        <f aca="false">IF(AND(ISNUMBER(FE12),ISNUMBER(FE19),ISNUMBER(FE20)),ROUND((FE20-MAX(FE19,0))*10,1),"")</f>
        <v/>
      </c>
      <c r="FF21" s="50" t="str">
        <f aca="false">IF(AND(ISNUMBER(FF12),ISNUMBER(FF19),ISNUMBER(FF20)),ROUND((FF20-MAX(FF19,0))*10,1),"")</f>
        <v/>
      </c>
      <c r="FG21" s="50" t="str">
        <f aca="false">IF(AND(ISNUMBER(FG12),ISNUMBER(FG19),ISNUMBER(FG20)),ROUND((FG20-MAX(FG19,0))*10,1),"")</f>
        <v/>
      </c>
      <c r="FH21" s="50" t="str">
        <f aca="false">IF(AND(ISNUMBER(FH12),ISNUMBER(FH19),ISNUMBER(FH20)),ROUND((FH20-MAX(FH19,0))*10,1),"")</f>
        <v/>
      </c>
      <c r="FI21" s="50" t="str">
        <f aca="false">IF(AND(ISNUMBER(FI12),ISNUMBER(FI19),ISNUMBER(FI20)),ROUND((FI20-MAX(FI19,0))*10,1),"")</f>
        <v/>
      </c>
      <c r="FJ21" s="50" t="str">
        <f aca="false">IF(AND(ISNUMBER(FJ12),ISNUMBER(FJ19),ISNUMBER(FJ20)),ROUND((FJ20-MAX(FJ19,0))*10,1),"")</f>
        <v/>
      </c>
      <c r="FK21" s="50" t="str">
        <f aca="false">IF(AND(ISNUMBER(FK12),ISNUMBER(FK19),ISNUMBER(FK20)),ROUND((FK20-MAX(FK19,0))*10,1),"")</f>
        <v/>
      </c>
      <c r="FL21" s="50" t="str">
        <f aca="false">IF(AND(ISNUMBER(FL12),ISNUMBER(FL19),ISNUMBER(FL20)),ROUND((FL20-MAX(FL19,0))*10,1),"")</f>
        <v/>
      </c>
      <c r="FM21" s="50" t="str">
        <f aca="false">IF(AND(ISNUMBER(FM12),ISNUMBER(FM19),ISNUMBER(FM20)),ROUND((FM20-MAX(FM19,0))*10,1),"")</f>
        <v/>
      </c>
      <c r="FN21" s="50" t="str">
        <f aca="false">IF(AND(ISNUMBER(FN12),ISNUMBER(FN19),ISNUMBER(FN20)),ROUND((FN20-MAX(FN19,0))*10,1),"")</f>
        <v/>
      </c>
      <c r="FO21" s="50" t="str">
        <f aca="false">IF(AND(ISNUMBER(FO12),ISNUMBER(FO19),ISNUMBER(FO20)),ROUND((FO20-MAX(FO19,0))*10,1),"")</f>
        <v/>
      </c>
      <c r="FP21" s="50" t="str">
        <f aca="false">IF(AND(ISNUMBER(FP12),ISNUMBER(FP19),ISNUMBER(FP20)),ROUND((FP20-MAX(FP19,0))*10,1),"")</f>
        <v/>
      </c>
      <c r="FQ21" s="50" t="str">
        <f aca="false">IF(AND(ISNUMBER(FQ12),ISNUMBER(FQ19),ISNUMBER(FQ20)),ROUND((FQ20-MAX(FQ19,0))*10,1),"")</f>
        <v/>
      </c>
    </row>
    <row r="22" customFormat="false" ht="15" hidden="false" customHeight="false" outlineLevel="0" collapsed="false">
      <c r="A22" s="31" t="s">
        <v>328</v>
      </c>
      <c r="B22" s="17" t="s">
        <v>421</v>
      </c>
      <c r="C22" s="48" t="n">
        <f aca="false">IF(COUNT($D$22:$FQ$22)=0,"",MAX($D$22:$FQ$22))</f>
        <v>377</v>
      </c>
      <c r="D22" s="50" t="str">
        <f aca="false">IF(D13="","",ROUND(SUM($D$21:D21),1))</f>
        <v/>
      </c>
      <c r="E22" s="50" t="str">
        <f aca="false">IF(E13="","",ROUND(SUM($D$21:E21),1))</f>
        <v/>
      </c>
      <c r="F22" s="50" t="str">
        <f aca="false">IF(F13="","",ROUND(SUM($D$21:F21),1))</f>
        <v/>
      </c>
      <c r="G22" s="50" t="str">
        <f aca="false">IF(G13="","",ROUND(SUM($D$21:G21),1))</f>
        <v/>
      </c>
      <c r="H22" s="50" t="str">
        <f aca="false">IF(H13="","",ROUND(SUM($D$21:H21),1))</f>
        <v/>
      </c>
      <c r="I22" s="50" t="str">
        <f aca="false">IF(I13="","",ROUND(SUM($D$21:I21),1))</f>
        <v/>
      </c>
      <c r="J22" s="50" t="str">
        <f aca="false">IF(J13="","",ROUND(SUM($D$21:J21),1))</f>
        <v/>
      </c>
      <c r="K22" s="50" t="str">
        <f aca="false">IF(K13="","",ROUND(SUM($D$21:K21),1))</f>
        <v/>
      </c>
      <c r="L22" s="50" t="str">
        <f aca="false">IF(L13="","",ROUND(SUM($D$21:L21),1))</f>
        <v/>
      </c>
      <c r="M22" s="50" t="str">
        <f aca="false">IF(M13="","",ROUND(SUM($D$21:M21),1))</f>
        <v/>
      </c>
      <c r="N22" s="50" t="str">
        <f aca="false">IF(N13="","",ROUND(SUM($D$21:N21),1))</f>
        <v/>
      </c>
      <c r="O22" s="50" t="str">
        <f aca="false">IF(O13="","",ROUND(SUM($D$21:O21),1))</f>
        <v/>
      </c>
      <c r="P22" s="50" t="str">
        <f aca="false">IF(P13="","",ROUND(SUM($D$21:P21),1))</f>
        <v/>
      </c>
      <c r="Q22" s="50" t="str">
        <f aca="false">IF(Q13="","",ROUND(SUM($D$21:Q21),1))</f>
        <v/>
      </c>
      <c r="R22" s="50" t="str">
        <f aca="false">IF(R13="","",ROUND(SUM($D$21:R21),1))</f>
        <v/>
      </c>
      <c r="S22" s="50" t="str">
        <f aca="false">IF(S13="","",ROUND(SUM($D$21:S21),1))</f>
        <v/>
      </c>
      <c r="T22" s="50" t="str">
        <f aca="false">IF(T13="","",ROUND(SUM($D$21:T21),1))</f>
        <v/>
      </c>
      <c r="U22" s="50" t="str">
        <f aca="false">IF(U13="","",ROUND(SUM($D$21:U21),1))</f>
        <v/>
      </c>
      <c r="V22" s="50" t="str">
        <f aca="false">IF(V13="","",ROUND(SUM($D$21:V21),1))</f>
        <v/>
      </c>
      <c r="W22" s="50" t="str">
        <f aca="false">IF(W13="","",ROUND(SUM($D$21:W21),1))</f>
        <v/>
      </c>
      <c r="X22" s="50" t="str">
        <f aca="false">IF(X13="","",ROUND(SUM($D$21:X21),1))</f>
        <v/>
      </c>
      <c r="Y22" s="50" t="str">
        <f aca="false">IF(Y13="","",ROUND(SUM($D$21:Y21),1))</f>
        <v/>
      </c>
      <c r="Z22" s="50" t="str">
        <f aca="false">IF(Z13="","",ROUND(SUM($D$21:Z21),1))</f>
        <v/>
      </c>
      <c r="AA22" s="50" t="str">
        <f aca="false">IF(AA13="","",ROUND(SUM($D$21:AA21),1))</f>
        <v/>
      </c>
      <c r="AB22" s="50" t="str">
        <f aca="false">IF(AB13="","",ROUND(SUM($D$21:AB21),1))</f>
        <v/>
      </c>
      <c r="AC22" s="50" t="str">
        <f aca="false">IF(AC13="","",ROUND(SUM($D$21:AC21),1))</f>
        <v/>
      </c>
      <c r="AD22" s="50" t="str">
        <f aca="false">IF(AD13="","",ROUND(SUM($D$21:AD21),1))</f>
        <v/>
      </c>
      <c r="AE22" s="50" t="str">
        <f aca="false">IF(AE13="","",ROUND(SUM($D$21:AE21),1))</f>
        <v/>
      </c>
      <c r="AF22" s="50" t="str">
        <f aca="false">IF(AF13="","",ROUND(SUM($D$21:AF21),1))</f>
        <v/>
      </c>
      <c r="AG22" s="50" t="str">
        <f aca="false">IF(AG13="","",ROUND(SUM($D$21:AG21),1))</f>
        <v/>
      </c>
      <c r="AH22" s="50" t="str">
        <f aca="false">IF(AH13="","",ROUND(SUM($D$21:AH21),1))</f>
        <v/>
      </c>
      <c r="AI22" s="50" t="str">
        <f aca="false">IF(AI13="","",ROUND(SUM($D$21:AI21),1))</f>
        <v/>
      </c>
      <c r="AJ22" s="50" t="str">
        <f aca="false">IF(AJ13="","",ROUND(SUM($D$21:AJ21),1))</f>
        <v/>
      </c>
      <c r="AK22" s="50" t="str">
        <f aca="false">IF(AK13="","",ROUND(SUM($D$21:AK21),1))</f>
        <v/>
      </c>
      <c r="AL22" s="50" t="str">
        <f aca="false">IF(AL13="","",ROUND(SUM($D$21:AL21),1))</f>
        <v/>
      </c>
      <c r="AM22" s="50" t="str">
        <f aca="false">IF(AM13="","",ROUND(SUM($D$21:AM21),1))</f>
        <v/>
      </c>
      <c r="AN22" s="50" t="str">
        <f aca="false">IF(AN13="","",ROUND(SUM($D$21:AN21),1))</f>
        <v/>
      </c>
      <c r="AO22" s="50" t="str">
        <f aca="false">IF(AO13="","",ROUND(SUM($D$21:AO21),1))</f>
        <v/>
      </c>
      <c r="AP22" s="50" t="str">
        <f aca="false">IF(AP13="","",ROUND(SUM($D$21:AP21),1))</f>
        <v/>
      </c>
      <c r="AQ22" s="50" t="str">
        <f aca="false">IF(AQ13="","",ROUND(SUM($D$21:AQ21),1))</f>
        <v/>
      </c>
      <c r="AR22" s="50" t="str">
        <f aca="false">IF(AR13="","",ROUND(SUM($D$21:AR21),1))</f>
        <v/>
      </c>
      <c r="AS22" s="50" t="str">
        <f aca="false">IF(AS13="","",ROUND(SUM($D$21:AS21),1))</f>
        <v/>
      </c>
      <c r="AT22" s="50" t="str">
        <f aca="false">IF(AT13="","",ROUND(SUM($D$21:AT21),1))</f>
        <v/>
      </c>
      <c r="AU22" s="50" t="str">
        <f aca="false">IF(AU13="","",ROUND(SUM($D$21:AU21),1))</f>
        <v/>
      </c>
      <c r="AV22" s="50" t="str">
        <f aca="false">IF(AV13="","",ROUND(SUM($D$21:AV21),1))</f>
        <v/>
      </c>
      <c r="AW22" s="50" t="str">
        <f aca="false">IF(AW13="","",ROUND(SUM($D$21:AW21),1))</f>
        <v/>
      </c>
      <c r="AX22" s="50" t="str">
        <f aca="false">IF(AX13="","",ROUND(SUM($D$21:AX21),1))</f>
        <v/>
      </c>
      <c r="AY22" s="50" t="str">
        <f aca="false">IF(AY13="","",ROUND(SUM($D$21:AY21),1))</f>
        <v/>
      </c>
      <c r="AZ22" s="50" t="str">
        <f aca="false">IF(AZ13="","",ROUND(SUM($D$21:AZ21),1))</f>
        <v/>
      </c>
      <c r="BA22" s="50" t="str">
        <f aca="false">IF(BA13="","",ROUND(SUM($D$21:BA21),1))</f>
        <v/>
      </c>
      <c r="BB22" s="50" t="str">
        <f aca="false">IF(BB13="","",ROUND(SUM($D$21:BB21),1))</f>
        <v/>
      </c>
      <c r="BC22" s="50" t="str">
        <f aca="false">IF(BC13="","",ROUND(SUM($D$21:BC21),1))</f>
        <v/>
      </c>
      <c r="BD22" s="50" t="n">
        <f aca="false">IF(BD13="","",ROUND(SUM($D$21:BD21),1))</f>
        <v>0</v>
      </c>
      <c r="BE22" s="50" t="n">
        <f aca="false">IF(BE13="","",ROUND(SUM($D$21:BE21),1))</f>
        <v>7</v>
      </c>
      <c r="BF22" s="50" t="n">
        <f aca="false">IF(BF13="","",ROUND(SUM($D$21:BF21),1))</f>
        <v>7</v>
      </c>
      <c r="BG22" s="50" t="n">
        <f aca="false">IF(BG13="","",ROUND(SUM($D$21:BG21),1))</f>
        <v>31</v>
      </c>
      <c r="BH22" s="50" t="n">
        <f aca="false">IF(BH13="","",ROUND(SUM($D$21:BH21),1))</f>
        <v>31</v>
      </c>
      <c r="BI22" s="50" t="n">
        <f aca="false">IF(BI13="","",ROUND(SUM($D$21:BI21),1))</f>
        <v>31</v>
      </c>
      <c r="BJ22" s="50" t="n">
        <f aca="false">IF(BJ13="","",ROUND(SUM($D$21:BJ21),1))</f>
        <v>31</v>
      </c>
      <c r="BK22" s="50" t="n">
        <f aca="false">IF(BK13="","",ROUND(SUM($D$21:BK21),1))</f>
        <v>49</v>
      </c>
      <c r="BL22" s="50" t="n">
        <f aca="false">IF(BL13="","",ROUND(SUM($D$21:BL21),1))</f>
        <v>49</v>
      </c>
      <c r="BM22" s="50" t="n">
        <f aca="false">IF(BM13="","",ROUND(SUM($D$21:BM21),1))</f>
        <v>49</v>
      </c>
      <c r="BN22" s="50" t="n">
        <f aca="false">IF(BN13="","",ROUND(SUM($D$21:BN21),1))</f>
        <v>49</v>
      </c>
      <c r="BO22" s="50" t="n">
        <f aca="false">IF(BO13="","",ROUND(SUM($D$21:BO21),1))</f>
        <v>49</v>
      </c>
      <c r="BP22" s="50" t="n">
        <f aca="false">IF(BP13="","",ROUND(SUM($D$21:BP21),1))</f>
        <v>65</v>
      </c>
      <c r="BQ22" s="50" t="n">
        <f aca="false">IF(BQ13="","",ROUND(SUM($D$21:BQ21),1))</f>
        <v>65</v>
      </c>
      <c r="BR22" s="50" t="n">
        <f aca="false">IF(BR13="","",ROUND(SUM($D$21:BR21),1))</f>
        <v>65</v>
      </c>
      <c r="BS22" s="50" t="n">
        <f aca="false">IF(BS13="","",ROUND(SUM($D$21:BS21),1))</f>
        <v>65</v>
      </c>
      <c r="BT22" s="50" t="n">
        <f aca="false">IF(BT13="","",ROUND(SUM($D$21:BT21),1))</f>
        <v>65</v>
      </c>
      <c r="BU22" s="50" t="n">
        <f aca="false">IF(BU13="","",ROUND(SUM($D$21:BU21),1))</f>
        <v>65</v>
      </c>
      <c r="BV22" s="50" t="n">
        <f aca="false">IF(BV13="","",ROUND(SUM($D$21:BV21),1))</f>
        <v>65</v>
      </c>
      <c r="BW22" s="50" t="n">
        <f aca="false">IF(BW13="","",ROUND(SUM($D$21:BW21),1))</f>
        <v>92</v>
      </c>
      <c r="BX22" s="50" t="n">
        <f aca="false">IF(BX13="","",ROUND(SUM($D$21:BX21),1))</f>
        <v>92</v>
      </c>
      <c r="BY22" s="50" t="n">
        <f aca="false">IF(BY13="","",ROUND(SUM($D$21:BY21),1))</f>
        <v>92</v>
      </c>
      <c r="BZ22" s="50" t="n">
        <f aca="false">IF(BZ13="","",ROUND(SUM($D$21:BZ21),1))</f>
        <v>92</v>
      </c>
      <c r="CA22" s="50" t="str">
        <f aca="false">IF(CA13="","",ROUND(SUM($D$21:CA21),1))</f>
        <v/>
      </c>
      <c r="CB22" s="50" t="n">
        <f aca="false">IF(CB13="","",ROUND(SUM($D$21:CB21),1))</f>
        <v>92</v>
      </c>
      <c r="CC22" s="50" t="n">
        <f aca="false">IF(CC13="","",ROUND(SUM($D$21:CC21),1))</f>
        <v>92</v>
      </c>
      <c r="CD22" s="50" t="n">
        <f aca="false">IF(CD13="","",ROUND(SUM($D$21:CD21),1))</f>
        <v>115</v>
      </c>
      <c r="CE22" s="50" t="n">
        <f aca="false">IF(CE13="","",ROUND(SUM($D$21:CE21),1))</f>
        <v>115</v>
      </c>
      <c r="CF22" s="50" t="n">
        <f aca="false">IF(CF13="","",ROUND(SUM($D$21:CF21),1))</f>
        <v>115</v>
      </c>
      <c r="CG22" s="50" t="n">
        <f aca="false">IF(CG13="","",ROUND(SUM($D$21:CG21),1))</f>
        <v>115</v>
      </c>
      <c r="CH22" s="50" t="n">
        <f aca="false">IF(CH13="","",ROUND(SUM($D$21:CH21),1))</f>
        <v>144</v>
      </c>
      <c r="CI22" s="50" t="n">
        <f aca="false">IF(CI13="","",ROUND(SUM($D$21:CI21),1))</f>
        <v>144</v>
      </c>
      <c r="CJ22" s="50" t="n">
        <f aca="false">IF(CJ13="","",ROUND(SUM($D$21:CJ21),1))</f>
        <v>144</v>
      </c>
      <c r="CK22" s="50" t="n">
        <f aca="false">IF(CK13="","",ROUND(SUM($D$21:CK21),1))</f>
        <v>144</v>
      </c>
      <c r="CL22" s="50" t="n">
        <f aca="false">IF(CL13="","",ROUND(SUM($D$21:CL21),1))</f>
        <v>144</v>
      </c>
      <c r="CM22" s="50" t="n">
        <f aca="false">IF(CM13="","",ROUND(SUM($D$21:CM21),1))</f>
        <v>144</v>
      </c>
      <c r="CN22" s="50" t="n">
        <f aca="false">IF(CN13="","",ROUND(SUM($D$21:CN21),1))</f>
        <v>144</v>
      </c>
      <c r="CO22" s="50" t="n">
        <f aca="false">IF(CO13="","",ROUND(SUM($D$21:CO21),1))</f>
        <v>144</v>
      </c>
      <c r="CP22" s="50" t="n">
        <f aca="false">IF(CP13="","",ROUND(SUM($D$21:CP21),1))</f>
        <v>144</v>
      </c>
      <c r="CQ22" s="50" t="n">
        <f aca="false">IF(CQ13="","",ROUND(SUM($D$21:CQ21),1))</f>
        <v>144</v>
      </c>
      <c r="CR22" s="50" t="n">
        <f aca="false">IF(CR13="","",ROUND(SUM($D$21:CR21),1))</f>
        <v>144</v>
      </c>
      <c r="CS22" s="50" t="n">
        <f aca="false">IF(CS13="","",ROUND(SUM($D$21:CS21),1))</f>
        <v>144</v>
      </c>
      <c r="CT22" s="50" t="n">
        <f aca="false">IF(CT13="","",ROUND(SUM($D$21:CT21),1))</f>
        <v>144</v>
      </c>
      <c r="CU22" s="50" t="n">
        <f aca="false">IF(CU13="","",ROUND(SUM($D$21:CU21),1))</f>
        <v>144</v>
      </c>
      <c r="CV22" s="50" t="n">
        <f aca="false">IF(CV13="","",ROUND(SUM($D$21:CV21),1))</f>
        <v>144</v>
      </c>
      <c r="CW22" s="50" t="n">
        <f aca="false">IF(CW13="","",ROUND(SUM($D$21:CW21),1))</f>
        <v>151</v>
      </c>
      <c r="CX22" s="50" t="n">
        <f aca="false">IF(CX13="","",ROUND(SUM($D$21:CX21),1))</f>
        <v>151</v>
      </c>
      <c r="CY22" s="50" t="n">
        <f aca="false">IF(CY13="","",ROUND(SUM($D$21:CY21),1))</f>
        <v>151</v>
      </c>
      <c r="CZ22" s="50" t="n">
        <f aca="false">IF(CZ13="","",ROUND(SUM($D$21:CZ21),1))</f>
        <v>168</v>
      </c>
      <c r="DA22" s="50" t="n">
        <f aca="false">IF(DA13="","",ROUND(SUM($D$21:DA21),1))</f>
        <v>168</v>
      </c>
      <c r="DB22" s="50" t="n">
        <f aca="false">IF(DB13="","",ROUND(SUM($D$21:DB21),1))</f>
        <v>168</v>
      </c>
      <c r="DC22" s="50" t="n">
        <f aca="false">IF(DC13="","",ROUND(SUM($D$21:DC21),1))</f>
        <v>197</v>
      </c>
      <c r="DD22" s="50" t="n">
        <f aca="false">IF(DD13="","",ROUND(SUM($D$21:DD21),1))</f>
        <v>197</v>
      </c>
      <c r="DE22" s="50" t="n">
        <f aca="false">IF(DE13="","",ROUND(SUM($D$21:DE21),1))</f>
        <v>197</v>
      </c>
      <c r="DF22" s="50" t="n">
        <f aca="false">IF(DF13="","",ROUND(SUM($D$21:DF21),1))</f>
        <v>197</v>
      </c>
      <c r="DG22" s="50" t="n">
        <f aca="false">IF(DG13="","",ROUND(SUM($D$21:DG21),1))</f>
        <v>197</v>
      </c>
      <c r="DH22" s="50" t="n">
        <f aca="false">IF(DH13="","",ROUND(SUM($D$21:DH21),1))</f>
        <v>197</v>
      </c>
      <c r="DI22" s="50" t="n">
        <f aca="false">IF(DI13="","",ROUND(SUM($D$21:DI21),1))</f>
        <v>220</v>
      </c>
      <c r="DJ22" s="50" t="n">
        <f aca="false">IF(DJ13="","",ROUND(SUM($D$21:DJ21),1))</f>
        <v>239</v>
      </c>
      <c r="DK22" s="50" t="n">
        <f aca="false">IF(DK13="","",ROUND(SUM($D$21:DK21),1))</f>
        <v>239</v>
      </c>
      <c r="DL22" s="50" t="str">
        <f aca="false">IF(DL13="","",ROUND(SUM($D$21:DL21),1))</f>
        <v/>
      </c>
      <c r="DM22" s="50" t="n">
        <f aca="false">IF(DM13="","",ROUND(SUM($D$21:DM21),1))</f>
        <v>247</v>
      </c>
      <c r="DN22" s="50" t="n">
        <f aca="false">IF(DN13="","",ROUND(SUM($D$21:DN21),1))</f>
        <v>247</v>
      </c>
      <c r="DO22" s="50" t="n">
        <f aca="false">IF(DO13="","",ROUND(SUM($D$21:DO21),1))</f>
        <v>266</v>
      </c>
      <c r="DP22" s="50" t="n">
        <f aca="false">IF(DP13="","",ROUND(SUM($D$21:DP21),1))</f>
        <v>266</v>
      </c>
      <c r="DQ22" s="50" t="n">
        <f aca="false">IF(DQ13="","",ROUND(SUM($D$21:DQ21),1))</f>
        <v>266</v>
      </c>
      <c r="DR22" s="50" t="n">
        <f aca="false">IF(DR13="","",ROUND(SUM($D$21:DR21),1))</f>
        <v>273</v>
      </c>
      <c r="DS22" s="50" t="n">
        <f aca="false">IF(DS13="","",ROUND(SUM($D$21:DS21),1))</f>
        <v>273</v>
      </c>
      <c r="DT22" s="50" t="n">
        <f aca="false">IF(DT13="","",ROUND(SUM($D$21:DT21),1))</f>
        <v>292</v>
      </c>
      <c r="DU22" s="50" t="n">
        <f aca="false">IF(DU13="","",ROUND(SUM($D$21:DU21),1))</f>
        <v>292</v>
      </c>
      <c r="DV22" s="50" t="n">
        <f aca="false">IF(DV13="","",ROUND(SUM($D$21:DV21),1))</f>
        <v>292</v>
      </c>
      <c r="DW22" s="50" t="n">
        <f aca="false">IF(DW13="","",ROUND(SUM($D$21:DW21),1))</f>
        <v>306</v>
      </c>
      <c r="DX22" s="50" t="n">
        <f aca="false">IF(DX13="","",ROUND(SUM($D$21:DX21),1))</f>
        <v>306</v>
      </c>
      <c r="DY22" s="50" t="n">
        <f aca="false">IF(DY13="","",ROUND(SUM($D$21:DY21),1))</f>
        <v>306</v>
      </c>
      <c r="DZ22" s="50" t="n">
        <f aca="false">IF(DZ13="","",ROUND(SUM($D$21:DZ21),1))</f>
        <v>306</v>
      </c>
      <c r="EA22" s="50" t="n">
        <f aca="false">IF(EA13="","",ROUND(SUM($D$21:EA21),1))</f>
        <v>326</v>
      </c>
      <c r="EB22" s="50" t="n">
        <f aca="false">IF(EB13="","",ROUND(SUM($D$21:EB21),1))</f>
        <v>326</v>
      </c>
      <c r="EC22" s="50" t="n">
        <f aca="false">IF(EC13="","",ROUND(SUM($D$21:EC21),1))</f>
        <v>326</v>
      </c>
      <c r="ED22" s="50" t="n">
        <f aca="false">IF(ED13="","",ROUND(SUM($D$21:ED21),1))</f>
        <v>326</v>
      </c>
      <c r="EE22" s="50" t="n">
        <f aca="false">IF(EE13="","",ROUND(SUM($D$21:EE21),1))</f>
        <v>326</v>
      </c>
      <c r="EF22" s="50" t="n">
        <f aca="false">IF(EF13="","",ROUND(SUM($D$21:EF21),1))</f>
        <v>326</v>
      </c>
      <c r="EG22" s="50" t="n">
        <f aca="false">IF(EG13="","",ROUND(SUM($D$21:EG21),1))</f>
        <v>326</v>
      </c>
      <c r="EH22" s="50" t="n">
        <f aca="false">IF(EH13="","",ROUND(SUM($D$21:EH21),1))</f>
        <v>339</v>
      </c>
      <c r="EI22" s="50" t="n">
        <f aca="false">IF(EI13="","",ROUND(SUM($D$21:EI21),1))</f>
        <v>339</v>
      </c>
      <c r="EJ22" s="50" t="n">
        <f aca="false">IF(EJ13="","",ROUND(SUM($D$21:EJ21),1))</f>
        <v>363</v>
      </c>
      <c r="EK22" s="50" t="n">
        <f aca="false">IF(EK13="","",ROUND(SUM($D$21:EK21),1))</f>
        <v>363</v>
      </c>
      <c r="EL22" s="50" t="n">
        <f aca="false">IF(EL13="","",ROUND(SUM($D$21:EL21),1))</f>
        <v>363</v>
      </c>
      <c r="EM22" s="50" t="n">
        <f aca="false">IF(EM13="","",ROUND(SUM($D$21:EM21),1))</f>
        <v>363</v>
      </c>
      <c r="EN22" s="50" t="n">
        <f aca="false">IF(EN13="","",ROUND(SUM($D$21:EN21),1))</f>
        <v>363</v>
      </c>
      <c r="EO22" s="50" t="n">
        <f aca="false">IF(EO13="","",ROUND(SUM($D$21:EO21),1))</f>
        <v>363</v>
      </c>
      <c r="EP22" s="50" t="n">
        <f aca="false">IF(EP13="","",ROUND(SUM($D$21:EP21),1))</f>
        <v>377</v>
      </c>
      <c r="EQ22" s="50" t="n">
        <f aca="false">IF(EQ13="","",ROUND(SUM($D$21:EQ21),1))</f>
        <v>377</v>
      </c>
      <c r="ER22" s="50" t="n">
        <f aca="false">IF(ER13="","",ROUND(SUM($D$21:ER21),1))</f>
        <v>377</v>
      </c>
      <c r="ES22" s="50" t="n">
        <f aca="false">IF(ES13="","",ROUND(SUM($D$21:ES21),1))</f>
        <v>377</v>
      </c>
      <c r="ET22" s="50" t="n">
        <f aca="false">IF(ET13="","",ROUND(SUM($D$21:ET21),1))</f>
        <v>377</v>
      </c>
      <c r="EU22" s="50" t="str">
        <f aca="false">IF(EU13="","",ROUND(SUM($D$21:EU21),1))</f>
        <v/>
      </c>
      <c r="EV22" s="50" t="str">
        <f aca="false">IF(EV13="","",ROUND(SUM($D$21:EV21),1))</f>
        <v/>
      </c>
      <c r="EW22" s="50" t="str">
        <f aca="false">IF(EW13="","",ROUND(SUM($D$21:EW21),1))</f>
        <v/>
      </c>
      <c r="EX22" s="50" t="str">
        <f aca="false">IF(EX13="","",ROUND(SUM($D$21:EX21),1))</f>
        <v/>
      </c>
      <c r="EY22" s="50" t="str">
        <f aca="false">IF(EY13="","",ROUND(SUM($D$21:EY21),1))</f>
        <v/>
      </c>
      <c r="EZ22" s="50" t="str">
        <f aca="false">IF(EZ13="","",ROUND(SUM($D$21:EZ21),1))</f>
        <v/>
      </c>
      <c r="FA22" s="50" t="str">
        <f aca="false">IF(FA13="","",ROUND(SUM($D$21:FA21),1))</f>
        <v/>
      </c>
      <c r="FB22" s="50" t="str">
        <f aca="false">IF(FB13="","",ROUND(SUM($D$21:FB21),1))</f>
        <v/>
      </c>
      <c r="FC22" s="50" t="str">
        <f aca="false">IF(FC13="","",ROUND(SUM($D$21:FC21),1))</f>
        <v/>
      </c>
      <c r="FD22" s="50" t="str">
        <f aca="false">IF(FD13="","",ROUND(SUM($D$21:FD21),1))</f>
        <v/>
      </c>
      <c r="FE22" s="50" t="str">
        <f aca="false">IF(FE13="","",ROUND(SUM($D$21:FE21),1))</f>
        <v/>
      </c>
      <c r="FF22" s="50" t="str">
        <f aca="false">IF(FF13="","",ROUND(SUM($D$21:FF21),1))</f>
        <v/>
      </c>
      <c r="FG22" s="50" t="str">
        <f aca="false">IF(FG13="","",ROUND(SUM($D$21:FG21),1))</f>
        <v/>
      </c>
      <c r="FH22" s="50" t="str">
        <f aca="false">IF(FH13="","",ROUND(SUM($D$21:FH21),1))</f>
        <v/>
      </c>
      <c r="FI22" s="50" t="str">
        <f aca="false">IF(FI13="","",ROUND(SUM($D$21:FI21),1))</f>
        <v/>
      </c>
      <c r="FJ22" s="50" t="str">
        <f aca="false">IF(FJ13="","",ROUND(SUM($D$21:FJ21),1))</f>
        <v/>
      </c>
      <c r="FK22" s="50" t="str">
        <f aca="false">IF(FK13="","",ROUND(SUM($D$21:FK21),1))</f>
        <v/>
      </c>
      <c r="FL22" s="50" t="str">
        <f aca="false">IF(FL13="","",ROUND(SUM($D$21:FL21),1))</f>
        <v/>
      </c>
      <c r="FM22" s="50" t="str">
        <f aca="false">IF(FM13="","",ROUND(SUM($D$21:FM21),1))</f>
        <v/>
      </c>
      <c r="FN22" s="50" t="str">
        <f aca="false">IF(FN13="","",ROUND(SUM($D$21:FN21),1))</f>
        <v/>
      </c>
      <c r="FO22" s="50" t="str">
        <f aca="false">IF(FO13="","",ROUND(SUM($D$21:FO21),1))</f>
        <v/>
      </c>
      <c r="FP22" s="50" t="str">
        <f aca="false">IF(FP13="","",ROUND(SUM($D$21:FP21),1))</f>
        <v/>
      </c>
      <c r="FQ22" s="50" t="str">
        <f aca="false">IF(FQ13="","",ROUND(SUM($D$21:FQ21),1))</f>
        <v/>
      </c>
    </row>
    <row r="23" customFormat="false" ht="15" hidden="false" customHeight="false" outlineLevel="0" collapsed="false">
      <c r="A23" s="31" t="s">
        <v>328</v>
      </c>
      <c r="B23" s="17" t="s">
        <v>422</v>
      </c>
      <c r="D23" s="50" t="str">
        <f aca="false">""</f>
        <v/>
      </c>
      <c r="E23" s="50" t="str">
        <f aca="false">IF(AND(ISNUMBER(D32),ISNUMBER(E13)),ROUND((D32-E13)*10,1),"")</f>
        <v/>
      </c>
      <c r="F23" s="50" t="str">
        <f aca="false">IF(AND(ISNUMBER(E32),ISNUMBER(F13)),ROUND((E32-F13)*10,1),"")</f>
        <v/>
      </c>
      <c r="G23" s="50" t="str">
        <f aca="false">IF(AND(ISNUMBER(F32),ISNUMBER(G13)),ROUND((F32-G13)*10,1),"")</f>
        <v/>
      </c>
      <c r="H23" s="50" t="str">
        <f aca="false">IF(AND(ISNUMBER(G32),ISNUMBER(H13)),ROUND((G32-H13)*10,1),"")</f>
        <v/>
      </c>
      <c r="I23" s="50" t="str">
        <f aca="false">IF(AND(ISNUMBER(H32),ISNUMBER(I13)),ROUND((H32-I13)*10,1),"")</f>
        <v/>
      </c>
      <c r="J23" s="50" t="str">
        <f aca="false">IF(AND(ISNUMBER(I32),ISNUMBER(J13)),ROUND((I32-J13)*10,1),"")</f>
        <v/>
      </c>
      <c r="K23" s="50" t="str">
        <f aca="false">IF(AND(ISNUMBER(J32),ISNUMBER(K13)),ROUND((J32-K13)*10,1),"")</f>
        <v/>
      </c>
      <c r="L23" s="50" t="str">
        <f aca="false">IF(AND(ISNUMBER(K32),ISNUMBER(L13)),ROUND((K32-L13)*10,1),"")</f>
        <v/>
      </c>
      <c r="M23" s="50" t="str">
        <f aca="false">IF(AND(ISNUMBER(L32),ISNUMBER(M13)),ROUND((L32-M13)*10,1),"")</f>
        <v/>
      </c>
      <c r="N23" s="50" t="str">
        <f aca="false">IF(AND(ISNUMBER(M32),ISNUMBER(N13)),ROUND((M32-N13)*10,1),"")</f>
        <v/>
      </c>
      <c r="O23" s="50" t="str">
        <f aca="false">IF(AND(ISNUMBER(N32),ISNUMBER(O13)),ROUND((N32-O13)*10,1),"")</f>
        <v/>
      </c>
      <c r="P23" s="50" t="str">
        <f aca="false">IF(AND(ISNUMBER(O32),ISNUMBER(P13)),ROUND((O32-P13)*10,1),"")</f>
        <v/>
      </c>
      <c r="Q23" s="50" t="str">
        <f aca="false">IF(AND(ISNUMBER(P32),ISNUMBER(Q13)),ROUND((P32-Q13)*10,1),"")</f>
        <v/>
      </c>
      <c r="R23" s="50" t="str">
        <f aca="false">IF(AND(ISNUMBER(Q32),ISNUMBER(R13)),ROUND((Q32-R13)*10,1),"")</f>
        <v/>
      </c>
      <c r="S23" s="50" t="str">
        <f aca="false">IF(AND(ISNUMBER(R32),ISNUMBER(S13)),ROUND((R32-S13)*10,1),"")</f>
        <v/>
      </c>
      <c r="T23" s="50" t="str">
        <f aca="false">IF(AND(ISNUMBER(S32),ISNUMBER(T13)),ROUND((S32-T13)*10,1),"")</f>
        <v/>
      </c>
      <c r="U23" s="50" t="str">
        <f aca="false">IF(AND(ISNUMBER(T32),ISNUMBER(U13)),ROUND((T32-U13)*10,1),"")</f>
        <v/>
      </c>
      <c r="V23" s="50" t="str">
        <f aca="false">IF(AND(ISNUMBER(U32),ISNUMBER(V13)),ROUND((U32-V13)*10,1),"")</f>
        <v/>
      </c>
      <c r="W23" s="50" t="str">
        <f aca="false">IF(AND(ISNUMBER(V32),ISNUMBER(W13)),ROUND((V32-W13)*10,1),"")</f>
        <v/>
      </c>
      <c r="X23" s="50" t="str">
        <f aca="false">IF(AND(ISNUMBER(W32),ISNUMBER(X13)),ROUND((W32-X13)*10,1),"")</f>
        <v/>
      </c>
      <c r="Y23" s="50" t="str">
        <f aca="false">IF(AND(ISNUMBER(X32),ISNUMBER(Y13)),ROUND((X32-Y13)*10,1),"")</f>
        <v/>
      </c>
      <c r="Z23" s="50" t="str">
        <f aca="false">IF(AND(ISNUMBER(Y32),ISNUMBER(Z13)),ROUND((Y32-Z13)*10,1),"")</f>
        <v/>
      </c>
      <c r="AA23" s="50" t="str">
        <f aca="false">IF(AND(ISNUMBER(Z32),ISNUMBER(AA13)),ROUND((Z32-AA13)*10,1),"")</f>
        <v/>
      </c>
      <c r="AB23" s="50" t="str">
        <f aca="false">IF(AND(ISNUMBER(AA32),ISNUMBER(AB13)),ROUND((AA32-AB13)*10,1),"")</f>
        <v/>
      </c>
      <c r="AC23" s="50" t="str">
        <f aca="false">IF(AND(ISNUMBER(AB32),ISNUMBER(AC13)),ROUND((AB32-AC13)*10,1),"")</f>
        <v/>
      </c>
      <c r="AD23" s="50" t="str">
        <f aca="false">IF(AND(ISNUMBER(AC32),ISNUMBER(AD13)),ROUND((AC32-AD13)*10,1),"")</f>
        <v/>
      </c>
      <c r="AE23" s="50" t="str">
        <f aca="false">IF(AND(ISNUMBER(AD32),ISNUMBER(AE13)),ROUND((AD32-AE13)*10,1),"")</f>
        <v/>
      </c>
      <c r="AF23" s="50" t="str">
        <f aca="false">IF(AND(ISNUMBER(AE32),ISNUMBER(AF13)),ROUND((AE32-AF13)*10,1),"")</f>
        <v/>
      </c>
      <c r="AG23" s="50" t="str">
        <f aca="false">IF(AND(ISNUMBER(AF32),ISNUMBER(AG13)),ROUND((AF32-AG13)*10,1),"")</f>
        <v/>
      </c>
      <c r="AH23" s="50" t="str">
        <f aca="false">IF(AND(ISNUMBER(AG32),ISNUMBER(AH13)),ROUND((AG32-AH13)*10,1),"")</f>
        <v/>
      </c>
      <c r="AI23" s="50" t="str">
        <f aca="false">IF(AND(ISNUMBER(AH32),ISNUMBER(AI13)),ROUND((AH32-AI13)*10,1),"")</f>
        <v/>
      </c>
      <c r="AJ23" s="50" t="str">
        <f aca="false">IF(AND(ISNUMBER(AI32),ISNUMBER(AJ13)),ROUND((AI32-AJ13)*10,1),"")</f>
        <v/>
      </c>
      <c r="AK23" s="50" t="str">
        <f aca="false">IF(AND(ISNUMBER(AJ32),ISNUMBER(AK13)),ROUND((AJ32-AK13)*10,1),"")</f>
        <v/>
      </c>
      <c r="AL23" s="50" t="str">
        <f aca="false">IF(AND(ISNUMBER(AK32),ISNUMBER(AL13)),ROUND((AK32-AL13)*10,1),"")</f>
        <v/>
      </c>
      <c r="AM23" s="50" t="str">
        <f aca="false">IF(AND(ISNUMBER(AL32),ISNUMBER(AM13)),ROUND((AL32-AM13)*10,1),"")</f>
        <v/>
      </c>
      <c r="AN23" s="50" t="str">
        <f aca="false">IF(AND(ISNUMBER(AM32),ISNUMBER(AN13)),ROUND((AM32-AN13)*10,1),"")</f>
        <v/>
      </c>
      <c r="AO23" s="50" t="str">
        <f aca="false">IF(AND(ISNUMBER(AN32),ISNUMBER(AO13)),ROUND((AN32-AO13)*10,1),"")</f>
        <v/>
      </c>
      <c r="AP23" s="50" t="str">
        <f aca="false">IF(AND(ISNUMBER(AO32),ISNUMBER(AP13)),ROUND((AO32-AP13)*10,1),"")</f>
        <v/>
      </c>
      <c r="AQ23" s="50" t="str">
        <f aca="false">IF(AND(ISNUMBER(AP32),ISNUMBER(AQ13)),ROUND((AP32-AQ13)*10,1),"")</f>
        <v/>
      </c>
      <c r="AR23" s="50" t="str">
        <f aca="false">IF(AND(ISNUMBER(AQ32),ISNUMBER(AR13)),ROUND((AQ32-AR13)*10,1),"")</f>
        <v/>
      </c>
      <c r="AS23" s="50" t="str">
        <f aca="false">IF(AND(ISNUMBER(AR32),ISNUMBER(AS13)),ROUND((AR32-AS13)*10,1),"")</f>
        <v/>
      </c>
      <c r="AT23" s="50" t="str">
        <f aca="false">IF(AND(ISNUMBER(AS32),ISNUMBER(AT13)),ROUND((AS32-AT13)*10,1),"")</f>
        <v/>
      </c>
      <c r="AU23" s="50" t="str">
        <f aca="false">IF(AND(ISNUMBER(AT32),ISNUMBER(AU13)),ROUND((AT32-AU13)*10,1),"")</f>
        <v/>
      </c>
      <c r="AV23" s="50" t="str">
        <f aca="false">IF(AND(ISNUMBER(AU32),ISNUMBER(AV13)),ROUND((AU32-AV13)*10,1),"")</f>
        <v/>
      </c>
      <c r="AW23" s="50" t="str">
        <f aca="false">IF(AND(ISNUMBER(AV32),ISNUMBER(AW13)),ROUND((AV32-AW13)*10,1),"")</f>
        <v/>
      </c>
      <c r="AX23" s="50" t="str">
        <f aca="false">IF(AND(ISNUMBER(AW32),ISNUMBER(AX13)),ROUND((AW32-AX13)*10,1),"")</f>
        <v/>
      </c>
      <c r="AY23" s="50" t="str">
        <f aca="false">IF(AND(ISNUMBER(AX32),ISNUMBER(AY13)),ROUND((AX32-AY13)*10,1),"")</f>
        <v/>
      </c>
      <c r="AZ23" s="50" t="str">
        <f aca="false">IF(AND(ISNUMBER(AY32),ISNUMBER(AZ13)),ROUND((AY32-AZ13)*10,1),"")</f>
        <v/>
      </c>
      <c r="BA23" s="50" t="str">
        <f aca="false">IF(AND(ISNUMBER(AZ32),ISNUMBER(BA13)),ROUND((AZ32-BA13)*10,1),"")</f>
        <v/>
      </c>
      <c r="BB23" s="50" t="str">
        <f aca="false">IF(AND(ISNUMBER(BA32),ISNUMBER(BB13)),ROUND((BA32-BB13)*10,1),"")</f>
        <v/>
      </c>
      <c r="BC23" s="50" t="str">
        <f aca="false">IF(AND(ISNUMBER(BB32),ISNUMBER(BC13)),ROUND((BB32-BC13)*10,1),"")</f>
        <v/>
      </c>
      <c r="BD23" s="50" t="str">
        <f aca="false">IF(AND(ISNUMBER(BC32),ISNUMBER(BD13)),ROUND((BC32-BD13)*10,1),"")</f>
        <v/>
      </c>
      <c r="BE23" s="50" t="n">
        <f aca="false">IF(AND(ISNUMBER(BD32),ISNUMBER(BE13)),ROUND((BD32-BE13)*10,1),"")</f>
        <v>1</v>
      </c>
      <c r="BF23" s="50" t="n">
        <f aca="false">IF(AND(ISNUMBER(BE32),ISNUMBER(BF13)),ROUND((BE32-BF13)*10,1),"")</f>
        <v>1</v>
      </c>
      <c r="BG23" s="50" t="n">
        <f aca="false">IF(AND(ISNUMBER(BF32),ISNUMBER(BG13)),ROUND((BF32-BG13)*10,1),"")</f>
        <v>5</v>
      </c>
      <c r="BH23" s="50" t="n">
        <f aca="false">IF(AND(ISNUMBER(BG32),ISNUMBER(BH13)),ROUND((BG32-BH13)*10,1),"")</f>
        <v>3</v>
      </c>
      <c r="BI23" s="50" t="n">
        <f aca="false">IF(AND(ISNUMBER(BH32),ISNUMBER(BI13)),ROUND((BH32-BI13)*10,1),"")</f>
        <v>7</v>
      </c>
      <c r="BJ23" s="50" t="n">
        <f aca="false">IF(AND(ISNUMBER(BI32),ISNUMBER(BJ13)),ROUND((BI32-BJ13)*10,1),"")</f>
        <v>2</v>
      </c>
      <c r="BK23" s="50" t="n">
        <f aca="false">IF(AND(ISNUMBER(BJ32),ISNUMBER(BK13)),ROUND((BJ32-BK13)*10,1),"")</f>
        <v>7</v>
      </c>
      <c r="BL23" s="50" t="n">
        <f aca="false">IF(AND(ISNUMBER(BK32),ISNUMBER(BL13)),ROUND((BK32-BL13)*10,1),"")</f>
        <v>5</v>
      </c>
      <c r="BM23" s="50" t="n">
        <f aca="false">IF(AND(ISNUMBER(BL32),ISNUMBER(BM13)),ROUND((BL32-BM13)*10,1),"")</f>
        <v>3</v>
      </c>
      <c r="BN23" s="50" t="n">
        <f aca="false">IF(AND(ISNUMBER(BM32),ISNUMBER(BN13)),ROUND((BM32-BN13)*10,1),"")</f>
        <v>4</v>
      </c>
      <c r="BO23" s="50" t="n">
        <f aca="false">IF(AND(ISNUMBER(BN32),ISNUMBER(BO13)),ROUND((BN32-BO13)*10,1),"")</f>
        <v>6</v>
      </c>
      <c r="BP23" s="50" t="n">
        <f aca="false">IF(AND(ISNUMBER(BO32),ISNUMBER(BP13)),ROUND((BO32-BP13)*10,1),"")</f>
        <v>2</v>
      </c>
      <c r="BQ23" s="50" t="n">
        <f aca="false">IF(AND(ISNUMBER(BP32),ISNUMBER(BQ13)),ROUND((BP32-BQ13)*10,1),"")</f>
        <v>4</v>
      </c>
      <c r="BR23" s="50" t="n">
        <f aca="false">IF(AND(ISNUMBER(BQ32),ISNUMBER(BR13)),ROUND((BQ32-BR13)*10,1),"")</f>
        <v>4</v>
      </c>
      <c r="BS23" s="50" t="n">
        <f aca="false">IF(AND(ISNUMBER(BR32),ISNUMBER(BS13)),ROUND((BR32-BS13)*10,1),"")</f>
        <v>7</v>
      </c>
      <c r="BT23" s="50" t="n">
        <f aca="false">IF(AND(ISNUMBER(BS32),ISNUMBER(BT13)),ROUND((BS32-BT13)*10,1),"")</f>
        <v>2</v>
      </c>
      <c r="BU23" s="50" t="n">
        <f aca="false">IF(AND(ISNUMBER(BT32),ISNUMBER(BU13)),ROUND((BT32-BU13)*10,1),"")</f>
        <v>2</v>
      </c>
      <c r="BV23" s="50" t="n">
        <f aca="false">IF(AND(ISNUMBER(BU32),ISNUMBER(BV13)),ROUND((BU32-BV13)*10,1),"")</f>
        <v>1</v>
      </c>
      <c r="BW23" s="50" t="n">
        <f aca="false">IF(AND(ISNUMBER(BV32),ISNUMBER(BW13)),ROUND((BV32-BW13)*10,1),"")</f>
        <v>2</v>
      </c>
      <c r="BX23" s="50" t="n">
        <f aca="false">IF(AND(ISNUMBER(BW32),ISNUMBER(BX13)),ROUND((BW32-BX13)*10,1),"")</f>
        <v>8</v>
      </c>
      <c r="BY23" s="50" t="n">
        <f aca="false">IF(AND(ISNUMBER(BX32),ISNUMBER(BY13)),ROUND((BX32-BY13)*10,1),"")</f>
        <v>2</v>
      </c>
      <c r="BZ23" s="50" t="n">
        <f aca="false">IF(AND(ISNUMBER(BY32),ISNUMBER(BZ13)),ROUND((BY32-BZ13)*10,1),"")</f>
        <v>5</v>
      </c>
      <c r="CA23" s="50" t="str">
        <f aca="false">IF(AND(ISNUMBER(BZ32),ISNUMBER(CA13)),ROUND((BZ32-CA13)*10,1),"")</f>
        <v/>
      </c>
      <c r="CB23" s="50" t="str">
        <f aca="false">IF(AND(ISNUMBER(CA32),ISNUMBER(CB13)),ROUND((CA32-CB13)*10,1),"")</f>
        <v/>
      </c>
      <c r="CC23" s="50" t="n">
        <f aca="false">IF(AND(ISNUMBER(CB32),ISNUMBER(CC13)),ROUND((CB32-CC13)*10,1),"")</f>
        <v>6</v>
      </c>
      <c r="CD23" s="50" t="n">
        <f aca="false">IF(AND(ISNUMBER(CC32),ISNUMBER(CD13)),ROUND((CC32-CD13)*10,1),"")</f>
        <v>10</v>
      </c>
      <c r="CE23" s="50" t="n">
        <f aca="false">IF(AND(ISNUMBER(CD32),ISNUMBER(CE13)),ROUND((CD32-CE13)*10,1),"")</f>
        <v>3</v>
      </c>
      <c r="CF23" s="50" t="n">
        <f aca="false">IF(AND(ISNUMBER(CE32),ISNUMBER(CF13)),ROUND((CE32-CF13)*10,1),"")</f>
        <v>5</v>
      </c>
      <c r="CG23" s="50" t="n">
        <f aca="false">IF(AND(ISNUMBER(CF32),ISNUMBER(CG13)),ROUND((CF32-CG13)*10,1),"")</f>
        <v>2</v>
      </c>
      <c r="CH23" s="50" t="n">
        <f aca="false">IF(AND(ISNUMBER(CG32),ISNUMBER(CH13)),ROUND((CG32-CH13)*10,1),"")</f>
        <v>4</v>
      </c>
      <c r="CI23" s="50" t="n">
        <f aca="false">IF(AND(ISNUMBER(CH32),ISNUMBER(CI13)),ROUND((CH32-CI13)*10,1),"")</f>
        <v>0</v>
      </c>
      <c r="CJ23" s="50" t="n">
        <f aca="false">IF(AND(ISNUMBER(CI32),ISNUMBER(CJ13)),ROUND((CI32-CJ13)*10,1),"")</f>
        <v>5</v>
      </c>
      <c r="CK23" s="50" t="n">
        <f aca="false">IF(AND(ISNUMBER(CJ32),ISNUMBER(CK13)),ROUND((CJ32-CK13)*10,1),"")</f>
        <v>18</v>
      </c>
      <c r="CL23" s="50" t="n">
        <f aca="false">IF(AND(ISNUMBER(CK32),ISNUMBER(CL13)),ROUND((CK32-CL13)*10,1),"")</f>
        <v>15</v>
      </c>
      <c r="CM23" s="50" t="n">
        <f aca="false">IF(AND(ISNUMBER(CL32),ISNUMBER(CM13)),ROUND((CL32-CM13)*10,1),"")</f>
        <v>3</v>
      </c>
      <c r="CN23" s="50" t="n">
        <f aca="false">IF(AND(ISNUMBER(CM32),ISNUMBER(CN13)),ROUND((CM32-CN13)*10,1),"")</f>
        <v>7</v>
      </c>
      <c r="CO23" s="50" t="n">
        <f aca="false">IF(AND(ISNUMBER(CN32),ISNUMBER(CO13)),ROUND((CN32-CO13)*10,1),"")</f>
        <v>20</v>
      </c>
      <c r="CP23" s="50" t="n">
        <f aca="false">IF(AND(ISNUMBER(CO32),ISNUMBER(CP13)),ROUND((CO32-CP13)*10,1),"")</f>
        <v>20</v>
      </c>
      <c r="CQ23" s="50" t="n">
        <f aca="false">IF(AND(ISNUMBER(CP32),ISNUMBER(CQ13)),ROUND((CP32-CQ13)*10,1),"")</f>
        <v>30</v>
      </c>
      <c r="CR23" s="50" t="n">
        <f aca="false">IF(AND(ISNUMBER(CQ32),ISNUMBER(CR13)),ROUND((CQ32-CR13)*10,1),"")</f>
        <v>70</v>
      </c>
      <c r="CS23" s="50" t="n">
        <f aca="false">IF(AND(ISNUMBER(CR32),ISNUMBER(CS13)),ROUND((CR32-CS13)*10,1),"")</f>
        <v>0</v>
      </c>
      <c r="CT23" s="50" t="n">
        <f aca="false">IF(AND(ISNUMBER(CS32),ISNUMBER(CT13)),ROUND((CS32-CT13)*10,1),"")</f>
        <v>0</v>
      </c>
      <c r="CU23" s="50" t="n">
        <f aca="false">IF(AND(ISNUMBER(CT32),ISNUMBER(CU13)),ROUND((CT32-CU13)*10,1),"")</f>
        <v>0</v>
      </c>
      <c r="CV23" s="50" t="n">
        <f aca="false">IF(AND(ISNUMBER(CU32),ISNUMBER(CV13)),ROUND((CU32-CV13)*10,1),"")</f>
        <v>0</v>
      </c>
      <c r="CW23" s="50" t="n">
        <f aca="false">IF(AND(ISNUMBER(CV32),ISNUMBER(CW13)),ROUND((CV32-CW13)*10,1),"")</f>
        <v>0</v>
      </c>
      <c r="CX23" s="50" t="n">
        <f aca="false">IF(AND(ISNUMBER(CW32),ISNUMBER(CX13)),ROUND((CW32-CX13)*10,1),"")</f>
        <v>-3</v>
      </c>
      <c r="CY23" s="50" t="n">
        <f aca="false">IF(AND(ISNUMBER(CX32),ISNUMBER(CY13)),ROUND((CX32-CY13)*10,1),"")</f>
        <v>3</v>
      </c>
      <c r="CZ23" s="50" t="n">
        <f aca="false">IF(AND(ISNUMBER(CY32),ISNUMBER(CZ13)),ROUND((CY32-CZ13)*10,1),"")</f>
        <v>5</v>
      </c>
      <c r="DA23" s="50" t="n">
        <f aca="false">IF(AND(ISNUMBER(CZ32),ISNUMBER(DA13)),ROUND((CZ32-DA13)*10,1),"")</f>
        <v>2</v>
      </c>
      <c r="DB23" s="50" t="n">
        <f aca="false">IF(AND(ISNUMBER(DA32),ISNUMBER(DB13)),ROUND((DA32-DB13)*10,1),"")</f>
        <v>7</v>
      </c>
      <c r="DC23" s="50" t="n">
        <f aca="false">IF(AND(ISNUMBER(DB32),ISNUMBER(DC13)),ROUND((DB32-DC13)*10,1),"")</f>
        <v>5</v>
      </c>
      <c r="DD23" s="50" t="n">
        <f aca="false">IF(AND(ISNUMBER(DC32),ISNUMBER(DD13)),ROUND((DC32-DD13)*10,1),"")</f>
        <v>9</v>
      </c>
      <c r="DE23" s="50" t="n">
        <f aca="false">IF(AND(ISNUMBER(DD32),ISNUMBER(DE13)),ROUND((DD32-DE13)*10,1),"")</f>
        <v>5</v>
      </c>
      <c r="DF23" s="50" t="n">
        <f aca="false">IF(AND(ISNUMBER(DE32),ISNUMBER(DF13)),ROUND((DE32-DF13)*10,1),"")</f>
        <v>5</v>
      </c>
      <c r="DG23" s="50" t="n">
        <f aca="false">IF(AND(ISNUMBER(DF32),ISNUMBER(DG13)),ROUND((DF32-DG13)*10,1),"")</f>
        <v>5</v>
      </c>
      <c r="DH23" s="50" t="n">
        <f aca="false">IF(AND(ISNUMBER(DG32),ISNUMBER(DH13)),ROUND((DG32-DH13)*10,1),"")</f>
        <v>3</v>
      </c>
      <c r="DI23" s="50" t="n">
        <f aca="false">IF(AND(ISNUMBER(DH32),ISNUMBER(DI13)),ROUND((DH32-DI13)*10,1),"")</f>
        <v>6</v>
      </c>
      <c r="DJ23" s="50" t="n">
        <f aca="false">IF(AND(ISNUMBER(DI32),ISNUMBER(DJ13)),ROUND((DI32-DJ13)*10,1),"")</f>
        <v>24</v>
      </c>
      <c r="DK23" s="50" t="n">
        <f aca="false">IF(AND(ISNUMBER(DJ32),ISNUMBER(DK13)),ROUND((DJ32-DK13)*10,1),"")</f>
        <v>9</v>
      </c>
      <c r="DL23" s="50" t="str">
        <f aca="false">IF(AND(ISNUMBER(DK32),ISNUMBER(DL13)),ROUND((DK32-DL13)*10,1),"")</f>
        <v/>
      </c>
      <c r="DM23" s="50" t="str">
        <f aca="false">IF(AND(ISNUMBER(DL32),ISNUMBER(DM13)),ROUND((DL32-DM13)*10,1),"")</f>
        <v/>
      </c>
      <c r="DN23" s="50" t="n">
        <f aca="false">IF(AND(ISNUMBER(DM32),ISNUMBER(DN13)),ROUND((DM32-DN13)*10,1),"")</f>
        <v>1</v>
      </c>
      <c r="DO23" s="50" t="n">
        <f aca="false">IF(AND(ISNUMBER(DN32),ISNUMBER(DO13)),ROUND((DN32-DO13)*10,1),"")</f>
        <v>9</v>
      </c>
      <c r="DP23" s="50" t="n">
        <f aca="false">IF(AND(ISNUMBER(DO32),ISNUMBER(DP13)),ROUND((DO32-DP13)*10,1),"")</f>
        <v>9</v>
      </c>
      <c r="DQ23" s="50" t="n">
        <f aca="false">IF(AND(ISNUMBER(DP32),ISNUMBER(DQ13)),ROUND((DP32-DQ13)*10,1),"")</f>
        <v>3</v>
      </c>
      <c r="DR23" s="50" t="n">
        <f aca="false">IF(AND(ISNUMBER(DQ32),ISNUMBER(DR13)),ROUND((DQ32-DR13)*10,1),"")</f>
        <v>4</v>
      </c>
      <c r="DS23" s="50" t="n">
        <f aca="false">IF(AND(ISNUMBER(DR32),ISNUMBER(DS13)),ROUND((DR32-DS13)*10,1),"")</f>
        <v>5</v>
      </c>
      <c r="DT23" s="50" t="n">
        <f aca="false">IF(AND(ISNUMBER(DS32),ISNUMBER(DT13)),ROUND((DS32-DT13)*10,1),"")</f>
        <v>5</v>
      </c>
      <c r="DU23" s="50" t="n">
        <f aca="false">IF(AND(ISNUMBER(DT32),ISNUMBER(DU13)),ROUND((DT32-DU13)*10,1),"")</f>
        <v>9</v>
      </c>
      <c r="DV23" s="50" t="n">
        <f aca="false">IF(AND(ISNUMBER(DU32),ISNUMBER(DV13)),ROUND((DU32-DV13)*10,1),"")</f>
        <v>3</v>
      </c>
      <c r="DW23" s="50" t="n">
        <f aca="false">IF(AND(ISNUMBER(DV32),ISNUMBER(DW13)),ROUND((DV32-DW13)*10,1),"")</f>
        <v>2</v>
      </c>
      <c r="DX23" s="50" t="n">
        <f aca="false">IF(AND(ISNUMBER(DW32),ISNUMBER(DX13)),ROUND((DW32-DX13)*10,1),"")</f>
        <v>9</v>
      </c>
      <c r="DY23" s="50" t="n">
        <f aca="false">IF(AND(ISNUMBER(DX32),ISNUMBER(DY13)),ROUND((DX32-DY13)*10,1),"")</f>
        <v>3</v>
      </c>
      <c r="DZ23" s="50" t="n">
        <f aca="false">IF(AND(ISNUMBER(DY32),ISNUMBER(DZ13)),ROUND((DY32-DZ13)*10,1),"")</f>
        <v>2</v>
      </c>
      <c r="EA23" s="50" t="n">
        <f aca="false">IF(AND(ISNUMBER(DZ32),ISNUMBER(EA13)),ROUND((DZ32-EA13)*10,1),"")</f>
        <v>4</v>
      </c>
      <c r="EB23" s="50" t="n">
        <f aca="false">IF(AND(ISNUMBER(EA32),ISNUMBER(EB13)),ROUND((EA32-EB13)*10,1),"")</f>
        <v>6</v>
      </c>
      <c r="EC23" s="50" t="n">
        <f aca="false">IF(AND(ISNUMBER(EB32),ISNUMBER(EC13)),ROUND((EB32-EC13)*10,1),"")</f>
        <v>5</v>
      </c>
      <c r="ED23" s="50" t="n">
        <f aca="false">IF(AND(ISNUMBER(EC32),ISNUMBER(ED13)),ROUND((EC32-ED13)*10,1),"")</f>
        <v>3</v>
      </c>
      <c r="EE23" s="50" t="n">
        <f aca="false">IF(AND(ISNUMBER(ED32),ISNUMBER(EE13)),ROUND((ED32-EE13)*10,1),"")</f>
        <v>-13</v>
      </c>
      <c r="EF23" s="50" t="n">
        <f aca="false">IF(AND(ISNUMBER(EE32),ISNUMBER(EF13)),ROUND((EE32-EF13)*10,1),"")</f>
        <v>3</v>
      </c>
      <c r="EG23" s="50" t="n">
        <f aca="false">IF(AND(ISNUMBER(EF32),ISNUMBER(EG13)),ROUND((EF32-EG13)*10,1),"")</f>
        <v>7</v>
      </c>
      <c r="EH23" s="50" t="n">
        <f aca="false">IF(AND(ISNUMBER(EG32),ISNUMBER(EH13)),ROUND((EG32-EH13)*10,1),"")</f>
        <v>4</v>
      </c>
      <c r="EI23" s="50" t="n">
        <f aca="false">IF(AND(ISNUMBER(EH32),ISNUMBER(EI13)),ROUND((EH32-EI13)*10,1),"")</f>
        <v>4</v>
      </c>
      <c r="EJ23" s="50" t="n">
        <f aca="false">IF(AND(ISNUMBER(EI32),ISNUMBER(EJ13)),ROUND((EI32-EJ13)*10,1),"")</f>
        <v>5</v>
      </c>
      <c r="EK23" s="50" t="n">
        <f aca="false">IF(AND(ISNUMBER(EJ32),ISNUMBER(EK13)),ROUND((EJ32-EK13)*10,1),"")</f>
        <v>9</v>
      </c>
      <c r="EL23" s="50" t="n">
        <f aca="false">IF(AND(ISNUMBER(EK32),ISNUMBER(EL13)),ROUND((EK32-EL13)*10,1),"")</f>
        <v>10</v>
      </c>
      <c r="EM23" s="50" t="n">
        <f aca="false">IF(AND(ISNUMBER(EL32),ISNUMBER(EM13)),ROUND((EL32-EM13)*10,1),"")</f>
        <v>-10</v>
      </c>
      <c r="EN23" s="50" t="n">
        <f aca="false">IF(AND(ISNUMBER(EM32),ISNUMBER(EN13)),ROUND((EM32-EN13)*10,1),"")</f>
        <v>5</v>
      </c>
      <c r="EO23" s="50" t="n">
        <f aca="false">IF(AND(ISNUMBER(EN32),ISNUMBER(EO13)),ROUND((EN32-EO13)*10,1),"")</f>
        <v>5</v>
      </c>
      <c r="EP23" s="50" t="n">
        <f aca="false">IF(AND(ISNUMBER(EO32),ISNUMBER(EP13)),ROUND((EO32-EP13)*10,1),"")</f>
        <v>10</v>
      </c>
      <c r="EQ23" s="50" t="n">
        <f aca="false">IF(AND(ISNUMBER(EP32),ISNUMBER(EQ13)),ROUND((EP32-EQ13)*10,1),"")</f>
        <v>4</v>
      </c>
      <c r="ER23" s="50" t="n">
        <f aca="false">IF(AND(ISNUMBER(EQ32),ISNUMBER(ER13)),ROUND((EQ32-ER13)*10,1),"")</f>
        <v>15</v>
      </c>
      <c r="ES23" s="50" t="n">
        <f aca="false">IF(AND(ISNUMBER(ER32),ISNUMBER(ES13)),ROUND((ER32-ES13)*10,1),"")</f>
        <v>65</v>
      </c>
      <c r="ET23" s="50" t="n">
        <f aca="false">IF(AND(ISNUMBER(ES32),ISNUMBER(ET13)),ROUND((ES32-ET13)*10,1),"")</f>
        <v>85</v>
      </c>
      <c r="EU23" s="50" t="str">
        <f aca="false">IF(AND(ISNUMBER(ET32),ISNUMBER(EU13)),ROUND((ET32-EU13)*10,1),"")</f>
        <v/>
      </c>
      <c r="EV23" s="50" t="str">
        <f aca="false">IF(AND(ISNUMBER(EU32),ISNUMBER(EV13)),ROUND((EU32-EV13)*10,1),"")</f>
        <v/>
      </c>
      <c r="EW23" s="50" t="str">
        <f aca="false">IF(AND(ISNUMBER(EV32),ISNUMBER(EW13)),ROUND((EV32-EW13)*10,1),"")</f>
        <v/>
      </c>
      <c r="EX23" s="50" t="str">
        <f aca="false">IF(AND(ISNUMBER(EW32),ISNUMBER(EX13)),ROUND((EW32-EX13)*10,1),"")</f>
        <v/>
      </c>
      <c r="EY23" s="50" t="str">
        <f aca="false">IF(AND(ISNUMBER(EX32),ISNUMBER(EY13)),ROUND((EX32-EY13)*10,1),"")</f>
        <v/>
      </c>
      <c r="EZ23" s="50" t="str">
        <f aca="false">IF(AND(ISNUMBER(EY32),ISNUMBER(EZ13)),ROUND((EY32-EZ13)*10,1),"")</f>
        <v/>
      </c>
      <c r="FA23" s="50" t="str">
        <f aca="false">IF(AND(ISNUMBER(EZ32),ISNUMBER(FA13)),ROUND((EZ32-FA13)*10,1),"")</f>
        <v/>
      </c>
      <c r="FB23" s="50" t="str">
        <f aca="false">IF(AND(ISNUMBER(FA32),ISNUMBER(FB13)),ROUND((FA32-FB13)*10,1),"")</f>
        <v/>
      </c>
      <c r="FC23" s="50" t="str">
        <f aca="false">IF(AND(ISNUMBER(FB32),ISNUMBER(FC13)),ROUND((FB32-FC13)*10,1),"")</f>
        <v/>
      </c>
      <c r="FD23" s="50" t="str">
        <f aca="false">IF(AND(ISNUMBER(FC32),ISNUMBER(FD13)),ROUND((FC32-FD13)*10,1),"")</f>
        <v/>
      </c>
      <c r="FE23" s="50" t="str">
        <f aca="false">IF(AND(ISNUMBER(FD32),ISNUMBER(FE13)),ROUND((FD32-FE13)*10,1),"")</f>
        <v/>
      </c>
      <c r="FF23" s="50" t="str">
        <f aca="false">IF(AND(ISNUMBER(FE32),ISNUMBER(FF13)),ROUND((FE32-FF13)*10,1),"")</f>
        <v/>
      </c>
      <c r="FG23" s="50" t="str">
        <f aca="false">IF(AND(ISNUMBER(FF32),ISNUMBER(FG13)),ROUND((FF32-FG13)*10,1),"")</f>
        <v/>
      </c>
      <c r="FH23" s="50" t="str">
        <f aca="false">IF(AND(ISNUMBER(FG32),ISNUMBER(FH13)),ROUND((FG32-FH13)*10,1),"")</f>
        <v/>
      </c>
      <c r="FI23" s="50" t="str">
        <f aca="false">IF(AND(ISNUMBER(FH32),ISNUMBER(FI13)),ROUND((FH32-FI13)*10,1),"")</f>
        <v/>
      </c>
      <c r="FJ23" s="50" t="str">
        <f aca="false">IF(AND(ISNUMBER(FI32),ISNUMBER(FJ13)),ROUND((FI32-FJ13)*10,1),"")</f>
        <v/>
      </c>
      <c r="FK23" s="50" t="str">
        <f aca="false">IF(AND(ISNUMBER(FJ32),ISNUMBER(FK13)),ROUND((FJ32-FK13)*10,1),"")</f>
        <v/>
      </c>
      <c r="FL23" s="50" t="str">
        <f aca="false">IF(AND(ISNUMBER(FK32),ISNUMBER(FL13)),ROUND((FK32-FL13)*10,1),"")</f>
        <v/>
      </c>
      <c r="FM23" s="50" t="str">
        <f aca="false">IF(AND(ISNUMBER(FL32),ISNUMBER(FM13)),ROUND((FL32-FM13)*10,1),"")</f>
        <v/>
      </c>
      <c r="FN23" s="50" t="str">
        <f aca="false">IF(AND(ISNUMBER(FM32),ISNUMBER(FN13)),ROUND((FM32-FN13)*10,1),"")</f>
        <v/>
      </c>
      <c r="FO23" s="50" t="str">
        <f aca="false">IF(AND(ISNUMBER(FN32),ISNUMBER(FO13)),ROUND((FN32-FO13)*10,1),"")</f>
        <v/>
      </c>
      <c r="FP23" s="50" t="str">
        <f aca="false">IF(AND(ISNUMBER(FO32),ISNUMBER(FP13)),ROUND((FO32-FP13)*10,1),"")</f>
        <v/>
      </c>
      <c r="FQ23" s="50" t="str">
        <f aca="false">IF(AND(ISNUMBER(FP32),ISNUMBER(FQ13)),ROUND((FP32-FQ13)*10,1),"")</f>
        <v/>
      </c>
    </row>
    <row r="24" customFormat="false" ht="15" hidden="false" customHeight="false" outlineLevel="0" collapsed="false">
      <c r="A24" s="31" t="s">
        <v>328</v>
      </c>
      <c r="B24" s="17" t="s">
        <v>423</v>
      </c>
      <c r="D24" s="57" t="str">
        <f aca="false">IF(2_Daily_input!D32="","",2_Daily_input!D32)</f>
        <v/>
      </c>
      <c r="E24" s="57" t="str">
        <f aca="false">IF(2_Daily_input!E32="","",2_Daily_input!E32)</f>
        <v/>
      </c>
      <c r="F24" s="57" t="str">
        <f aca="false">IF(2_Daily_input!F32="","",2_Daily_input!F32)</f>
        <v/>
      </c>
      <c r="G24" s="57" t="str">
        <f aca="false">IF(2_Daily_input!G32="","",2_Daily_input!G32)</f>
        <v/>
      </c>
      <c r="H24" s="57" t="str">
        <f aca="false">IF(2_Daily_input!H32="","",2_Daily_input!H32)</f>
        <v/>
      </c>
      <c r="I24" s="57" t="str">
        <f aca="false">IF(2_Daily_input!I32="","",2_Daily_input!I32)</f>
        <v/>
      </c>
      <c r="J24" s="57" t="str">
        <f aca="false">IF(2_Daily_input!J32="","",2_Daily_input!J32)</f>
        <v/>
      </c>
      <c r="K24" s="57" t="str">
        <f aca="false">IF(2_Daily_input!K32="","",2_Daily_input!K32)</f>
        <v/>
      </c>
      <c r="L24" s="57" t="str">
        <f aca="false">IF(2_Daily_input!L32="","",2_Daily_input!L32)</f>
        <v/>
      </c>
      <c r="M24" s="57" t="str">
        <f aca="false">IF(2_Daily_input!M32="","",2_Daily_input!M32)</f>
        <v/>
      </c>
      <c r="N24" s="57" t="str">
        <f aca="false">IF(2_Daily_input!N32="","",2_Daily_input!N32)</f>
        <v/>
      </c>
      <c r="O24" s="57" t="str">
        <f aca="false">IF(2_Daily_input!O32="","",2_Daily_input!O32)</f>
        <v/>
      </c>
      <c r="P24" s="57" t="str">
        <f aca="false">IF(2_Daily_input!P32="","",2_Daily_input!P32)</f>
        <v/>
      </c>
      <c r="Q24" s="57" t="str">
        <f aca="false">IF(2_Daily_input!Q32="","",2_Daily_input!Q32)</f>
        <v/>
      </c>
      <c r="R24" s="57" t="str">
        <f aca="false">IF(2_Daily_input!R32="","",2_Daily_input!R32)</f>
        <v/>
      </c>
      <c r="S24" s="57" t="str">
        <f aca="false">IF(2_Daily_input!S32="","",2_Daily_input!S32)</f>
        <v/>
      </c>
      <c r="T24" s="57" t="str">
        <f aca="false">IF(2_Daily_input!T32="","",2_Daily_input!T32)</f>
        <v/>
      </c>
      <c r="U24" s="57" t="str">
        <f aca="false">IF(2_Daily_input!U32="","",2_Daily_input!U32)</f>
        <v/>
      </c>
      <c r="V24" s="57" t="str">
        <f aca="false">IF(2_Daily_input!V32="","",2_Daily_input!V32)</f>
        <v/>
      </c>
      <c r="W24" s="57" t="str">
        <f aca="false">IF(2_Daily_input!W32="","",2_Daily_input!W32)</f>
        <v/>
      </c>
      <c r="X24" s="57" t="str">
        <f aca="false">IF(2_Daily_input!X32="","",2_Daily_input!X32)</f>
        <v/>
      </c>
      <c r="Y24" s="57" t="str">
        <f aca="false">IF(2_Daily_input!Y32="","",2_Daily_input!Y32)</f>
        <v/>
      </c>
      <c r="Z24" s="57" t="str">
        <f aca="false">IF(2_Daily_input!Z32="","",2_Daily_input!Z32)</f>
        <v/>
      </c>
      <c r="AA24" s="57" t="str">
        <f aca="false">IF(2_Daily_input!AA32="","",2_Daily_input!AA32)</f>
        <v/>
      </c>
      <c r="AB24" s="57" t="str">
        <f aca="false">IF(2_Daily_input!AB32="","",2_Daily_input!AB32)</f>
        <v/>
      </c>
      <c r="AC24" s="57" t="str">
        <f aca="false">IF(2_Daily_input!AC32="","",2_Daily_input!AC32)</f>
        <v/>
      </c>
      <c r="AD24" s="57" t="str">
        <f aca="false">IF(2_Daily_input!AD32="","",2_Daily_input!AD32)</f>
        <v/>
      </c>
      <c r="AE24" s="57" t="str">
        <f aca="false">IF(2_Daily_input!AE32="","",2_Daily_input!AE32)</f>
        <v/>
      </c>
      <c r="AF24" s="57" t="str">
        <f aca="false">IF(2_Daily_input!AF32="","",2_Daily_input!AF32)</f>
        <v/>
      </c>
      <c r="AG24" s="57" t="str">
        <f aca="false">IF(2_Daily_input!AG32="","",2_Daily_input!AG32)</f>
        <v/>
      </c>
      <c r="AH24" s="57" t="str">
        <f aca="false">IF(2_Daily_input!AH32="","",2_Daily_input!AH32)</f>
        <v/>
      </c>
      <c r="AI24" s="57" t="str">
        <f aca="false">IF(2_Daily_input!AI32="","",2_Daily_input!AI32)</f>
        <v/>
      </c>
      <c r="AJ24" s="57" t="str">
        <f aca="false">IF(2_Daily_input!AJ32="","",2_Daily_input!AJ32)</f>
        <v/>
      </c>
      <c r="AK24" s="57" t="str">
        <f aca="false">IF(2_Daily_input!AK32="","",2_Daily_input!AK32)</f>
        <v/>
      </c>
      <c r="AL24" s="57" t="str">
        <f aca="false">IF(2_Daily_input!AL32="","",2_Daily_input!AL32)</f>
        <v/>
      </c>
      <c r="AM24" s="57" t="str">
        <f aca="false">IF(2_Daily_input!AM32="","",2_Daily_input!AM32)</f>
        <v/>
      </c>
      <c r="AN24" s="57" t="str">
        <f aca="false">IF(2_Daily_input!AN32="","",2_Daily_input!AN32)</f>
        <v/>
      </c>
      <c r="AO24" s="57" t="str">
        <f aca="false">IF(2_Daily_input!AO32="","",2_Daily_input!AO32)</f>
        <v/>
      </c>
      <c r="AP24" s="57" t="str">
        <f aca="false">IF(2_Daily_input!AP32="","",2_Daily_input!AP32)</f>
        <v/>
      </c>
      <c r="AQ24" s="57" t="str">
        <f aca="false">IF(2_Daily_input!AQ32="","",2_Daily_input!AQ32)</f>
        <v/>
      </c>
      <c r="AR24" s="57" t="str">
        <f aca="false">IF(2_Daily_input!AR32="","",2_Daily_input!AR32)</f>
        <v/>
      </c>
      <c r="AS24" s="57" t="str">
        <f aca="false">IF(2_Daily_input!AS32="","",2_Daily_input!AS32)</f>
        <v/>
      </c>
      <c r="AT24" s="57" t="str">
        <f aca="false">IF(2_Daily_input!AT32="","",2_Daily_input!AT32)</f>
        <v/>
      </c>
      <c r="AU24" s="57" t="str">
        <f aca="false">IF(2_Daily_input!AU32="","",2_Daily_input!AU32)</f>
        <v/>
      </c>
      <c r="AV24" s="57" t="str">
        <f aca="false">IF(2_Daily_input!AV32="","",2_Daily_input!AV32)</f>
        <v/>
      </c>
      <c r="AW24" s="57" t="str">
        <f aca="false">IF(2_Daily_input!AW32="","",2_Daily_input!AW32)</f>
        <v/>
      </c>
      <c r="AX24" s="57" t="str">
        <f aca="false">IF(2_Daily_input!AX32="","",2_Daily_input!AX32)</f>
        <v/>
      </c>
      <c r="AY24" s="57" t="str">
        <f aca="false">IF(2_Daily_input!AY32="","",2_Daily_input!AY32)</f>
        <v/>
      </c>
      <c r="AZ24" s="57" t="str">
        <f aca="false">IF(2_Daily_input!AZ32="","",2_Daily_input!AZ32)</f>
        <v/>
      </c>
      <c r="BA24" s="57" t="str">
        <f aca="false">IF(2_Daily_input!BA32="","",2_Daily_input!BA32)</f>
        <v/>
      </c>
      <c r="BB24" s="57" t="str">
        <f aca="false">IF(2_Daily_input!BB32="","",2_Daily_input!BB32)</f>
        <v/>
      </c>
      <c r="BC24" s="57" t="str">
        <f aca="false">IF(2_Daily_input!BC32="","",2_Daily_input!BC32)</f>
        <v/>
      </c>
      <c r="BD24" s="57" t="str">
        <f aca="false">IF(2_Daily_input!BD32="","",2_Daily_input!BD32)</f>
        <v/>
      </c>
      <c r="BE24" s="57" t="str">
        <f aca="false">IF(2_Daily_input!BE32="","",2_Daily_input!BE32)</f>
        <v/>
      </c>
      <c r="BF24" s="57" t="str">
        <f aca="false">IF(2_Daily_input!BF32="","",2_Daily_input!BF32)</f>
        <v/>
      </c>
      <c r="BG24" s="57" t="str">
        <f aca="false">IF(2_Daily_input!BG32="","",2_Daily_input!BG32)</f>
        <v/>
      </c>
      <c r="BH24" s="57" t="str">
        <f aca="false">IF(2_Daily_input!BH32="","",2_Daily_input!BH32)</f>
        <v/>
      </c>
      <c r="BI24" s="57" t="str">
        <f aca="false">IF(2_Daily_input!BI32="","",2_Daily_input!BI32)</f>
        <v/>
      </c>
      <c r="BJ24" s="57" t="str">
        <f aca="false">IF(2_Daily_input!BJ32="","",2_Daily_input!BJ32)</f>
        <v/>
      </c>
      <c r="BK24" s="57" t="str">
        <f aca="false">IF(2_Daily_input!BK32="","",2_Daily_input!BK32)</f>
        <v/>
      </c>
      <c r="BL24" s="57" t="str">
        <f aca="false">IF(2_Daily_input!BL32="","",2_Daily_input!BL32)</f>
        <v/>
      </c>
      <c r="BM24" s="57" t="str">
        <f aca="false">IF(2_Daily_input!BM32="","",2_Daily_input!BM32)</f>
        <v/>
      </c>
      <c r="BN24" s="57" t="str">
        <f aca="false">IF(2_Daily_input!BN32="","",2_Daily_input!BN32)</f>
        <v/>
      </c>
      <c r="BO24" s="57" t="str">
        <f aca="false">IF(2_Daily_input!BO32="","",2_Daily_input!BO32)</f>
        <v/>
      </c>
      <c r="BP24" s="57" t="str">
        <f aca="false">IF(2_Daily_input!BP32="","",2_Daily_input!BP32)</f>
        <v/>
      </c>
      <c r="BQ24" s="57" t="str">
        <f aca="false">IF(2_Daily_input!BQ32="","",2_Daily_input!BQ32)</f>
        <v/>
      </c>
      <c r="BR24" s="57" t="str">
        <f aca="false">IF(2_Daily_input!BR32="","",2_Daily_input!BR32)</f>
        <v/>
      </c>
      <c r="BS24" s="57" t="str">
        <f aca="false">IF(2_Daily_input!BS32="","",2_Daily_input!BS32)</f>
        <v/>
      </c>
      <c r="BT24" s="57" t="str">
        <f aca="false">IF(2_Daily_input!BT32="","",2_Daily_input!BT32)</f>
        <v/>
      </c>
      <c r="BU24" s="57" t="str">
        <f aca="false">IF(2_Daily_input!BU32="","",2_Daily_input!BU32)</f>
        <v/>
      </c>
      <c r="BV24" s="57" t="str">
        <f aca="false">IF(2_Daily_input!BV32="","",2_Daily_input!BV32)</f>
        <v/>
      </c>
      <c r="BW24" s="57" t="str">
        <f aca="false">IF(2_Daily_input!BW32="","",2_Daily_input!BW32)</f>
        <v/>
      </c>
      <c r="BX24" s="57" t="str">
        <f aca="false">IF(2_Daily_input!BX32="","",2_Daily_input!BX32)</f>
        <v/>
      </c>
      <c r="BY24" s="57" t="str">
        <f aca="false">IF(2_Daily_input!BY32="","",2_Daily_input!BY32)</f>
        <v/>
      </c>
      <c r="BZ24" s="57" t="str">
        <f aca="false">IF(2_Daily_input!BZ32="","",2_Daily_input!BZ32)</f>
        <v/>
      </c>
      <c r="CA24" s="57" t="str">
        <f aca="false">IF(2_Daily_input!CA32="","",2_Daily_input!CA32)</f>
        <v/>
      </c>
      <c r="CB24" s="57" t="str">
        <f aca="false">IF(2_Daily_input!CB32="","",2_Daily_input!CB32)</f>
        <v/>
      </c>
      <c r="CC24" s="57" t="str">
        <f aca="false">IF(2_Daily_input!CC32="","",2_Daily_input!CC32)</f>
        <v/>
      </c>
      <c r="CD24" s="57" t="str">
        <f aca="false">IF(2_Daily_input!CD32="","",2_Daily_input!CD32)</f>
        <v/>
      </c>
      <c r="CE24" s="57" t="str">
        <f aca="false">IF(2_Daily_input!CE32="","",2_Daily_input!CE32)</f>
        <v/>
      </c>
      <c r="CF24" s="57" t="str">
        <f aca="false">IF(2_Daily_input!CF32="","",2_Daily_input!CF32)</f>
        <v/>
      </c>
      <c r="CG24" s="57" t="str">
        <f aca="false">IF(2_Daily_input!CG32="","",2_Daily_input!CG32)</f>
        <v/>
      </c>
      <c r="CH24" s="57" t="str">
        <f aca="false">IF(2_Daily_input!CH32="","",2_Daily_input!CH32)</f>
        <v/>
      </c>
      <c r="CI24" s="57" t="str">
        <f aca="false">IF(2_Daily_input!CI32="","",2_Daily_input!CI32)</f>
        <v/>
      </c>
      <c r="CJ24" s="57" t="str">
        <f aca="false">IF(2_Daily_input!CJ32="","",2_Daily_input!CJ32)</f>
        <v/>
      </c>
      <c r="CK24" s="57" t="str">
        <f aca="false">IF(2_Daily_input!CK32="","",2_Daily_input!CK32)</f>
        <v/>
      </c>
      <c r="CL24" s="57" t="str">
        <f aca="false">IF(2_Daily_input!CL32="","",2_Daily_input!CL32)</f>
        <v/>
      </c>
      <c r="CM24" s="57" t="str">
        <f aca="false">IF(2_Daily_input!CM32="","",2_Daily_input!CM32)</f>
        <v/>
      </c>
      <c r="CN24" s="57" t="str">
        <f aca="false">IF(2_Daily_input!CN32="","",2_Daily_input!CN32)</f>
        <v/>
      </c>
      <c r="CO24" s="57" t="str">
        <f aca="false">IF(2_Daily_input!CO32="","",2_Daily_input!CO32)</f>
        <v/>
      </c>
      <c r="CP24" s="57" t="str">
        <f aca="false">IF(2_Daily_input!CP32="","",2_Daily_input!CP32)</f>
        <v/>
      </c>
      <c r="CQ24" s="57" t="str">
        <f aca="false">IF(2_Daily_input!CQ32="","",2_Daily_input!CQ32)</f>
        <v/>
      </c>
      <c r="CR24" s="57" t="str">
        <f aca="false">IF(2_Daily_input!CR32="","",2_Daily_input!CR32)</f>
        <v/>
      </c>
      <c r="CS24" s="57" t="str">
        <f aca="false">IF(2_Daily_input!CS32="","",2_Daily_input!CS32)</f>
        <v/>
      </c>
      <c r="CT24" s="57" t="str">
        <f aca="false">IF(2_Daily_input!CT32="","",2_Daily_input!CT32)</f>
        <v/>
      </c>
      <c r="CU24" s="57" t="str">
        <f aca="false">IF(2_Daily_input!CU32="","",2_Daily_input!CU32)</f>
        <v/>
      </c>
      <c r="CV24" s="57" t="str">
        <f aca="false">IF(2_Daily_input!CV32="","",2_Daily_input!CV32)</f>
        <v/>
      </c>
      <c r="CW24" s="57" t="str">
        <f aca="false">IF(2_Daily_input!CW32="","",2_Daily_input!CW32)</f>
        <v/>
      </c>
      <c r="CX24" s="57" t="str">
        <f aca="false">IF(2_Daily_input!CX32="","",2_Daily_input!CX32)</f>
        <v/>
      </c>
      <c r="CY24" s="57" t="str">
        <f aca="false">IF(2_Daily_input!CY32="","",2_Daily_input!CY32)</f>
        <v/>
      </c>
      <c r="CZ24" s="57" t="str">
        <f aca="false">IF(2_Daily_input!CZ32="","",2_Daily_input!CZ32)</f>
        <v/>
      </c>
      <c r="DA24" s="57" t="str">
        <f aca="false">IF(2_Daily_input!DA32="","",2_Daily_input!DA32)</f>
        <v/>
      </c>
      <c r="DB24" s="57" t="str">
        <f aca="false">IF(2_Daily_input!DB32="","",2_Daily_input!DB32)</f>
        <v/>
      </c>
      <c r="DC24" s="57" t="str">
        <f aca="false">IF(2_Daily_input!DC32="","",2_Daily_input!DC32)</f>
        <v/>
      </c>
      <c r="DD24" s="57" t="str">
        <f aca="false">IF(2_Daily_input!DD32="","",2_Daily_input!DD32)</f>
        <v/>
      </c>
      <c r="DE24" s="57" t="str">
        <f aca="false">IF(2_Daily_input!DE32="","",2_Daily_input!DE32)</f>
        <v/>
      </c>
      <c r="DF24" s="57" t="str">
        <f aca="false">IF(2_Daily_input!DF32="","",2_Daily_input!DF32)</f>
        <v/>
      </c>
      <c r="DG24" s="57" t="str">
        <f aca="false">IF(2_Daily_input!DG32="","",2_Daily_input!DG32)</f>
        <v/>
      </c>
      <c r="DH24" s="57" t="str">
        <f aca="false">IF(2_Daily_input!DH32="","",2_Daily_input!DH32)</f>
        <v/>
      </c>
      <c r="DI24" s="57" t="str">
        <f aca="false">IF(2_Daily_input!DI32="","",2_Daily_input!DI32)</f>
        <v/>
      </c>
      <c r="DJ24" s="57" t="str">
        <f aca="false">IF(2_Daily_input!DJ32="","",2_Daily_input!DJ32)</f>
        <v/>
      </c>
      <c r="DK24" s="57" t="str">
        <f aca="false">IF(2_Daily_input!DK32="","",2_Daily_input!DK32)</f>
        <v/>
      </c>
      <c r="DL24" s="57" t="str">
        <f aca="false">IF(2_Daily_input!DL32="","",2_Daily_input!DL32)</f>
        <v/>
      </c>
      <c r="DM24" s="57" t="str">
        <f aca="false">IF(2_Daily_input!DM32="","",2_Daily_input!DM32)</f>
        <v/>
      </c>
      <c r="DN24" s="57" t="str">
        <f aca="false">IF(2_Daily_input!DN32="","",2_Daily_input!DN32)</f>
        <v/>
      </c>
      <c r="DO24" s="57" t="str">
        <f aca="false">IF(2_Daily_input!DO32="","",2_Daily_input!DO32)</f>
        <v/>
      </c>
      <c r="DP24" s="57" t="str">
        <f aca="false">IF(2_Daily_input!DP32="","",2_Daily_input!DP32)</f>
        <v/>
      </c>
      <c r="DQ24" s="57" t="str">
        <f aca="false">IF(2_Daily_input!DQ32="","",2_Daily_input!DQ32)</f>
        <v/>
      </c>
      <c r="DR24" s="57" t="str">
        <f aca="false">IF(2_Daily_input!DR32="","",2_Daily_input!DR32)</f>
        <v/>
      </c>
      <c r="DS24" s="57" t="str">
        <f aca="false">IF(2_Daily_input!DS32="","",2_Daily_input!DS32)</f>
        <v/>
      </c>
      <c r="DT24" s="57" t="str">
        <f aca="false">IF(2_Daily_input!DT32="","",2_Daily_input!DT32)</f>
        <v/>
      </c>
      <c r="DU24" s="57" t="str">
        <f aca="false">IF(2_Daily_input!DU32="","",2_Daily_input!DU32)</f>
        <v/>
      </c>
      <c r="DV24" s="57" t="str">
        <f aca="false">IF(2_Daily_input!DV32="","",2_Daily_input!DV32)</f>
        <v/>
      </c>
      <c r="DW24" s="57" t="str">
        <f aca="false">IF(2_Daily_input!DW32="","",2_Daily_input!DW32)</f>
        <v/>
      </c>
      <c r="DX24" s="57" t="str">
        <f aca="false">IF(2_Daily_input!DX32="","",2_Daily_input!DX32)</f>
        <v/>
      </c>
      <c r="DY24" s="57" t="str">
        <f aca="false">IF(2_Daily_input!DY32="","",2_Daily_input!DY32)</f>
        <v/>
      </c>
      <c r="DZ24" s="57" t="str">
        <f aca="false">IF(2_Daily_input!DZ32="","",2_Daily_input!DZ32)</f>
        <v/>
      </c>
      <c r="EA24" s="57" t="str">
        <f aca="false">IF(2_Daily_input!EA32="","",2_Daily_input!EA32)</f>
        <v/>
      </c>
      <c r="EB24" s="57" t="str">
        <f aca="false">IF(2_Daily_input!EB32="","",2_Daily_input!EB32)</f>
        <v/>
      </c>
      <c r="EC24" s="57" t="str">
        <f aca="false">IF(2_Daily_input!EC32="","",2_Daily_input!EC32)</f>
        <v/>
      </c>
      <c r="ED24" s="57" t="str">
        <f aca="false">IF(2_Daily_input!ED32="","",2_Daily_input!ED32)</f>
        <v/>
      </c>
      <c r="EE24" s="57" t="str">
        <f aca="false">IF(2_Daily_input!EE32="","",2_Daily_input!EE32)</f>
        <v/>
      </c>
      <c r="EF24" s="57" t="str">
        <f aca="false">IF(2_Daily_input!EF32="","",2_Daily_input!EF32)</f>
        <v/>
      </c>
      <c r="EG24" s="57" t="str">
        <f aca="false">IF(2_Daily_input!EG32="","",2_Daily_input!EG32)</f>
        <v/>
      </c>
      <c r="EH24" s="57" t="str">
        <f aca="false">IF(2_Daily_input!EH32="","",2_Daily_input!EH32)</f>
        <v/>
      </c>
      <c r="EI24" s="57" t="str">
        <f aca="false">IF(2_Daily_input!EI32="","",2_Daily_input!EI32)</f>
        <v/>
      </c>
      <c r="EJ24" s="57" t="str">
        <f aca="false">IF(2_Daily_input!EJ32="","",2_Daily_input!EJ32)</f>
        <v/>
      </c>
      <c r="EK24" s="57" t="str">
        <f aca="false">IF(2_Daily_input!EK32="","",2_Daily_input!EK32)</f>
        <v/>
      </c>
      <c r="EL24" s="57" t="str">
        <f aca="false">IF(2_Daily_input!EL32="","",2_Daily_input!EL32)</f>
        <v/>
      </c>
      <c r="EM24" s="57" t="str">
        <f aca="false">IF(2_Daily_input!EM32="","",2_Daily_input!EM32)</f>
        <v/>
      </c>
      <c r="EN24" s="57" t="str">
        <f aca="false">IF(2_Daily_input!EN32="","",2_Daily_input!EN32)</f>
        <v/>
      </c>
      <c r="EO24" s="57" t="str">
        <f aca="false">IF(2_Daily_input!EO32="","",2_Daily_input!EO32)</f>
        <v/>
      </c>
      <c r="EP24" s="57" t="str">
        <f aca="false">IF(2_Daily_input!EP32="","",2_Daily_input!EP32)</f>
        <v/>
      </c>
      <c r="EQ24" s="57" t="str">
        <f aca="false">IF(2_Daily_input!EQ32="","",2_Daily_input!EQ32)</f>
        <v/>
      </c>
      <c r="ER24" s="57" t="str">
        <f aca="false">IF(2_Daily_input!ER32="","",2_Daily_input!ER32)</f>
        <v/>
      </c>
      <c r="ES24" s="57" t="str">
        <f aca="false">IF(2_Daily_input!ES32="","",2_Daily_input!ES32)</f>
        <v/>
      </c>
      <c r="ET24" s="57" t="str">
        <f aca="false">IF(2_Daily_input!ET32="","",2_Daily_input!ET32)</f>
        <v/>
      </c>
      <c r="EU24" s="57" t="str">
        <f aca="false">IF(2_Daily_input!EU32="","",2_Daily_input!EU32)</f>
        <v/>
      </c>
      <c r="EV24" s="57" t="str">
        <f aca="false">IF(2_Daily_input!EV32="","",2_Daily_input!EV32)</f>
        <v/>
      </c>
      <c r="EW24" s="57" t="str">
        <f aca="false">IF(2_Daily_input!EW32="","",2_Daily_input!EW32)</f>
        <v/>
      </c>
      <c r="EX24" s="57" t="str">
        <f aca="false">IF(2_Daily_input!EX32="","",2_Daily_input!EX32)</f>
        <v/>
      </c>
      <c r="EY24" s="57" t="str">
        <f aca="false">IF(2_Daily_input!EY32="","",2_Daily_input!EY32)</f>
        <v/>
      </c>
      <c r="EZ24" s="57" t="str">
        <f aca="false">IF(2_Daily_input!EZ32="","",2_Daily_input!EZ32)</f>
        <v/>
      </c>
      <c r="FA24" s="57" t="str">
        <f aca="false">IF(2_Daily_input!FA32="","",2_Daily_input!FA32)</f>
        <v/>
      </c>
      <c r="FB24" s="57" t="str">
        <f aca="false">IF(2_Daily_input!FB32="","",2_Daily_input!FB32)</f>
        <v/>
      </c>
      <c r="FC24" s="57" t="str">
        <f aca="false">IF(2_Daily_input!FC32="","",2_Daily_input!FC32)</f>
        <v/>
      </c>
      <c r="FD24" s="57" t="str">
        <f aca="false">IF(2_Daily_input!FD32="","",2_Daily_input!FD32)</f>
        <v/>
      </c>
      <c r="FE24" s="57" t="str">
        <f aca="false">IF(2_Daily_input!FE32="","",2_Daily_input!FE32)</f>
        <v/>
      </c>
      <c r="FF24" s="57" t="str">
        <f aca="false">IF(2_Daily_input!FF32="","",2_Daily_input!FF32)</f>
        <v/>
      </c>
      <c r="FG24" s="57" t="str">
        <f aca="false">IF(2_Daily_input!FG32="","",2_Daily_input!FG32)</f>
        <v/>
      </c>
      <c r="FH24" s="57" t="str">
        <f aca="false">IF(2_Daily_input!FH32="","",2_Daily_input!FH32)</f>
        <v/>
      </c>
      <c r="FI24" s="57" t="str">
        <f aca="false">IF(2_Daily_input!FI32="","",2_Daily_input!FI32)</f>
        <v/>
      </c>
      <c r="FJ24" s="57" t="str">
        <f aca="false">IF(2_Daily_input!FJ32="","",2_Daily_input!FJ32)</f>
        <v/>
      </c>
      <c r="FK24" s="57" t="str">
        <f aca="false">IF(2_Daily_input!FK32="","",2_Daily_input!FK32)</f>
        <v/>
      </c>
      <c r="FL24" s="57" t="str">
        <f aca="false">IF(2_Daily_input!FL32="","",2_Daily_input!FL32)</f>
        <v/>
      </c>
      <c r="FM24" s="57" t="str">
        <f aca="false">IF(2_Daily_input!FM32="","",2_Daily_input!FM32)</f>
        <v/>
      </c>
      <c r="FN24" s="57" t="str">
        <f aca="false">IF(2_Daily_input!FN32="","",2_Daily_input!FN32)</f>
        <v/>
      </c>
      <c r="FO24" s="57" t="str">
        <f aca="false">IF(2_Daily_input!FO32="","",2_Daily_input!FO32)</f>
        <v/>
      </c>
      <c r="FP24" s="57" t="str">
        <f aca="false">IF(2_Daily_input!FP32="","",2_Daily_input!FP32)</f>
        <v/>
      </c>
      <c r="FQ24" s="57" t="str">
        <f aca="false">IF(2_Daily_input!FQ32="","",2_Daily_input!FQ32)</f>
        <v/>
      </c>
    </row>
    <row r="25" customFormat="false" ht="15" hidden="false" customHeight="false" outlineLevel="0" collapsed="false">
      <c r="A25" s="31" t="s">
        <v>328</v>
      </c>
      <c r="B25" s="17" t="s">
        <v>424</v>
      </c>
      <c r="D25" s="57" t="str">
        <f aca="false">IF(2_Daily_input!D33="","",2_Daily_input!D33)</f>
        <v/>
      </c>
      <c r="E25" s="57" t="str">
        <f aca="false">IF(2_Daily_input!E33="","",2_Daily_input!E33)</f>
        <v/>
      </c>
      <c r="F25" s="57" t="str">
        <f aca="false">IF(2_Daily_input!F33="","",2_Daily_input!F33)</f>
        <v/>
      </c>
      <c r="G25" s="57" t="str">
        <f aca="false">IF(2_Daily_input!G33="","",2_Daily_input!G33)</f>
        <v/>
      </c>
      <c r="H25" s="57" t="str">
        <f aca="false">IF(2_Daily_input!H33="","",2_Daily_input!H33)</f>
        <v/>
      </c>
      <c r="I25" s="57" t="str">
        <f aca="false">IF(2_Daily_input!I33="","",2_Daily_input!I33)</f>
        <v/>
      </c>
      <c r="J25" s="57" t="str">
        <f aca="false">IF(2_Daily_input!J33="","",2_Daily_input!J33)</f>
        <v/>
      </c>
      <c r="K25" s="57" t="str">
        <f aca="false">IF(2_Daily_input!K33="","",2_Daily_input!K33)</f>
        <v/>
      </c>
      <c r="L25" s="57" t="str">
        <f aca="false">IF(2_Daily_input!L33="","",2_Daily_input!L33)</f>
        <v/>
      </c>
      <c r="M25" s="57" t="str">
        <f aca="false">IF(2_Daily_input!M33="","",2_Daily_input!M33)</f>
        <v/>
      </c>
      <c r="N25" s="57" t="str">
        <f aca="false">IF(2_Daily_input!N33="","",2_Daily_input!N33)</f>
        <v/>
      </c>
      <c r="O25" s="57" t="str">
        <f aca="false">IF(2_Daily_input!O33="","",2_Daily_input!O33)</f>
        <v/>
      </c>
      <c r="P25" s="57" t="str">
        <f aca="false">IF(2_Daily_input!P33="","",2_Daily_input!P33)</f>
        <v/>
      </c>
      <c r="Q25" s="57" t="str">
        <f aca="false">IF(2_Daily_input!Q33="","",2_Daily_input!Q33)</f>
        <v/>
      </c>
      <c r="R25" s="57" t="str">
        <f aca="false">IF(2_Daily_input!R33="","",2_Daily_input!R33)</f>
        <v/>
      </c>
      <c r="S25" s="57" t="str">
        <f aca="false">IF(2_Daily_input!S33="","",2_Daily_input!S33)</f>
        <v/>
      </c>
      <c r="T25" s="57" t="str">
        <f aca="false">IF(2_Daily_input!T33="","",2_Daily_input!T33)</f>
        <v/>
      </c>
      <c r="U25" s="57" t="str">
        <f aca="false">IF(2_Daily_input!U33="","",2_Daily_input!U33)</f>
        <v/>
      </c>
      <c r="V25" s="57" t="str">
        <f aca="false">IF(2_Daily_input!V33="","",2_Daily_input!V33)</f>
        <v/>
      </c>
      <c r="W25" s="57" t="str">
        <f aca="false">IF(2_Daily_input!W33="","",2_Daily_input!W33)</f>
        <v/>
      </c>
      <c r="X25" s="57" t="str">
        <f aca="false">IF(2_Daily_input!X33="","",2_Daily_input!X33)</f>
        <v/>
      </c>
      <c r="Y25" s="57" t="str">
        <f aca="false">IF(2_Daily_input!Y33="","",2_Daily_input!Y33)</f>
        <v/>
      </c>
      <c r="Z25" s="57" t="str">
        <f aca="false">IF(2_Daily_input!Z33="","",2_Daily_input!Z33)</f>
        <v/>
      </c>
      <c r="AA25" s="57" t="str">
        <f aca="false">IF(2_Daily_input!AA33="","",2_Daily_input!AA33)</f>
        <v/>
      </c>
      <c r="AB25" s="57" t="str">
        <f aca="false">IF(2_Daily_input!AB33="","",2_Daily_input!AB33)</f>
        <v/>
      </c>
      <c r="AC25" s="57" t="str">
        <f aca="false">IF(2_Daily_input!AC33="","",2_Daily_input!AC33)</f>
        <v/>
      </c>
      <c r="AD25" s="57" t="str">
        <f aca="false">IF(2_Daily_input!AD33="","",2_Daily_input!AD33)</f>
        <v/>
      </c>
      <c r="AE25" s="57" t="str">
        <f aca="false">IF(2_Daily_input!AE33="","",2_Daily_input!AE33)</f>
        <v/>
      </c>
      <c r="AF25" s="57" t="str">
        <f aca="false">IF(2_Daily_input!AF33="","",2_Daily_input!AF33)</f>
        <v/>
      </c>
      <c r="AG25" s="57" t="str">
        <f aca="false">IF(2_Daily_input!AG33="","",2_Daily_input!AG33)</f>
        <v/>
      </c>
      <c r="AH25" s="57" t="str">
        <f aca="false">IF(2_Daily_input!AH33="","",2_Daily_input!AH33)</f>
        <v/>
      </c>
      <c r="AI25" s="57" t="str">
        <f aca="false">IF(2_Daily_input!AI33="","",2_Daily_input!AI33)</f>
        <v/>
      </c>
      <c r="AJ25" s="57" t="str">
        <f aca="false">IF(2_Daily_input!AJ33="","",2_Daily_input!AJ33)</f>
        <v/>
      </c>
      <c r="AK25" s="57" t="str">
        <f aca="false">IF(2_Daily_input!AK33="","",2_Daily_input!AK33)</f>
        <v/>
      </c>
      <c r="AL25" s="57" t="str">
        <f aca="false">IF(2_Daily_input!AL33="","",2_Daily_input!AL33)</f>
        <v/>
      </c>
      <c r="AM25" s="57" t="str">
        <f aca="false">IF(2_Daily_input!AM33="","",2_Daily_input!AM33)</f>
        <v/>
      </c>
      <c r="AN25" s="57" t="str">
        <f aca="false">IF(2_Daily_input!AN33="","",2_Daily_input!AN33)</f>
        <v/>
      </c>
      <c r="AO25" s="57" t="str">
        <f aca="false">IF(2_Daily_input!AO33="","",2_Daily_input!AO33)</f>
        <v/>
      </c>
      <c r="AP25" s="57" t="str">
        <f aca="false">IF(2_Daily_input!AP33="","",2_Daily_input!AP33)</f>
        <v/>
      </c>
      <c r="AQ25" s="57" t="str">
        <f aca="false">IF(2_Daily_input!AQ33="","",2_Daily_input!AQ33)</f>
        <v/>
      </c>
      <c r="AR25" s="57" t="str">
        <f aca="false">IF(2_Daily_input!AR33="","",2_Daily_input!AR33)</f>
        <v/>
      </c>
      <c r="AS25" s="57" t="str">
        <f aca="false">IF(2_Daily_input!AS33="","",2_Daily_input!AS33)</f>
        <v/>
      </c>
      <c r="AT25" s="57" t="str">
        <f aca="false">IF(2_Daily_input!AT33="","",2_Daily_input!AT33)</f>
        <v/>
      </c>
      <c r="AU25" s="57" t="str">
        <f aca="false">IF(2_Daily_input!AU33="","",2_Daily_input!AU33)</f>
        <v/>
      </c>
      <c r="AV25" s="57" t="str">
        <f aca="false">IF(2_Daily_input!AV33="","",2_Daily_input!AV33)</f>
        <v/>
      </c>
      <c r="AW25" s="57" t="str">
        <f aca="false">IF(2_Daily_input!AW33="","",2_Daily_input!AW33)</f>
        <v/>
      </c>
      <c r="AX25" s="57" t="str">
        <f aca="false">IF(2_Daily_input!AX33="","",2_Daily_input!AX33)</f>
        <v/>
      </c>
      <c r="AY25" s="57" t="str">
        <f aca="false">IF(2_Daily_input!AY33="","",2_Daily_input!AY33)</f>
        <v/>
      </c>
      <c r="AZ25" s="57" t="str">
        <f aca="false">IF(2_Daily_input!AZ33="","",2_Daily_input!AZ33)</f>
        <v/>
      </c>
      <c r="BA25" s="57" t="str">
        <f aca="false">IF(2_Daily_input!BA33="","",2_Daily_input!BA33)</f>
        <v/>
      </c>
      <c r="BB25" s="57" t="str">
        <f aca="false">IF(2_Daily_input!BB33="","",2_Daily_input!BB33)</f>
        <v/>
      </c>
      <c r="BC25" s="57" t="str">
        <f aca="false">IF(2_Daily_input!BC33="","",2_Daily_input!BC33)</f>
        <v/>
      </c>
      <c r="BD25" s="57" t="str">
        <f aca="false">IF(2_Daily_input!BD33="","",2_Daily_input!BD33)</f>
        <v>Good</v>
      </c>
      <c r="BE25" s="57" t="str">
        <f aca="false">IF(2_Daily_input!BE33="","",2_Daily_input!BE33)</f>
        <v>Good</v>
      </c>
      <c r="BF25" s="57" t="str">
        <f aca="false">IF(2_Daily_input!BF33="","",2_Daily_input!BF33)</f>
        <v>Good</v>
      </c>
      <c r="BG25" s="57" t="str">
        <f aca="false">IF(2_Daily_input!BG33="","",2_Daily_input!BG33)</f>
        <v>Good</v>
      </c>
      <c r="BH25" s="57" t="str">
        <f aca="false">IF(2_Daily_input!BH33="","",2_Daily_input!BH33)</f>
        <v>Good</v>
      </c>
      <c r="BI25" s="57" t="str">
        <f aca="false">IF(2_Daily_input!BI33="","",2_Daily_input!BI33)</f>
        <v>Good</v>
      </c>
      <c r="BJ25" s="57" t="str">
        <f aca="false">IF(2_Daily_input!BJ33="","",2_Daily_input!BJ33)</f>
        <v>Good</v>
      </c>
      <c r="BK25" s="57" t="str">
        <f aca="false">IF(2_Daily_input!BK33="","",2_Daily_input!BK33)</f>
        <v>Good</v>
      </c>
      <c r="BL25" s="57" t="str">
        <f aca="false">IF(2_Daily_input!BL33="","",2_Daily_input!BL33)</f>
        <v>Good</v>
      </c>
      <c r="BM25" s="57" t="str">
        <f aca="false">IF(2_Daily_input!BM33="","",2_Daily_input!BM33)</f>
        <v>Good</v>
      </c>
      <c r="BN25" s="57" t="str">
        <f aca="false">IF(2_Daily_input!BN33="","",2_Daily_input!BN33)</f>
        <v>Good</v>
      </c>
      <c r="BO25" s="57" t="str">
        <f aca="false">IF(2_Daily_input!BO33="","",2_Daily_input!BO33)</f>
        <v>Good</v>
      </c>
      <c r="BP25" s="57" t="str">
        <f aca="false">IF(2_Daily_input!BP33="","",2_Daily_input!BP33)</f>
        <v>Good</v>
      </c>
      <c r="BQ25" s="57" t="str">
        <f aca="false">IF(2_Daily_input!BQ33="","",2_Daily_input!BQ33)</f>
        <v>Good</v>
      </c>
      <c r="BR25" s="57" t="str">
        <f aca="false">IF(2_Daily_input!BR33="","",2_Daily_input!BR33)</f>
        <v>Good</v>
      </c>
      <c r="BS25" s="57" t="str">
        <f aca="false">IF(2_Daily_input!BS33="","",2_Daily_input!BS33)</f>
        <v>Good</v>
      </c>
      <c r="BT25" s="57" t="str">
        <f aca="false">IF(2_Daily_input!BT33="","",2_Daily_input!BT33)</f>
        <v>Good</v>
      </c>
      <c r="BU25" s="57" t="str">
        <f aca="false">IF(2_Daily_input!BU33="","",2_Daily_input!BU33)</f>
        <v>Good</v>
      </c>
      <c r="BV25" s="57" t="str">
        <f aca="false">IF(2_Daily_input!BV33="","",2_Daily_input!BV33)</f>
        <v>Good</v>
      </c>
      <c r="BW25" s="57" t="str">
        <f aca="false">IF(2_Daily_input!BW33="","",2_Daily_input!BW33)</f>
        <v>Good</v>
      </c>
      <c r="BX25" s="57" t="str">
        <f aca="false">IF(2_Daily_input!BX33="","",2_Daily_input!BX33)</f>
        <v>Good</v>
      </c>
      <c r="BY25" s="57" t="str">
        <f aca="false">IF(2_Daily_input!BY33="","",2_Daily_input!BY33)</f>
        <v>Good</v>
      </c>
      <c r="BZ25" s="57" t="str">
        <f aca="false">IF(2_Daily_input!BZ33="","",2_Daily_input!BZ33)</f>
        <v>Good</v>
      </c>
      <c r="CA25" s="57" t="str">
        <f aca="false">IF(2_Daily_input!CA33="","",2_Daily_input!CA33)</f>
        <v/>
      </c>
      <c r="CB25" s="57" t="str">
        <f aca="false">IF(2_Daily_input!CB33="","",2_Daily_input!CB33)</f>
        <v>Good</v>
      </c>
      <c r="CC25" s="57" t="str">
        <f aca="false">IF(2_Daily_input!CC33="","",2_Daily_input!CC33)</f>
        <v>Good</v>
      </c>
      <c r="CD25" s="57" t="str">
        <f aca="false">IF(2_Daily_input!CD33="","",2_Daily_input!CD33)</f>
        <v>Good</v>
      </c>
      <c r="CE25" s="57" t="str">
        <f aca="false">IF(2_Daily_input!CE33="","",2_Daily_input!CE33)</f>
        <v>Good</v>
      </c>
      <c r="CF25" s="57" t="str">
        <f aca="false">IF(2_Daily_input!CF33="","",2_Daily_input!CF33)</f>
        <v>Good</v>
      </c>
      <c r="CG25" s="57" t="str">
        <f aca="false">IF(2_Daily_input!CG33="","",2_Daily_input!CG33)</f>
        <v>Good</v>
      </c>
      <c r="CH25" s="57" t="str">
        <f aca="false">IF(2_Daily_input!CH33="","",2_Daily_input!CH33)</f>
        <v>Good</v>
      </c>
      <c r="CI25" s="57" t="str">
        <f aca="false">IF(2_Daily_input!CI33="","",2_Daily_input!CI33)</f>
        <v>Good</v>
      </c>
      <c r="CJ25" s="57" t="str">
        <f aca="false">IF(2_Daily_input!CJ33="","",2_Daily_input!CJ33)</f>
        <v>Good</v>
      </c>
      <c r="CK25" s="57" t="str">
        <f aca="false">IF(2_Daily_input!CK33="","",2_Daily_input!CK33)</f>
        <v>Good</v>
      </c>
      <c r="CL25" s="57" t="str">
        <f aca="false">IF(2_Daily_input!CL33="","",2_Daily_input!CL33)</f>
        <v>Good</v>
      </c>
      <c r="CM25" s="57" t="str">
        <f aca="false">IF(2_Daily_input!CM33="","",2_Daily_input!CM33)</f>
        <v>Good</v>
      </c>
      <c r="CN25" s="57" t="str">
        <f aca="false">IF(2_Daily_input!CN33="","",2_Daily_input!CN33)</f>
        <v>Good</v>
      </c>
      <c r="CO25" s="57" t="str">
        <f aca="false">IF(2_Daily_input!CO33="","",2_Daily_input!CO33)</f>
        <v>Good</v>
      </c>
      <c r="CP25" s="57" t="str">
        <f aca="false">IF(2_Daily_input!CP33="","",2_Daily_input!CP33)</f>
        <v>Good</v>
      </c>
      <c r="CQ25" s="57" t="str">
        <f aca="false">IF(2_Daily_input!CQ33="","",2_Daily_input!CQ33)</f>
        <v>Good</v>
      </c>
      <c r="CR25" s="57" t="str">
        <f aca="false">IF(2_Daily_input!CR33="","",2_Daily_input!CR33)</f>
        <v>Good</v>
      </c>
      <c r="CS25" s="57" t="str">
        <f aca="false">IF(2_Daily_input!CS33="","",2_Daily_input!CS33)</f>
        <v>Good</v>
      </c>
      <c r="CT25" s="57" t="str">
        <f aca="false">IF(2_Daily_input!CT33="","",2_Daily_input!CT33)</f>
        <v>Good</v>
      </c>
      <c r="CU25" s="57" t="str">
        <f aca="false">IF(2_Daily_input!CU33="","",2_Daily_input!CU33)</f>
        <v>Good</v>
      </c>
      <c r="CV25" s="57" t="str">
        <f aca="false">IF(2_Daily_input!CV33="","",2_Daily_input!CV33)</f>
        <v>Good</v>
      </c>
      <c r="CW25" s="57" t="str">
        <f aca="false">IF(2_Daily_input!CW33="","",2_Daily_input!CW33)</f>
        <v>Good</v>
      </c>
      <c r="CX25" s="57" t="str">
        <f aca="false">IF(2_Daily_input!CX33="","",2_Daily_input!CX33)</f>
        <v>Good</v>
      </c>
      <c r="CY25" s="57" t="str">
        <f aca="false">IF(2_Daily_input!CY33="","",2_Daily_input!CY33)</f>
        <v>Good</v>
      </c>
      <c r="CZ25" s="57" t="str">
        <f aca="false">IF(2_Daily_input!CZ33="","",2_Daily_input!CZ33)</f>
        <v>Good</v>
      </c>
      <c r="DA25" s="57" t="str">
        <f aca="false">IF(2_Daily_input!DA33="","",2_Daily_input!DA33)</f>
        <v>Good</v>
      </c>
      <c r="DB25" s="57" t="str">
        <f aca="false">IF(2_Daily_input!DB33="","",2_Daily_input!DB33)</f>
        <v>Good</v>
      </c>
      <c r="DC25" s="57" t="str">
        <f aca="false">IF(2_Daily_input!DC33="","",2_Daily_input!DC33)</f>
        <v>Good</v>
      </c>
      <c r="DD25" s="57" t="str">
        <f aca="false">IF(2_Daily_input!DD33="","",2_Daily_input!DD33)</f>
        <v>Good</v>
      </c>
      <c r="DE25" s="57" t="str">
        <f aca="false">IF(2_Daily_input!DE33="","",2_Daily_input!DE33)</f>
        <v>Good</v>
      </c>
      <c r="DF25" s="57" t="str">
        <f aca="false">IF(2_Daily_input!DF33="","",2_Daily_input!DF33)</f>
        <v>Good</v>
      </c>
      <c r="DG25" s="57" t="str">
        <f aca="false">IF(2_Daily_input!DG33="","",2_Daily_input!DG33)</f>
        <v>Good</v>
      </c>
      <c r="DH25" s="57" t="str">
        <f aca="false">IF(2_Daily_input!DH33="","",2_Daily_input!DH33)</f>
        <v>Good</v>
      </c>
      <c r="DI25" s="57" t="str">
        <f aca="false">IF(2_Daily_input!DI33="","",2_Daily_input!DI33)</f>
        <v>Good</v>
      </c>
      <c r="DJ25" s="57" t="str">
        <f aca="false">IF(2_Daily_input!DJ33="","",2_Daily_input!DJ33)</f>
        <v>Good</v>
      </c>
      <c r="DK25" s="57" t="str">
        <f aca="false">IF(2_Daily_input!DK33="","",2_Daily_input!DK33)</f>
        <v>Good</v>
      </c>
      <c r="DL25" s="57" t="str">
        <f aca="false">IF(2_Daily_input!DL33="","",2_Daily_input!DL33)</f>
        <v/>
      </c>
      <c r="DM25" s="57" t="str">
        <f aca="false">IF(2_Daily_input!DM33="","",2_Daily_input!DM33)</f>
        <v>Good</v>
      </c>
      <c r="DN25" s="57" t="str">
        <f aca="false">IF(2_Daily_input!DN33="","",2_Daily_input!DN33)</f>
        <v>Good</v>
      </c>
      <c r="DO25" s="57" t="str">
        <f aca="false">IF(2_Daily_input!DO33="","",2_Daily_input!DO33)</f>
        <v>Good</v>
      </c>
      <c r="DP25" s="57" t="str">
        <f aca="false">IF(2_Daily_input!DP33="","",2_Daily_input!DP33)</f>
        <v>Good</v>
      </c>
      <c r="DQ25" s="57" t="str">
        <f aca="false">IF(2_Daily_input!DQ33="","",2_Daily_input!DQ33)</f>
        <v>Good</v>
      </c>
      <c r="DR25" s="57" t="str">
        <f aca="false">IF(2_Daily_input!DR33="","",2_Daily_input!DR33)</f>
        <v>Good</v>
      </c>
      <c r="DS25" s="57" t="str">
        <f aca="false">IF(2_Daily_input!DS33="","",2_Daily_input!DS33)</f>
        <v>Good</v>
      </c>
      <c r="DT25" s="57" t="str">
        <f aca="false">IF(2_Daily_input!DT33="","",2_Daily_input!DT33)</f>
        <v>Good</v>
      </c>
      <c r="DU25" s="57" t="str">
        <f aca="false">IF(2_Daily_input!DU33="","",2_Daily_input!DU33)</f>
        <v>Good</v>
      </c>
      <c r="DV25" s="57" t="str">
        <f aca="false">IF(2_Daily_input!DV33="","",2_Daily_input!DV33)</f>
        <v>Good</v>
      </c>
      <c r="DW25" s="57" t="str">
        <f aca="false">IF(2_Daily_input!DW33="","",2_Daily_input!DW33)</f>
        <v>Good</v>
      </c>
      <c r="DX25" s="57" t="str">
        <f aca="false">IF(2_Daily_input!DX33="","",2_Daily_input!DX33)</f>
        <v>Good</v>
      </c>
      <c r="DY25" s="57" t="str">
        <f aca="false">IF(2_Daily_input!DY33="","",2_Daily_input!DY33)</f>
        <v>Good</v>
      </c>
      <c r="DZ25" s="57" t="str">
        <f aca="false">IF(2_Daily_input!DZ33="","",2_Daily_input!DZ33)</f>
        <v>Good</v>
      </c>
      <c r="EA25" s="57" t="str">
        <f aca="false">IF(2_Daily_input!EA33="","",2_Daily_input!EA33)</f>
        <v>Good</v>
      </c>
      <c r="EB25" s="57" t="str">
        <f aca="false">IF(2_Daily_input!EB33="","",2_Daily_input!EB33)</f>
        <v>Good</v>
      </c>
      <c r="EC25" s="57" t="str">
        <f aca="false">IF(2_Daily_input!EC33="","",2_Daily_input!EC33)</f>
        <v>Good</v>
      </c>
      <c r="ED25" s="57" t="str">
        <f aca="false">IF(2_Daily_input!ED33="","",2_Daily_input!ED33)</f>
        <v>Good</v>
      </c>
      <c r="EE25" s="57" t="str">
        <f aca="false">IF(2_Daily_input!EE33="","",2_Daily_input!EE33)</f>
        <v>Good</v>
      </c>
      <c r="EF25" s="57" t="str">
        <f aca="false">IF(2_Daily_input!EF33="","",2_Daily_input!EF33)</f>
        <v>Good</v>
      </c>
      <c r="EG25" s="57" t="str">
        <f aca="false">IF(2_Daily_input!EG33="","",2_Daily_input!EG33)</f>
        <v>Good</v>
      </c>
      <c r="EH25" s="57" t="str">
        <f aca="false">IF(2_Daily_input!EH33="","",2_Daily_input!EH33)</f>
        <v>Good</v>
      </c>
      <c r="EI25" s="57" t="str">
        <f aca="false">IF(2_Daily_input!EI33="","",2_Daily_input!EI33)</f>
        <v>Good</v>
      </c>
      <c r="EJ25" s="57" t="str">
        <f aca="false">IF(2_Daily_input!EJ33="","",2_Daily_input!EJ33)</f>
        <v>Good</v>
      </c>
      <c r="EK25" s="57" t="str">
        <f aca="false">IF(2_Daily_input!EK33="","",2_Daily_input!EK33)</f>
        <v>Good</v>
      </c>
      <c r="EL25" s="57" t="str">
        <f aca="false">IF(2_Daily_input!EL33="","",2_Daily_input!EL33)</f>
        <v>Good</v>
      </c>
      <c r="EM25" s="57" t="str">
        <f aca="false">IF(2_Daily_input!EM33="","",2_Daily_input!EM33)</f>
        <v>Good</v>
      </c>
      <c r="EN25" s="57" t="str">
        <f aca="false">IF(2_Daily_input!EN33="","",2_Daily_input!EN33)</f>
        <v>Good</v>
      </c>
      <c r="EO25" s="57" t="str">
        <f aca="false">IF(2_Daily_input!EO33="","",2_Daily_input!EO33)</f>
        <v>Good</v>
      </c>
      <c r="EP25" s="57" t="str">
        <f aca="false">IF(2_Daily_input!EP33="","",2_Daily_input!EP33)</f>
        <v>Good</v>
      </c>
      <c r="EQ25" s="57" t="str">
        <f aca="false">IF(2_Daily_input!EQ33="","",2_Daily_input!EQ33)</f>
        <v>Good</v>
      </c>
      <c r="ER25" s="57" t="str">
        <f aca="false">IF(2_Daily_input!ER33="","",2_Daily_input!ER33)</f>
        <v>Good</v>
      </c>
      <c r="ES25" s="57" t="str">
        <f aca="false">IF(2_Daily_input!ES33="","",2_Daily_input!ES33)</f>
        <v>Good</v>
      </c>
      <c r="ET25" s="57" t="str">
        <f aca="false">IF(2_Daily_input!ET33="","",2_Daily_input!ET33)</f>
        <v>Good</v>
      </c>
      <c r="EU25" s="57" t="str">
        <f aca="false">IF(2_Daily_input!EU33="","",2_Daily_input!EU33)</f>
        <v/>
      </c>
      <c r="EV25" s="57" t="str">
        <f aca="false">IF(2_Daily_input!EV33="","",2_Daily_input!EV33)</f>
        <v/>
      </c>
      <c r="EW25" s="57" t="str">
        <f aca="false">IF(2_Daily_input!EW33="","",2_Daily_input!EW33)</f>
        <v/>
      </c>
      <c r="EX25" s="57" t="str">
        <f aca="false">IF(2_Daily_input!EX33="","",2_Daily_input!EX33)</f>
        <v/>
      </c>
      <c r="EY25" s="57" t="str">
        <f aca="false">IF(2_Daily_input!EY33="","",2_Daily_input!EY33)</f>
        <v/>
      </c>
      <c r="EZ25" s="57" t="str">
        <f aca="false">IF(2_Daily_input!EZ33="","",2_Daily_input!EZ33)</f>
        <v/>
      </c>
      <c r="FA25" s="57" t="str">
        <f aca="false">IF(2_Daily_input!FA33="","",2_Daily_input!FA33)</f>
        <v/>
      </c>
      <c r="FB25" s="57" t="str">
        <f aca="false">IF(2_Daily_input!FB33="","",2_Daily_input!FB33)</f>
        <v/>
      </c>
      <c r="FC25" s="57" t="str">
        <f aca="false">IF(2_Daily_input!FC33="","",2_Daily_input!FC33)</f>
        <v/>
      </c>
      <c r="FD25" s="57" t="str">
        <f aca="false">IF(2_Daily_input!FD33="","",2_Daily_input!FD33)</f>
        <v/>
      </c>
      <c r="FE25" s="57" t="str">
        <f aca="false">IF(2_Daily_input!FE33="","",2_Daily_input!FE33)</f>
        <v/>
      </c>
      <c r="FF25" s="57" t="str">
        <f aca="false">IF(2_Daily_input!FF33="","",2_Daily_input!FF33)</f>
        <v/>
      </c>
      <c r="FG25" s="57" t="str">
        <f aca="false">IF(2_Daily_input!FG33="","",2_Daily_input!FG33)</f>
        <v/>
      </c>
      <c r="FH25" s="57" t="str">
        <f aca="false">IF(2_Daily_input!FH33="","",2_Daily_input!FH33)</f>
        <v/>
      </c>
      <c r="FI25" s="57" t="str">
        <f aca="false">IF(2_Daily_input!FI33="","",2_Daily_input!FI33)</f>
        <v/>
      </c>
      <c r="FJ25" s="57" t="str">
        <f aca="false">IF(2_Daily_input!FJ33="","",2_Daily_input!FJ33)</f>
        <v/>
      </c>
      <c r="FK25" s="57" t="str">
        <f aca="false">IF(2_Daily_input!FK33="","",2_Daily_input!FK33)</f>
        <v/>
      </c>
      <c r="FL25" s="57" t="str">
        <f aca="false">IF(2_Daily_input!FL33="","",2_Daily_input!FL33)</f>
        <v/>
      </c>
      <c r="FM25" s="57" t="str">
        <f aca="false">IF(2_Daily_input!FM33="","",2_Daily_input!FM33)</f>
        <v/>
      </c>
      <c r="FN25" s="57" t="str">
        <f aca="false">IF(2_Daily_input!FN33="","",2_Daily_input!FN33)</f>
        <v/>
      </c>
      <c r="FO25" s="57" t="str">
        <f aca="false">IF(2_Daily_input!FO33="","",2_Daily_input!FO33)</f>
        <v/>
      </c>
      <c r="FP25" s="57" t="str">
        <f aca="false">IF(2_Daily_input!FP33="","",2_Daily_input!FP33)</f>
        <v/>
      </c>
      <c r="FQ25" s="57" t="str">
        <f aca="false">IF(2_Daily_input!FQ33="","",2_Daily_input!FQ33)</f>
        <v/>
      </c>
    </row>
    <row r="26" customFormat="false" ht="15" hidden="false" customHeight="false" outlineLevel="0" collapsed="false">
      <c r="A26" s="31" t="s">
        <v>328</v>
      </c>
      <c r="B26" s="17" t="s">
        <v>425</v>
      </c>
      <c r="C26" s="48" t="n">
        <f aca="false">SUM($D$26:$FQ$26)</f>
        <v>420</v>
      </c>
      <c r="D26" s="57" t="str">
        <f aca="false">IF(2_Daily_input!D34="","",2_Daily_input!D34)</f>
        <v/>
      </c>
      <c r="E26" s="57" t="str">
        <f aca="false">IF(2_Daily_input!E34="","",2_Daily_input!E34)</f>
        <v/>
      </c>
      <c r="F26" s="57" t="str">
        <f aca="false">IF(2_Daily_input!F34="","",2_Daily_input!F34)</f>
        <v/>
      </c>
      <c r="G26" s="57" t="str">
        <f aca="false">IF(2_Daily_input!G34="","",2_Daily_input!G34)</f>
        <v/>
      </c>
      <c r="H26" s="57" t="str">
        <f aca="false">IF(2_Daily_input!H34="","",2_Daily_input!H34)</f>
        <v/>
      </c>
      <c r="I26" s="57" t="str">
        <f aca="false">IF(2_Daily_input!I34="","",2_Daily_input!I34)</f>
        <v/>
      </c>
      <c r="J26" s="57" t="str">
        <f aca="false">IF(2_Daily_input!J34="","",2_Daily_input!J34)</f>
        <v/>
      </c>
      <c r="K26" s="57" t="str">
        <f aca="false">IF(2_Daily_input!K34="","",2_Daily_input!K34)</f>
        <v/>
      </c>
      <c r="L26" s="57" t="str">
        <f aca="false">IF(2_Daily_input!L34="","",2_Daily_input!L34)</f>
        <v/>
      </c>
      <c r="M26" s="57" t="str">
        <f aca="false">IF(2_Daily_input!M34="","",2_Daily_input!M34)</f>
        <v/>
      </c>
      <c r="N26" s="57" t="str">
        <f aca="false">IF(2_Daily_input!N34="","",2_Daily_input!N34)</f>
        <v/>
      </c>
      <c r="O26" s="57" t="str">
        <f aca="false">IF(2_Daily_input!O34="","",2_Daily_input!O34)</f>
        <v/>
      </c>
      <c r="P26" s="57" t="str">
        <f aca="false">IF(2_Daily_input!P34="","",2_Daily_input!P34)</f>
        <v/>
      </c>
      <c r="Q26" s="57" t="str">
        <f aca="false">IF(2_Daily_input!Q34="","",2_Daily_input!Q34)</f>
        <v/>
      </c>
      <c r="R26" s="57" t="str">
        <f aca="false">IF(2_Daily_input!R34="","",2_Daily_input!R34)</f>
        <v/>
      </c>
      <c r="S26" s="57" t="str">
        <f aca="false">IF(2_Daily_input!S34="","",2_Daily_input!S34)</f>
        <v/>
      </c>
      <c r="T26" s="57" t="str">
        <f aca="false">IF(2_Daily_input!T34="","",2_Daily_input!T34)</f>
        <v/>
      </c>
      <c r="U26" s="57" t="str">
        <f aca="false">IF(2_Daily_input!U34="","",2_Daily_input!U34)</f>
        <v/>
      </c>
      <c r="V26" s="57" t="str">
        <f aca="false">IF(2_Daily_input!V34="","",2_Daily_input!V34)</f>
        <v/>
      </c>
      <c r="W26" s="57" t="str">
        <f aca="false">IF(2_Daily_input!W34="","",2_Daily_input!W34)</f>
        <v/>
      </c>
      <c r="X26" s="57" t="str">
        <f aca="false">IF(2_Daily_input!X34="","",2_Daily_input!X34)</f>
        <v/>
      </c>
      <c r="Y26" s="57" t="str">
        <f aca="false">IF(2_Daily_input!Y34="","",2_Daily_input!Y34)</f>
        <v/>
      </c>
      <c r="Z26" s="57" t="str">
        <f aca="false">IF(2_Daily_input!Z34="","",2_Daily_input!Z34)</f>
        <v/>
      </c>
      <c r="AA26" s="57" t="str">
        <f aca="false">IF(2_Daily_input!AA34="","",2_Daily_input!AA34)</f>
        <v/>
      </c>
      <c r="AB26" s="57" t="str">
        <f aca="false">IF(2_Daily_input!AB34="","",2_Daily_input!AB34)</f>
        <v/>
      </c>
      <c r="AC26" s="57" t="str">
        <f aca="false">IF(2_Daily_input!AC34="","",2_Daily_input!AC34)</f>
        <v/>
      </c>
      <c r="AD26" s="57" t="str">
        <f aca="false">IF(2_Daily_input!AD34="","",2_Daily_input!AD34)</f>
        <v/>
      </c>
      <c r="AE26" s="57" t="str">
        <f aca="false">IF(2_Daily_input!AE34="","",2_Daily_input!AE34)</f>
        <v/>
      </c>
      <c r="AF26" s="57" t="str">
        <f aca="false">IF(2_Daily_input!AF34="","",2_Daily_input!AF34)</f>
        <v/>
      </c>
      <c r="AG26" s="57" t="str">
        <f aca="false">IF(2_Daily_input!AG34="","",2_Daily_input!AG34)</f>
        <v/>
      </c>
      <c r="AH26" s="57" t="str">
        <f aca="false">IF(2_Daily_input!AH34="","",2_Daily_input!AH34)</f>
        <v/>
      </c>
      <c r="AI26" s="57" t="str">
        <f aca="false">IF(2_Daily_input!AI34="","",2_Daily_input!AI34)</f>
        <v/>
      </c>
      <c r="AJ26" s="57" t="str">
        <f aca="false">IF(2_Daily_input!AJ34="","",2_Daily_input!AJ34)</f>
        <v/>
      </c>
      <c r="AK26" s="57" t="str">
        <f aca="false">IF(2_Daily_input!AK34="","",2_Daily_input!AK34)</f>
        <v/>
      </c>
      <c r="AL26" s="57" t="str">
        <f aca="false">IF(2_Daily_input!AL34="","",2_Daily_input!AL34)</f>
        <v/>
      </c>
      <c r="AM26" s="57" t="str">
        <f aca="false">IF(2_Daily_input!AM34="","",2_Daily_input!AM34)</f>
        <v/>
      </c>
      <c r="AN26" s="57" t="str">
        <f aca="false">IF(2_Daily_input!AN34="","",2_Daily_input!AN34)</f>
        <v/>
      </c>
      <c r="AO26" s="57" t="str">
        <f aca="false">IF(2_Daily_input!AO34="","",2_Daily_input!AO34)</f>
        <v/>
      </c>
      <c r="AP26" s="57" t="str">
        <f aca="false">IF(2_Daily_input!AP34="","",2_Daily_input!AP34)</f>
        <v/>
      </c>
      <c r="AQ26" s="57" t="str">
        <f aca="false">IF(2_Daily_input!AQ34="","",2_Daily_input!AQ34)</f>
        <v/>
      </c>
      <c r="AR26" s="57" t="str">
        <f aca="false">IF(2_Daily_input!AR34="","",2_Daily_input!AR34)</f>
        <v/>
      </c>
      <c r="AS26" s="57" t="str">
        <f aca="false">IF(2_Daily_input!AS34="","",2_Daily_input!AS34)</f>
        <v/>
      </c>
      <c r="AT26" s="57" t="str">
        <f aca="false">IF(2_Daily_input!AT34="","",2_Daily_input!AT34)</f>
        <v/>
      </c>
      <c r="AU26" s="57" t="str">
        <f aca="false">IF(2_Daily_input!AU34="","",2_Daily_input!AU34)</f>
        <v/>
      </c>
      <c r="AV26" s="57" t="str">
        <f aca="false">IF(2_Daily_input!AV34="","",2_Daily_input!AV34)</f>
        <v/>
      </c>
      <c r="AW26" s="57" t="str">
        <f aca="false">IF(2_Daily_input!AW34="","",2_Daily_input!AW34)</f>
        <v/>
      </c>
      <c r="AX26" s="57" t="str">
        <f aca="false">IF(2_Daily_input!AX34="","",2_Daily_input!AX34)</f>
        <v/>
      </c>
      <c r="AY26" s="57" t="str">
        <f aca="false">IF(2_Daily_input!AY34="","",2_Daily_input!AY34)</f>
        <v/>
      </c>
      <c r="AZ26" s="57" t="str">
        <f aca="false">IF(2_Daily_input!AZ34="","",2_Daily_input!AZ34)</f>
        <v/>
      </c>
      <c r="BA26" s="57" t="str">
        <f aca="false">IF(2_Daily_input!BA34="","",2_Daily_input!BA34)</f>
        <v/>
      </c>
      <c r="BB26" s="57" t="str">
        <f aca="false">IF(2_Daily_input!BB34="","",2_Daily_input!BB34)</f>
        <v/>
      </c>
      <c r="BC26" s="57" t="str">
        <f aca="false">IF(2_Daily_input!BC34="","",2_Daily_input!BC34)</f>
        <v/>
      </c>
      <c r="BD26" s="57" t="str">
        <f aca="false">IF(2_Daily_input!BD34="","",2_Daily_input!BD34)</f>
        <v/>
      </c>
      <c r="BE26" s="57" t="n">
        <f aca="false">IF(2_Daily_input!BE34="","",2_Daily_input!BE34)</f>
        <v>20</v>
      </c>
      <c r="BF26" s="57" t="str">
        <f aca="false">IF(2_Daily_input!BF34="","",2_Daily_input!BF34)</f>
        <v/>
      </c>
      <c r="BG26" s="57" t="n">
        <f aca="false">IF(2_Daily_input!BG34="","",2_Daily_input!BG34)</f>
        <v>20</v>
      </c>
      <c r="BH26" s="57" t="str">
        <f aca="false">IF(2_Daily_input!BH34="","",2_Daily_input!BH34)</f>
        <v/>
      </c>
      <c r="BI26" s="57" t="str">
        <f aca="false">IF(2_Daily_input!BI34="","",2_Daily_input!BI34)</f>
        <v/>
      </c>
      <c r="BJ26" s="57" t="str">
        <f aca="false">IF(2_Daily_input!BJ34="","",2_Daily_input!BJ34)</f>
        <v/>
      </c>
      <c r="BK26" s="57" t="n">
        <f aca="false">IF(2_Daily_input!BK34="","",2_Daily_input!BK34)</f>
        <v>20</v>
      </c>
      <c r="BL26" s="57" t="str">
        <f aca="false">IF(2_Daily_input!BL34="","",2_Daily_input!BL34)</f>
        <v/>
      </c>
      <c r="BM26" s="57" t="str">
        <f aca="false">IF(2_Daily_input!BM34="","",2_Daily_input!BM34)</f>
        <v/>
      </c>
      <c r="BN26" s="57" t="str">
        <f aca="false">IF(2_Daily_input!BN34="","",2_Daily_input!BN34)</f>
        <v/>
      </c>
      <c r="BO26" s="57" t="str">
        <f aca="false">IF(2_Daily_input!BO34="","",2_Daily_input!BO34)</f>
        <v/>
      </c>
      <c r="BP26" s="57" t="n">
        <f aca="false">IF(2_Daily_input!BP34="","",2_Daily_input!BP34)</f>
        <v>20</v>
      </c>
      <c r="BQ26" s="57" t="str">
        <f aca="false">IF(2_Daily_input!BQ34="","",2_Daily_input!BQ34)</f>
        <v/>
      </c>
      <c r="BR26" s="57" t="str">
        <f aca="false">IF(2_Daily_input!BR34="","",2_Daily_input!BR34)</f>
        <v/>
      </c>
      <c r="BS26" s="57" t="str">
        <f aca="false">IF(2_Daily_input!BS34="","",2_Daily_input!BS34)</f>
        <v/>
      </c>
      <c r="BT26" s="57" t="str">
        <f aca="false">IF(2_Daily_input!BT34="","",2_Daily_input!BT34)</f>
        <v/>
      </c>
      <c r="BU26" s="57" t="str">
        <f aca="false">IF(2_Daily_input!BU34="","",2_Daily_input!BU34)</f>
        <v/>
      </c>
      <c r="BV26" s="57" t="str">
        <f aca="false">IF(2_Daily_input!BV34="","",2_Daily_input!BV34)</f>
        <v/>
      </c>
      <c r="BW26" s="57" t="n">
        <f aca="false">IF(2_Daily_input!BW34="","",2_Daily_input!BW34)</f>
        <v>20</v>
      </c>
      <c r="BX26" s="57" t="str">
        <f aca="false">IF(2_Daily_input!BX34="","",2_Daily_input!BX34)</f>
        <v/>
      </c>
      <c r="BY26" s="57" t="str">
        <f aca="false">IF(2_Daily_input!BY34="","",2_Daily_input!BY34)</f>
        <v/>
      </c>
      <c r="BZ26" s="57" t="str">
        <f aca="false">IF(2_Daily_input!BZ34="","",2_Daily_input!BZ34)</f>
        <v/>
      </c>
      <c r="CA26" s="57" t="str">
        <f aca="false">IF(2_Daily_input!CA34="","",2_Daily_input!CA34)</f>
        <v/>
      </c>
      <c r="CB26" s="57" t="str">
        <f aca="false">IF(2_Daily_input!CB34="","",2_Daily_input!CB34)</f>
        <v/>
      </c>
      <c r="CC26" s="57" t="str">
        <f aca="false">IF(2_Daily_input!CC34="","",2_Daily_input!CC34)</f>
        <v/>
      </c>
      <c r="CD26" s="57" t="n">
        <f aca="false">IF(2_Daily_input!CD34="","",2_Daily_input!CD34)</f>
        <v>20</v>
      </c>
      <c r="CE26" s="57" t="str">
        <f aca="false">IF(2_Daily_input!CE34="","",2_Daily_input!CE34)</f>
        <v/>
      </c>
      <c r="CF26" s="57" t="str">
        <f aca="false">IF(2_Daily_input!CF34="","",2_Daily_input!CF34)</f>
        <v/>
      </c>
      <c r="CG26" s="57" t="str">
        <f aca="false">IF(2_Daily_input!CG34="","",2_Daily_input!CG34)</f>
        <v/>
      </c>
      <c r="CH26" s="57" t="n">
        <f aca="false">IF(2_Daily_input!CH34="","",2_Daily_input!CH34)</f>
        <v>20</v>
      </c>
      <c r="CI26" s="57" t="str">
        <f aca="false">IF(2_Daily_input!CI34="","",2_Daily_input!CI34)</f>
        <v/>
      </c>
      <c r="CJ26" s="57" t="str">
        <f aca="false">IF(2_Daily_input!CJ34="","",2_Daily_input!CJ34)</f>
        <v/>
      </c>
      <c r="CK26" s="57" t="str">
        <f aca="false">IF(2_Daily_input!CK34="","",2_Daily_input!CK34)</f>
        <v/>
      </c>
      <c r="CL26" s="57" t="str">
        <f aca="false">IF(2_Daily_input!CL34="","",2_Daily_input!CL34)</f>
        <v/>
      </c>
      <c r="CM26" s="57" t="str">
        <f aca="false">IF(2_Daily_input!CM34="","",2_Daily_input!CM34)</f>
        <v/>
      </c>
      <c r="CN26" s="57" t="str">
        <f aca="false">IF(2_Daily_input!CN34="","",2_Daily_input!CN34)</f>
        <v/>
      </c>
      <c r="CO26" s="57" t="str">
        <f aca="false">IF(2_Daily_input!CO34="","",2_Daily_input!CO34)</f>
        <v/>
      </c>
      <c r="CP26" s="57" t="str">
        <f aca="false">IF(2_Daily_input!CP34="","",2_Daily_input!CP34)</f>
        <v/>
      </c>
      <c r="CQ26" s="57" t="str">
        <f aca="false">IF(2_Daily_input!CQ34="","",2_Daily_input!CQ34)</f>
        <v/>
      </c>
      <c r="CR26" s="57" t="str">
        <f aca="false">IF(2_Daily_input!CR34="","",2_Daily_input!CR34)</f>
        <v/>
      </c>
      <c r="CS26" s="57" t="str">
        <f aca="false">IF(2_Daily_input!CS34="","",2_Daily_input!CS34)</f>
        <v/>
      </c>
      <c r="CT26" s="57" t="str">
        <f aca="false">IF(2_Daily_input!CT34="","",2_Daily_input!CT34)</f>
        <v/>
      </c>
      <c r="CU26" s="57" t="str">
        <f aca="false">IF(2_Daily_input!CU34="","",2_Daily_input!CU34)</f>
        <v/>
      </c>
      <c r="CV26" s="57" t="str">
        <f aca="false">IF(2_Daily_input!CV34="","",2_Daily_input!CV34)</f>
        <v/>
      </c>
      <c r="CW26" s="57" t="n">
        <f aca="false">IF(2_Daily_input!CW34="","",2_Daily_input!CW34)</f>
        <v>20</v>
      </c>
      <c r="CX26" s="57" t="str">
        <f aca="false">IF(2_Daily_input!CX34="","",2_Daily_input!CX34)</f>
        <v/>
      </c>
      <c r="CY26" s="57" t="str">
        <f aca="false">IF(2_Daily_input!CY34="","",2_Daily_input!CY34)</f>
        <v/>
      </c>
      <c r="CZ26" s="57" t="n">
        <f aca="false">IF(2_Daily_input!CZ34="","",2_Daily_input!CZ34)</f>
        <v>20</v>
      </c>
      <c r="DA26" s="57" t="str">
        <f aca="false">IF(2_Daily_input!DA34="","",2_Daily_input!DA34)</f>
        <v/>
      </c>
      <c r="DB26" s="57" t="str">
        <f aca="false">IF(2_Daily_input!DB34="","",2_Daily_input!DB34)</f>
        <v/>
      </c>
      <c r="DC26" s="57" t="n">
        <f aca="false">IF(2_Daily_input!DC34="","",2_Daily_input!DC34)</f>
        <v>20</v>
      </c>
      <c r="DD26" s="57" t="str">
        <f aca="false">IF(2_Daily_input!DD34="","",2_Daily_input!DD34)</f>
        <v/>
      </c>
      <c r="DE26" s="57" t="str">
        <f aca="false">IF(2_Daily_input!DE34="","",2_Daily_input!DE34)</f>
        <v/>
      </c>
      <c r="DF26" s="57" t="str">
        <f aca="false">IF(2_Daily_input!DF34="","",2_Daily_input!DF34)</f>
        <v/>
      </c>
      <c r="DG26" s="57" t="str">
        <f aca="false">IF(2_Daily_input!DG34="","",2_Daily_input!DG34)</f>
        <v/>
      </c>
      <c r="DH26" s="57" t="str">
        <f aca="false">IF(2_Daily_input!DH34="","",2_Daily_input!DH34)</f>
        <v/>
      </c>
      <c r="DI26" s="57" t="n">
        <f aca="false">IF(2_Daily_input!DI34="","",2_Daily_input!DI34)</f>
        <v>20</v>
      </c>
      <c r="DJ26" s="57" t="n">
        <f aca="false">IF(2_Daily_input!DJ34="","",2_Daily_input!DJ34)</f>
        <v>20</v>
      </c>
      <c r="DK26" s="57" t="str">
        <f aca="false">IF(2_Daily_input!DK34="","",2_Daily_input!DK34)</f>
        <v/>
      </c>
      <c r="DL26" s="57" t="str">
        <f aca="false">IF(2_Daily_input!DL34="","",2_Daily_input!DL34)</f>
        <v/>
      </c>
      <c r="DM26" s="57" t="n">
        <f aca="false">IF(2_Daily_input!DM34="","",2_Daily_input!DM34)</f>
        <v>20</v>
      </c>
      <c r="DN26" s="57" t="str">
        <f aca="false">IF(2_Daily_input!DN34="","",2_Daily_input!DN34)</f>
        <v/>
      </c>
      <c r="DO26" s="57" t="n">
        <f aca="false">IF(2_Daily_input!DO34="","",2_Daily_input!DO34)</f>
        <v>20</v>
      </c>
      <c r="DP26" s="57" t="str">
        <f aca="false">IF(2_Daily_input!DP34="","",2_Daily_input!DP34)</f>
        <v/>
      </c>
      <c r="DQ26" s="57" t="str">
        <f aca="false">IF(2_Daily_input!DQ34="","",2_Daily_input!DQ34)</f>
        <v/>
      </c>
      <c r="DR26" s="57" t="n">
        <f aca="false">IF(2_Daily_input!DR34="","",2_Daily_input!DR34)</f>
        <v>20</v>
      </c>
      <c r="DS26" s="57" t="str">
        <f aca="false">IF(2_Daily_input!DS34="","",2_Daily_input!DS34)</f>
        <v/>
      </c>
      <c r="DT26" s="57" t="n">
        <f aca="false">IF(2_Daily_input!DT34="","",2_Daily_input!DT34)</f>
        <v>20</v>
      </c>
      <c r="DU26" s="57" t="str">
        <f aca="false">IF(2_Daily_input!DU34="","",2_Daily_input!DU34)</f>
        <v/>
      </c>
      <c r="DV26" s="57" t="str">
        <f aca="false">IF(2_Daily_input!DV34="","",2_Daily_input!DV34)</f>
        <v/>
      </c>
      <c r="DW26" s="57" t="n">
        <f aca="false">IF(2_Daily_input!DW34="","",2_Daily_input!DW34)</f>
        <v>20</v>
      </c>
      <c r="DX26" s="57" t="str">
        <f aca="false">IF(2_Daily_input!DX34="","",2_Daily_input!DX34)</f>
        <v/>
      </c>
      <c r="DY26" s="57" t="str">
        <f aca="false">IF(2_Daily_input!DY34="","",2_Daily_input!DY34)</f>
        <v/>
      </c>
      <c r="DZ26" s="57" t="str">
        <f aca="false">IF(2_Daily_input!DZ34="","",2_Daily_input!DZ34)</f>
        <v/>
      </c>
      <c r="EA26" s="57" t="n">
        <f aca="false">IF(2_Daily_input!EA34="","",2_Daily_input!EA34)</f>
        <v>20</v>
      </c>
      <c r="EB26" s="57" t="str">
        <f aca="false">IF(2_Daily_input!EB34="","",2_Daily_input!EB34)</f>
        <v/>
      </c>
      <c r="EC26" s="57" t="str">
        <f aca="false">IF(2_Daily_input!EC34="","",2_Daily_input!EC34)</f>
        <v/>
      </c>
      <c r="ED26" s="57" t="str">
        <f aca="false">IF(2_Daily_input!ED34="","",2_Daily_input!ED34)</f>
        <v/>
      </c>
      <c r="EE26" s="57" t="str">
        <f aca="false">IF(2_Daily_input!EE34="","",2_Daily_input!EE34)</f>
        <v/>
      </c>
      <c r="EF26" s="57" t="str">
        <f aca="false">IF(2_Daily_input!EF34="","",2_Daily_input!EF34)</f>
        <v/>
      </c>
      <c r="EG26" s="57" t="str">
        <f aca="false">IF(2_Daily_input!EG34="","",2_Daily_input!EG34)</f>
        <v/>
      </c>
      <c r="EH26" s="57" t="n">
        <f aca="false">IF(2_Daily_input!EH34="","",2_Daily_input!EH34)</f>
        <v>20</v>
      </c>
      <c r="EI26" s="57" t="str">
        <f aca="false">IF(2_Daily_input!EI34="","",2_Daily_input!EI34)</f>
        <v/>
      </c>
      <c r="EJ26" s="57" t="n">
        <f aca="false">IF(2_Daily_input!EJ34="","",2_Daily_input!EJ34)</f>
        <v>20</v>
      </c>
      <c r="EK26" s="57" t="str">
        <f aca="false">IF(2_Daily_input!EK34="","",2_Daily_input!EK34)</f>
        <v/>
      </c>
      <c r="EL26" s="57" t="str">
        <f aca="false">IF(2_Daily_input!EL34="","",2_Daily_input!EL34)</f>
        <v/>
      </c>
      <c r="EM26" s="57" t="str">
        <f aca="false">IF(2_Daily_input!EM34="","",2_Daily_input!EM34)</f>
        <v/>
      </c>
      <c r="EN26" s="57" t="str">
        <f aca="false">IF(2_Daily_input!EN34="","",2_Daily_input!EN34)</f>
        <v/>
      </c>
      <c r="EO26" s="57" t="str">
        <f aca="false">IF(2_Daily_input!EO34="","",2_Daily_input!EO34)</f>
        <v/>
      </c>
      <c r="EP26" s="57" t="n">
        <f aca="false">IF(2_Daily_input!EP34="","",2_Daily_input!EP34)</f>
        <v>20</v>
      </c>
      <c r="EQ26" s="57" t="str">
        <f aca="false">IF(2_Daily_input!EQ34="","",2_Daily_input!EQ34)</f>
        <v/>
      </c>
      <c r="ER26" s="57" t="str">
        <f aca="false">IF(2_Daily_input!ER34="","",2_Daily_input!ER34)</f>
        <v/>
      </c>
      <c r="ES26" s="57" t="str">
        <f aca="false">IF(2_Daily_input!ES34="","",2_Daily_input!ES34)</f>
        <v/>
      </c>
      <c r="ET26" s="57" t="str">
        <f aca="false">IF(2_Daily_input!ET34="","",2_Daily_input!ET34)</f>
        <v/>
      </c>
      <c r="EU26" s="57" t="str">
        <f aca="false">IF(2_Daily_input!EU34="","",2_Daily_input!EU34)</f>
        <v/>
      </c>
      <c r="EV26" s="57" t="str">
        <f aca="false">IF(2_Daily_input!EV34="","",2_Daily_input!EV34)</f>
        <v/>
      </c>
      <c r="EW26" s="57" t="str">
        <f aca="false">IF(2_Daily_input!EW34="","",2_Daily_input!EW34)</f>
        <v/>
      </c>
      <c r="EX26" s="57" t="str">
        <f aca="false">IF(2_Daily_input!EX34="","",2_Daily_input!EX34)</f>
        <v/>
      </c>
      <c r="EY26" s="57" t="str">
        <f aca="false">IF(2_Daily_input!EY34="","",2_Daily_input!EY34)</f>
        <v/>
      </c>
      <c r="EZ26" s="57" t="str">
        <f aca="false">IF(2_Daily_input!EZ34="","",2_Daily_input!EZ34)</f>
        <v/>
      </c>
      <c r="FA26" s="57" t="str">
        <f aca="false">IF(2_Daily_input!FA34="","",2_Daily_input!FA34)</f>
        <v/>
      </c>
      <c r="FB26" s="57" t="str">
        <f aca="false">IF(2_Daily_input!FB34="","",2_Daily_input!FB34)</f>
        <v/>
      </c>
      <c r="FC26" s="57" t="str">
        <f aca="false">IF(2_Daily_input!FC34="","",2_Daily_input!FC34)</f>
        <v/>
      </c>
      <c r="FD26" s="57" t="str">
        <f aca="false">IF(2_Daily_input!FD34="","",2_Daily_input!FD34)</f>
        <v/>
      </c>
      <c r="FE26" s="57" t="str">
        <f aca="false">IF(2_Daily_input!FE34="","",2_Daily_input!FE34)</f>
        <v/>
      </c>
      <c r="FF26" s="57" t="str">
        <f aca="false">IF(2_Daily_input!FF34="","",2_Daily_input!FF34)</f>
        <v/>
      </c>
      <c r="FG26" s="57" t="str">
        <f aca="false">IF(2_Daily_input!FG34="","",2_Daily_input!FG34)</f>
        <v/>
      </c>
      <c r="FH26" s="57" t="str">
        <f aca="false">IF(2_Daily_input!FH34="","",2_Daily_input!FH34)</f>
        <v/>
      </c>
      <c r="FI26" s="57" t="str">
        <f aca="false">IF(2_Daily_input!FI34="","",2_Daily_input!FI34)</f>
        <v/>
      </c>
      <c r="FJ26" s="57" t="str">
        <f aca="false">IF(2_Daily_input!FJ34="","",2_Daily_input!FJ34)</f>
        <v/>
      </c>
      <c r="FK26" s="57" t="str">
        <f aca="false">IF(2_Daily_input!FK34="","",2_Daily_input!FK34)</f>
        <v/>
      </c>
      <c r="FL26" s="57" t="str">
        <f aca="false">IF(2_Daily_input!FL34="","",2_Daily_input!FL34)</f>
        <v/>
      </c>
      <c r="FM26" s="57" t="str">
        <f aca="false">IF(2_Daily_input!FM34="","",2_Daily_input!FM34)</f>
        <v/>
      </c>
      <c r="FN26" s="57" t="str">
        <f aca="false">IF(2_Daily_input!FN34="","",2_Daily_input!FN34)</f>
        <v/>
      </c>
      <c r="FO26" s="57" t="str">
        <f aca="false">IF(2_Daily_input!FO34="","",2_Daily_input!FO34)</f>
        <v/>
      </c>
      <c r="FP26" s="57" t="str">
        <f aca="false">IF(2_Daily_input!FP34="","",2_Daily_input!FP34)</f>
        <v/>
      </c>
      <c r="FQ26" s="57" t="str">
        <f aca="false">IF(2_Daily_input!FQ34="","",2_Daily_input!FQ34)</f>
        <v/>
      </c>
    </row>
    <row r="27" customFormat="false" ht="15" hidden="false" customHeight="false" outlineLevel="0" collapsed="false">
      <c r="A27" s="31" t="s">
        <v>328</v>
      </c>
      <c r="B27" s="17" t="s">
        <v>426</v>
      </c>
      <c r="D27" s="57" t="str">
        <f aca="false">IF(2_Daily_input!D35="","",2_Daily_input!D35)</f>
        <v/>
      </c>
      <c r="E27" s="57" t="str">
        <f aca="false">IF(2_Daily_input!E35="","",2_Daily_input!E35)</f>
        <v/>
      </c>
      <c r="F27" s="57" t="str">
        <f aca="false">IF(2_Daily_input!F35="","",2_Daily_input!F35)</f>
        <v/>
      </c>
      <c r="G27" s="57" t="str">
        <f aca="false">IF(2_Daily_input!G35="","",2_Daily_input!G35)</f>
        <v/>
      </c>
      <c r="H27" s="57" t="str">
        <f aca="false">IF(2_Daily_input!H35="","",2_Daily_input!H35)</f>
        <v/>
      </c>
      <c r="I27" s="57" t="str">
        <f aca="false">IF(2_Daily_input!I35="","",2_Daily_input!I35)</f>
        <v/>
      </c>
      <c r="J27" s="57" t="str">
        <f aca="false">IF(2_Daily_input!J35="","",2_Daily_input!J35)</f>
        <v/>
      </c>
      <c r="K27" s="57" t="str">
        <f aca="false">IF(2_Daily_input!K35="","",2_Daily_input!K35)</f>
        <v/>
      </c>
      <c r="L27" s="57" t="str">
        <f aca="false">IF(2_Daily_input!L35="","",2_Daily_input!L35)</f>
        <v/>
      </c>
      <c r="M27" s="57" t="str">
        <f aca="false">IF(2_Daily_input!M35="","",2_Daily_input!M35)</f>
        <v/>
      </c>
      <c r="N27" s="57" t="str">
        <f aca="false">IF(2_Daily_input!N35="","",2_Daily_input!N35)</f>
        <v/>
      </c>
      <c r="O27" s="57" t="str">
        <f aca="false">IF(2_Daily_input!O35="","",2_Daily_input!O35)</f>
        <v/>
      </c>
      <c r="P27" s="57" t="str">
        <f aca="false">IF(2_Daily_input!P35="","",2_Daily_input!P35)</f>
        <v/>
      </c>
      <c r="Q27" s="57" t="str">
        <f aca="false">IF(2_Daily_input!Q35="","",2_Daily_input!Q35)</f>
        <v/>
      </c>
      <c r="R27" s="57" t="str">
        <f aca="false">IF(2_Daily_input!R35="","",2_Daily_input!R35)</f>
        <v/>
      </c>
      <c r="S27" s="57" t="str">
        <f aca="false">IF(2_Daily_input!S35="","",2_Daily_input!S35)</f>
        <v/>
      </c>
      <c r="T27" s="57" t="str">
        <f aca="false">IF(2_Daily_input!T35="","",2_Daily_input!T35)</f>
        <v/>
      </c>
      <c r="U27" s="57" t="str">
        <f aca="false">IF(2_Daily_input!U35="","",2_Daily_input!U35)</f>
        <v/>
      </c>
      <c r="V27" s="57" t="str">
        <f aca="false">IF(2_Daily_input!V35="","",2_Daily_input!V35)</f>
        <v/>
      </c>
      <c r="W27" s="57" t="str">
        <f aca="false">IF(2_Daily_input!W35="","",2_Daily_input!W35)</f>
        <v/>
      </c>
      <c r="X27" s="57" t="str">
        <f aca="false">IF(2_Daily_input!X35="","",2_Daily_input!X35)</f>
        <v/>
      </c>
      <c r="Y27" s="57" t="str">
        <f aca="false">IF(2_Daily_input!Y35="","",2_Daily_input!Y35)</f>
        <v/>
      </c>
      <c r="Z27" s="57" t="str">
        <f aca="false">IF(2_Daily_input!Z35="","",2_Daily_input!Z35)</f>
        <v/>
      </c>
      <c r="AA27" s="57" t="str">
        <f aca="false">IF(2_Daily_input!AA35="","",2_Daily_input!AA35)</f>
        <v/>
      </c>
      <c r="AB27" s="57" t="str">
        <f aca="false">IF(2_Daily_input!AB35="","",2_Daily_input!AB35)</f>
        <v/>
      </c>
      <c r="AC27" s="57" t="str">
        <f aca="false">IF(2_Daily_input!AC35="","",2_Daily_input!AC35)</f>
        <v/>
      </c>
      <c r="AD27" s="57" t="str">
        <f aca="false">IF(2_Daily_input!AD35="","",2_Daily_input!AD35)</f>
        <v/>
      </c>
      <c r="AE27" s="57" t="str">
        <f aca="false">IF(2_Daily_input!AE35="","",2_Daily_input!AE35)</f>
        <v/>
      </c>
      <c r="AF27" s="57" t="str">
        <f aca="false">IF(2_Daily_input!AF35="","",2_Daily_input!AF35)</f>
        <v/>
      </c>
      <c r="AG27" s="57" t="str">
        <f aca="false">IF(2_Daily_input!AG35="","",2_Daily_input!AG35)</f>
        <v/>
      </c>
      <c r="AH27" s="57" t="str">
        <f aca="false">IF(2_Daily_input!AH35="","",2_Daily_input!AH35)</f>
        <v/>
      </c>
      <c r="AI27" s="57" t="str">
        <f aca="false">IF(2_Daily_input!AI35="","",2_Daily_input!AI35)</f>
        <v/>
      </c>
      <c r="AJ27" s="57" t="str">
        <f aca="false">IF(2_Daily_input!AJ35="","",2_Daily_input!AJ35)</f>
        <v/>
      </c>
      <c r="AK27" s="57" t="str">
        <f aca="false">IF(2_Daily_input!AK35="","",2_Daily_input!AK35)</f>
        <v/>
      </c>
      <c r="AL27" s="57" t="str">
        <f aca="false">IF(2_Daily_input!AL35="","",2_Daily_input!AL35)</f>
        <v/>
      </c>
      <c r="AM27" s="57" t="str">
        <f aca="false">IF(2_Daily_input!AM35="","",2_Daily_input!AM35)</f>
        <v/>
      </c>
      <c r="AN27" s="57" t="str">
        <f aca="false">IF(2_Daily_input!AN35="","",2_Daily_input!AN35)</f>
        <v/>
      </c>
      <c r="AO27" s="57" t="str">
        <f aca="false">IF(2_Daily_input!AO35="","",2_Daily_input!AO35)</f>
        <v/>
      </c>
      <c r="AP27" s="57" t="str">
        <f aca="false">IF(2_Daily_input!AP35="","",2_Daily_input!AP35)</f>
        <v/>
      </c>
      <c r="AQ27" s="57" t="str">
        <f aca="false">IF(2_Daily_input!AQ35="","",2_Daily_input!AQ35)</f>
        <v/>
      </c>
      <c r="AR27" s="57" t="str">
        <f aca="false">IF(2_Daily_input!AR35="","",2_Daily_input!AR35)</f>
        <v/>
      </c>
      <c r="AS27" s="57" t="str">
        <f aca="false">IF(2_Daily_input!AS35="","",2_Daily_input!AS35)</f>
        <v/>
      </c>
      <c r="AT27" s="57" t="str">
        <f aca="false">IF(2_Daily_input!AT35="","",2_Daily_input!AT35)</f>
        <v/>
      </c>
      <c r="AU27" s="57" t="str">
        <f aca="false">IF(2_Daily_input!AU35="","",2_Daily_input!AU35)</f>
        <v/>
      </c>
      <c r="AV27" s="57" t="str">
        <f aca="false">IF(2_Daily_input!AV35="","",2_Daily_input!AV35)</f>
        <v/>
      </c>
      <c r="AW27" s="57" t="str">
        <f aca="false">IF(2_Daily_input!AW35="","",2_Daily_input!AW35)</f>
        <v/>
      </c>
      <c r="AX27" s="57" t="str">
        <f aca="false">IF(2_Daily_input!AX35="","",2_Daily_input!AX35)</f>
        <v/>
      </c>
      <c r="AY27" s="57" t="str">
        <f aca="false">IF(2_Daily_input!AY35="","",2_Daily_input!AY35)</f>
        <v/>
      </c>
      <c r="AZ27" s="57" t="str">
        <f aca="false">IF(2_Daily_input!AZ35="","",2_Daily_input!AZ35)</f>
        <v/>
      </c>
      <c r="BA27" s="57" t="str">
        <f aca="false">IF(2_Daily_input!BA35="","",2_Daily_input!BA35)</f>
        <v/>
      </c>
      <c r="BB27" s="57" t="str">
        <f aca="false">IF(2_Daily_input!BB35="","",2_Daily_input!BB35)</f>
        <v/>
      </c>
      <c r="BC27" s="57" t="str">
        <f aca="false">IF(2_Daily_input!BC35="","",2_Daily_input!BC35)</f>
        <v/>
      </c>
      <c r="BD27" s="57" t="str">
        <f aca="false">IF(2_Daily_input!BD35="","",2_Daily_input!BD35)</f>
        <v/>
      </c>
      <c r="BE27" s="57" t="str">
        <f aca="false">IF(2_Daily_input!BE35="","",2_Daily_input!BE35)</f>
        <v>Irrigation</v>
      </c>
      <c r="BF27" s="57" t="str">
        <f aca="false">IF(2_Daily_input!BF35="","",2_Daily_input!BF35)</f>
        <v/>
      </c>
      <c r="BG27" s="57" t="str">
        <f aca="false">IF(2_Daily_input!BG35="","",2_Daily_input!BG35)</f>
        <v>Irrigation</v>
      </c>
      <c r="BH27" s="57" t="str">
        <f aca="false">IF(2_Daily_input!BH35="","",2_Daily_input!BH35)</f>
        <v/>
      </c>
      <c r="BI27" s="57" t="str">
        <f aca="false">IF(2_Daily_input!BI35="","",2_Daily_input!BI35)</f>
        <v/>
      </c>
      <c r="BJ27" s="57" t="str">
        <f aca="false">IF(2_Daily_input!BJ35="","",2_Daily_input!BJ35)</f>
        <v/>
      </c>
      <c r="BK27" s="57" t="str">
        <f aca="false">IF(2_Daily_input!BK35="","",2_Daily_input!BK35)</f>
        <v>Irrigation</v>
      </c>
      <c r="BL27" s="57" t="str">
        <f aca="false">IF(2_Daily_input!BL35="","",2_Daily_input!BL35)</f>
        <v/>
      </c>
      <c r="BM27" s="57" t="str">
        <f aca="false">IF(2_Daily_input!BM35="","",2_Daily_input!BM35)</f>
        <v/>
      </c>
      <c r="BN27" s="57" t="str">
        <f aca="false">IF(2_Daily_input!BN35="","",2_Daily_input!BN35)</f>
        <v/>
      </c>
      <c r="BO27" s="57" t="str">
        <f aca="false">IF(2_Daily_input!BO35="","",2_Daily_input!BO35)</f>
        <v/>
      </c>
      <c r="BP27" s="57" t="str">
        <f aca="false">IF(2_Daily_input!BP35="","",2_Daily_input!BP35)</f>
        <v>Irrigation</v>
      </c>
      <c r="BQ27" s="57" t="str">
        <f aca="false">IF(2_Daily_input!BQ35="","",2_Daily_input!BQ35)</f>
        <v/>
      </c>
      <c r="BR27" s="57" t="str">
        <f aca="false">IF(2_Daily_input!BR35="","",2_Daily_input!BR35)</f>
        <v/>
      </c>
      <c r="BS27" s="57" t="str">
        <f aca="false">IF(2_Daily_input!BS35="","",2_Daily_input!BS35)</f>
        <v/>
      </c>
      <c r="BT27" s="57" t="str">
        <f aca="false">IF(2_Daily_input!BT35="","",2_Daily_input!BT35)</f>
        <v/>
      </c>
      <c r="BU27" s="57" t="str">
        <f aca="false">IF(2_Daily_input!BU35="","",2_Daily_input!BU35)</f>
        <v/>
      </c>
      <c r="BV27" s="57" t="str">
        <f aca="false">IF(2_Daily_input!BV35="","",2_Daily_input!BV35)</f>
        <v/>
      </c>
      <c r="BW27" s="57" t="str">
        <f aca="false">IF(2_Daily_input!BW35="","",2_Daily_input!BW35)</f>
        <v>Irrigation</v>
      </c>
      <c r="BX27" s="57" t="str">
        <f aca="false">IF(2_Daily_input!BX35="","",2_Daily_input!BX35)</f>
        <v/>
      </c>
      <c r="BY27" s="57" t="str">
        <f aca="false">IF(2_Daily_input!BY35="","",2_Daily_input!BY35)</f>
        <v/>
      </c>
      <c r="BZ27" s="57" t="str">
        <f aca="false">IF(2_Daily_input!BZ35="","",2_Daily_input!BZ35)</f>
        <v/>
      </c>
      <c r="CA27" s="57" t="str">
        <f aca="false">IF(2_Daily_input!CA35="","",2_Daily_input!CA35)</f>
        <v/>
      </c>
      <c r="CB27" s="57" t="str">
        <f aca="false">IF(2_Daily_input!CB35="","",2_Daily_input!CB35)</f>
        <v/>
      </c>
      <c r="CC27" s="57" t="str">
        <f aca="false">IF(2_Daily_input!CC35="","",2_Daily_input!CC35)</f>
        <v/>
      </c>
      <c r="CD27" s="57" t="str">
        <f aca="false">IF(2_Daily_input!CD35="","",2_Daily_input!CD35)</f>
        <v>Irrigation</v>
      </c>
      <c r="CE27" s="57" t="str">
        <f aca="false">IF(2_Daily_input!CE35="","",2_Daily_input!CE35)</f>
        <v/>
      </c>
      <c r="CF27" s="57" t="str">
        <f aca="false">IF(2_Daily_input!CF35="","",2_Daily_input!CF35)</f>
        <v/>
      </c>
      <c r="CG27" s="57" t="str">
        <f aca="false">IF(2_Daily_input!CG35="","",2_Daily_input!CG35)</f>
        <v/>
      </c>
      <c r="CH27" s="57" t="str">
        <f aca="false">IF(2_Daily_input!CH35="","",2_Daily_input!CH35)</f>
        <v>Irrigation</v>
      </c>
      <c r="CI27" s="57" t="str">
        <f aca="false">IF(2_Daily_input!CI35="","",2_Daily_input!CI35)</f>
        <v/>
      </c>
      <c r="CJ27" s="57" t="str">
        <f aca="false">IF(2_Daily_input!CJ35="","",2_Daily_input!CJ35)</f>
        <v/>
      </c>
      <c r="CK27" s="57" t="str">
        <f aca="false">IF(2_Daily_input!CK35="","",2_Daily_input!CK35)</f>
        <v/>
      </c>
      <c r="CL27" s="57" t="str">
        <f aca="false">IF(2_Daily_input!CL35="","",2_Daily_input!CL35)</f>
        <v/>
      </c>
      <c r="CM27" s="57" t="str">
        <f aca="false">IF(2_Daily_input!CM35="","",2_Daily_input!CM35)</f>
        <v/>
      </c>
      <c r="CN27" s="57" t="str">
        <f aca="false">IF(2_Daily_input!CN35="","",2_Daily_input!CN35)</f>
        <v/>
      </c>
      <c r="CO27" s="57" t="str">
        <f aca="false">IF(2_Daily_input!CO35="","",2_Daily_input!CO35)</f>
        <v/>
      </c>
      <c r="CP27" s="57" t="str">
        <f aca="false">IF(2_Daily_input!CP35="","",2_Daily_input!CP35)</f>
        <v/>
      </c>
      <c r="CQ27" s="57" t="str">
        <f aca="false">IF(2_Daily_input!CQ35="","",2_Daily_input!CQ35)</f>
        <v/>
      </c>
      <c r="CR27" s="57" t="str">
        <f aca="false">IF(2_Daily_input!CR35="","",2_Daily_input!CR35)</f>
        <v/>
      </c>
      <c r="CS27" s="57" t="str">
        <f aca="false">IF(2_Daily_input!CS35="","",2_Daily_input!CS35)</f>
        <v/>
      </c>
      <c r="CT27" s="57" t="str">
        <f aca="false">IF(2_Daily_input!CT35="","",2_Daily_input!CT35)</f>
        <v/>
      </c>
      <c r="CU27" s="57" t="str">
        <f aca="false">IF(2_Daily_input!CU35="","",2_Daily_input!CU35)</f>
        <v/>
      </c>
      <c r="CV27" s="57" t="str">
        <f aca="false">IF(2_Daily_input!CV35="","",2_Daily_input!CV35)</f>
        <v/>
      </c>
      <c r="CW27" s="57" t="str">
        <f aca="false">IF(2_Daily_input!CW35="","",2_Daily_input!CW35)</f>
        <v>Irrigation</v>
      </c>
      <c r="CX27" s="57" t="str">
        <f aca="false">IF(2_Daily_input!CX35="","",2_Daily_input!CX35)</f>
        <v/>
      </c>
      <c r="CY27" s="57" t="str">
        <f aca="false">IF(2_Daily_input!CY35="","",2_Daily_input!CY35)</f>
        <v/>
      </c>
      <c r="CZ27" s="57" t="str">
        <f aca="false">IF(2_Daily_input!CZ35="","",2_Daily_input!CZ35)</f>
        <v>Irrigation</v>
      </c>
      <c r="DA27" s="57" t="str">
        <f aca="false">IF(2_Daily_input!DA35="","",2_Daily_input!DA35)</f>
        <v/>
      </c>
      <c r="DB27" s="57" t="str">
        <f aca="false">IF(2_Daily_input!DB35="","",2_Daily_input!DB35)</f>
        <v/>
      </c>
      <c r="DC27" s="57" t="str">
        <f aca="false">IF(2_Daily_input!DC35="","",2_Daily_input!DC35)</f>
        <v>Irrigation</v>
      </c>
      <c r="DD27" s="57" t="str">
        <f aca="false">IF(2_Daily_input!DD35="","",2_Daily_input!DD35)</f>
        <v/>
      </c>
      <c r="DE27" s="57" t="str">
        <f aca="false">IF(2_Daily_input!DE35="","",2_Daily_input!DE35)</f>
        <v/>
      </c>
      <c r="DF27" s="57" t="str">
        <f aca="false">IF(2_Daily_input!DF35="","",2_Daily_input!DF35)</f>
        <v/>
      </c>
      <c r="DG27" s="57" t="str">
        <f aca="false">IF(2_Daily_input!DG35="","",2_Daily_input!DG35)</f>
        <v/>
      </c>
      <c r="DH27" s="57" t="str">
        <f aca="false">IF(2_Daily_input!DH35="","",2_Daily_input!DH35)</f>
        <v/>
      </c>
      <c r="DI27" s="57" t="str">
        <f aca="false">IF(2_Daily_input!DI35="","",2_Daily_input!DI35)</f>
        <v>Irrigation</v>
      </c>
      <c r="DJ27" s="57" t="str">
        <f aca="false">IF(2_Daily_input!DJ35="","",2_Daily_input!DJ35)</f>
        <v>Irrigation</v>
      </c>
      <c r="DK27" s="57" t="str">
        <f aca="false">IF(2_Daily_input!DK35="","",2_Daily_input!DK35)</f>
        <v/>
      </c>
      <c r="DL27" s="57" t="str">
        <f aca="false">IF(2_Daily_input!DL35="","",2_Daily_input!DL35)</f>
        <v/>
      </c>
      <c r="DM27" s="57" t="str">
        <f aca="false">IF(2_Daily_input!DM35="","",2_Daily_input!DM35)</f>
        <v>Irrigation</v>
      </c>
      <c r="DN27" s="57" t="str">
        <f aca="false">IF(2_Daily_input!DN35="","",2_Daily_input!DN35)</f>
        <v/>
      </c>
      <c r="DO27" s="57" t="str">
        <f aca="false">IF(2_Daily_input!DO35="","",2_Daily_input!DO35)</f>
        <v>Irrigation</v>
      </c>
      <c r="DP27" s="57" t="str">
        <f aca="false">IF(2_Daily_input!DP35="","",2_Daily_input!DP35)</f>
        <v/>
      </c>
      <c r="DQ27" s="57" t="str">
        <f aca="false">IF(2_Daily_input!DQ35="","",2_Daily_input!DQ35)</f>
        <v/>
      </c>
      <c r="DR27" s="57" t="str">
        <f aca="false">IF(2_Daily_input!DR35="","",2_Daily_input!DR35)</f>
        <v>Irrigation</v>
      </c>
      <c r="DS27" s="57" t="str">
        <f aca="false">IF(2_Daily_input!DS35="","",2_Daily_input!DS35)</f>
        <v/>
      </c>
      <c r="DT27" s="57" t="str">
        <f aca="false">IF(2_Daily_input!DT35="","",2_Daily_input!DT35)</f>
        <v>Irrigation</v>
      </c>
      <c r="DU27" s="57" t="str">
        <f aca="false">IF(2_Daily_input!DU35="","",2_Daily_input!DU35)</f>
        <v/>
      </c>
      <c r="DV27" s="57" t="str">
        <f aca="false">IF(2_Daily_input!DV35="","",2_Daily_input!DV35)</f>
        <v/>
      </c>
      <c r="DW27" s="57" t="str">
        <f aca="false">IF(2_Daily_input!DW35="","",2_Daily_input!DW35)</f>
        <v>Irrigation</v>
      </c>
      <c r="DX27" s="57" t="str">
        <f aca="false">IF(2_Daily_input!DX35="","",2_Daily_input!DX35)</f>
        <v/>
      </c>
      <c r="DY27" s="57" t="str">
        <f aca="false">IF(2_Daily_input!DY35="","",2_Daily_input!DY35)</f>
        <v/>
      </c>
      <c r="DZ27" s="57" t="str">
        <f aca="false">IF(2_Daily_input!DZ35="","",2_Daily_input!DZ35)</f>
        <v/>
      </c>
      <c r="EA27" s="57" t="str">
        <f aca="false">IF(2_Daily_input!EA35="","",2_Daily_input!EA35)</f>
        <v>Irrigation</v>
      </c>
      <c r="EB27" s="57" t="str">
        <f aca="false">IF(2_Daily_input!EB35="","",2_Daily_input!EB35)</f>
        <v/>
      </c>
      <c r="EC27" s="57" t="str">
        <f aca="false">IF(2_Daily_input!EC35="","",2_Daily_input!EC35)</f>
        <v/>
      </c>
      <c r="ED27" s="57" t="str">
        <f aca="false">IF(2_Daily_input!ED35="","",2_Daily_input!ED35)</f>
        <v/>
      </c>
      <c r="EE27" s="57" t="str">
        <f aca="false">IF(2_Daily_input!EE35="","",2_Daily_input!EE35)</f>
        <v/>
      </c>
      <c r="EF27" s="57" t="str">
        <f aca="false">IF(2_Daily_input!EF35="","",2_Daily_input!EF35)</f>
        <v/>
      </c>
      <c r="EG27" s="57" t="str">
        <f aca="false">IF(2_Daily_input!EG35="","",2_Daily_input!EG35)</f>
        <v/>
      </c>
      <c r="EH27" s="57" t="str">
        <f aca="false">IF(2_Daily_input!EH35="","",2_Daily_input!EH35)</f>
        <v>Irrigation</v>
      </c>
      <c r="EI27" s="57" t="str">
        <f aca="false">IF(2_Daily_input!EI35="","",2_Daily_input!EI35)</f>
        <v/>
      </c>
      <c r="EJ27" s="57" t="str">
        <f aca="false">IF(2_Daily_input!EJ35="","",2_Daily_input!EJ35)</f>
        <v>Irrigation</v>
      </c>
      <c r="EK27" s="57" t="str">
        <f aca="false">IF(2_Daily_input!EK35="","",2_Daily_input!EK35)</f>
        <v/>
      </c>
      <c r="EL27" s="57" t="str">
        <f aca="false">IF(2_Daily_input!EL35="","",2_Daily_input!EL35)</f>
        <v/>
      </c>
      <c r="EM27" s="57" t="str">
        <f aca="false">IF(2_Daily_input!EM35="","",2_Daily_input!EM35)</f>
        <v/>
      </c>
      <c r="EN27" s="57" t="str">
        <f aca="false">IF(2_Daily_input!EN35="","",2_Daily_input!EN35)</f>
        <v/>
      </c>
      <c r="EO27" s="57" t="str">
        <f aca="false">IF(2_Daily_input!EO35="","",2_Daily_input!EO35)</f>
        <v/>
      </c>
      <c r="EP27" s="57" t="str">
        <f aca="false">IF(2_Daily_input!EP35="","",2_Daily_input!EP35)</f>
        <v>Irrigation</v>
      </c>
      <c r="EQ27" s="57" t="str">
        <f aca="false">IF(2_Daily_input!EQ35="","",2_Daily_input!EQ35)</f>
        <v/>
      </c>
      <c r="ER27" s="57" t="str">
        <f aca="false">IF(2_Daily_input!ER35="","",2_Daily_input!ER35)</f>
        <v/>
      </c>
      <c r="ES27" s="57" t="str">
        <f aca="false">IF(2_Daily_input!ES35="","",2_Daily_input!ES35)</f>
        <v/>
      </c>
      <c r="ET27" s="57" t="str">
        <f aca="false">IF(2_Daily_input!ET35="","",2_Daily_input!ET35)</f>
        <v/>
      </c>
      <c r="EU27" s="57" t="str">
        <f aca="false">IF(2_Daily_input!EU35="","",2_Daily_input!EU35)</f>
        <v/>
      </c>
      <c r="EV27" s="57" t="str">
        <f aca="false">IF(2_Daily_input!EV35="","",2_Daily_input!EV35)</f>
        <v/>
      </c>
      <c r="EW27" s="57" t="str">
        <f aca="false">IF(2_Daily_input!EW35="","",2_Daily_input!EW35)</f>
        <v/>
      </c>
      <c r="EX27" s="57" t="str">
        <f aca="false">IF(2_Daily_input!EX35="","",2_Daily_input!EX35)</f>
        <v/>
      </c>
      <c r="EY27" s="57" t="str">
        <f aca="false">IF(2_Daily_input!EY35="","",2_Daily_input!EY35)</f>
        <v/>
      </c>
      <c r="EZ27" s="57" t="str">
        <f aca="false">IF(2_Daily_input!EZ35="","",2_Daily_input!EZ35)</f>
        <v/>
      </c>
      <c r="FA27" s="57" t="str">
        <f aca="false">IF(2_Daily_input!FA35="","",2_Daily_input!FA35)</f>
        <v/>
      </c>
      <c r="FB27" s="57" t="str">
        <f aca="false">IF(2_Daily_input!FB35="","",2_Daily_input!FB35)</f>
        <v/>
      </c>
      <c r="FC27" s="57" t="str">
        <f aca="false">IF(2_Daily_input!FC35="","",2_Daily_input!FC35)</f>
        <v/>
      </c>
      <c r="FD27" s="57" t="str">
        <f aca="false">IF(2_Daily_input!FD35="","",2_Daily_input!FD35)</f>
        <v/>
      </c>
      <c r="FE27" s="57" t="str">
        <f aca="false">IF(2_Daily_input!FE35="","",2_Daily_input!FE35)</f>
        <v/>
      </c>
      <c r="FF27" s="57" t="str">
        <f aca="false">IF(2_Daily_input!FF35="","",2_Daily_input!FF35)</f>
        <v/>
      </c>
      <c r="FG27" s="57" t="str">
        <f aca="false">IF(2_Daily_input!FG35="","",2_Daily_input!FG35)</f>
        <v/>
      </c>
      <c r="FH27" s="57" t="str">
        <f aca="false">IF(2_Daily_input!FH35="","",2_Daily_input!FH35)</f>
        <v/>
      </c>
      <c r="FI27" s="57" t="str">
        <f aca="false">IF(2_Daily_input!FI35="","",2_Daily_input!FI35)</f>
        <v/>
      </c>
      <c r="FJ27" s="57" t="str">
        <f aca="false">IF(2_Daily_input!FJ35="","",2_Daily_input!FJ35)</f>
        <v/>
      </c>
      <c r="FK27" s="57" t="str">
        <f aca="false">IF(2_Daily_input!FK35="","",2_Daily_input!FK35)</f>
        <v/>
      </c>
      <c r="FL27" s="57" t="str">
        <f aca="false">IF(2_Daily_input!FL35="","",2_Daily_input!FL35)</f>
        <v/>
      </c>
      <c r="FM27" s="57" t="str">
        <f aca="false">IF(2_Daily_input!FM35="","",2_Daily_input!FM35)</f>
        <v/>
      </c>
      <c r="FN27" s="57" t="str">
        <f aca="false">IF(2_Daily_input!FN35="","",2_Daily_input!FN35)</f>
        <v/>
      </c>
      <c r="FO27" s="57" t="str">
        <f aca="false">IF(2_Daily_input!FO35="","",2_Daily_input!FO35)</f>
        <v/>
      </c>
      <c r="FP27" s="57" t="str">
        <f aca="false">IF(2_Daily_input!FP35="","",2_Daily_input!FP35)</f>
        <v/>
      </c>
      <c r="FQ27" s="57" t="str">
        <f aca="false">IF(2_Daily_input!FQ35="","",2_Daily_input!FQ35)</f>
        <v/>
      </c>
    </row>
    <row r="28" customFormat="false" ht="15" hidden="false" customHeight="false" outlineLevel="0" collapsed="false">
      <c r="A28" s="31" t="s">
        <v>328</v>
      </c>
      <c r="B28" s="17" t="s">
        <v>427</v>
      </c>
      <c r="C28" s="48" t="n">
        <f aca="false">SUM($D$28:$FQ$28)</f>
        <v>0</v>
      </c>
      <c r="D28" s="57" t="str">
        <f aca="false">IF(2_Daily_input!D36="","",2_Daily_input!D36)</f>
        <v/>
      </c>
      <c r="E28" s="57" t="str">
        <f aca="false">IF(2_Daily_input!E36="","",2_Daily_input!E36)</f>
        <v/>
      </c>
      <c r="F28" s="57" t="str">
        <f aca="false">IF(2_Daily_input!F36="","",2_Daily_input!F36)</f>
        <v/>
      </c>
      <c r="G28" s="57" t="str">
        <f aca="false">IF(2_Daily_input!G36="","",2_Daily_input!G36)</f>
        <v/>
      </c>
      <c r="H28" s="57" t="str">
        <f aca="false">IF(2_Daily_input!H36="","",2_Daily_input!H36)</f>
        <v/>
      </c>
      <c r="I28" s="57" t="str">
        <f aca="false">IF(2_Daily_input!I36="","",2_Daily_input!I36)</f>
        <v/>
      </c>
      <c r="J28" s="57" t="str">
        <f aca="false">IF(2_Daily_input!J36="","",2_Daily_input!J36)</f>
        <v/>
      </c>
      <c r="K28" s="57" t="str">
        <f aca="false">IF(2_Daily_input!K36="","",2_Daily_input!K36)</f>
        <v/>
      </c>
      <c r="L28" s="57" t="str">
        <f aca="false">IF(2_Daily_input!L36="","",2_Daily_input!L36)</f>
        <v/>
      </c>
      <c r="M28" s="57" t="str">
        <f aca="false">IF(2_Daily_input!M36="","",2_Daily_input!M36)</f>
        <v/>
      </c>
      <c r="N28" s="57" t="str">
        <f aca="false">IF(2_Daily_input!N36="","",2_Daily_input!N36)</f>
        <v/>
      </c>
      <c r="O28" s="57" t="str">
        <f aca="false">IF(2_Daily_input!O36="","",2_Daily_input!O36)</f>
        <v/>
      </c>
      <c r="P28" s="57" t="str">
        <f aca="false">IF(2_Daily_input!P36="","",2_Daily_input!P36)</f>
        <v/>
      </c>
      <c r="Q28" s="57" t="str">
        <f aca="false">IF(2_Daily_input!Q36="","",2_Daily_input!Q36)</f>
        <v/>
      </c>
      <c r="R28" s="57" t="str">
        <f aca="false">IF(2_Daily_input!R36="","",2_Daily_input!R36)</f>
        <v/>
      </c>
      <c r="S28" s="57" t="str">
        <f aca="false">IF(2_Daily_input!S36="","",2_Daily_input!S36)</f>
        <v/>
      </c>
      <c r="T28" s="57" t="str">
        <f aca="false">IF(2_Daily_input!T36="","",2_Daily_input!T36)</f>
        <v/>
      </c>
      <c r="U28" s="57" t="str">
        <f aca="false">IF(2_Daily_input!U36="","",2_Daily_input!U36)</f>
        <v/>
      </c>
      <c r="V28" s="57" t="str">
        <f aca="false">IF(2_Daily_input!V36="","",2_Daily_input!V36)</f>
        <v/>
      </c>
      <c r="W28" s="57" t="str">
        <f aca="false">IF(2_Daily_input!W36="","",2_Daily_input!W36)</f>
        <v/>
      </c>
      <c r="X28" s="57" t="str">
        <f aca="false">IF(2_Daily_input!X36="","",2_Daily_input!X36)</f>
        <v/>
      </c>
      <c r="Y28" s="57" t="str">
        <f aca="false">IF(2_Daily_input!Y36="","",2_Daily_input!Y36)</f>
        <v/>
      </c>
      <c r="Z28" s="57" t="str">
        <f aca="false">IF(2_Daily_input!Z36="","",2_Daily_input!Z36)</f>
        <v/>
      </c>
      <c r="AA28" s="57" t="str">
        <f aca="false">IF(2_Daily_input!AA36="","",2_Daily_input!AA36)</f>
        <v/>
      </c>
      <c r="AB28" s="57" t="str">
        <f aca="false">IF(2_Daily_input!AB36="","",2_Daily_input!AB36)</f>
        <v/>
      </c>
      <c r="AC28" s="57" t="str">
        <f aca="false">IF(2_Daily_input!AC36="","",2_Daily_input!AC36)</f>
        <v/>
      </c>
      <c r="AD28" s="57" t="str">
        <f aca="false">IF(2_Daily_input!AD36="","",2_Daily_input!AD36)</f>
        <v/>
      </c>
      <c r="AE28" s="57" t="str">
        <f aca="false">IF(2_Daily_input!AE36="","",2_Daily_input!AE36)</f>
        <v/>
      </c>
      <c r="AF28" s="57" t="str">
        <f aca="false">IF(2_Daily_input!AF36="","",2_Daily_input!AF36)</f>
        <v/>
      </c>
      <c r="AG28" s="57" t="str">
        <f aca="false">IF(2_Daily_input!AG36="","",2_Daily_input!AG36)</f>
        <v/>
      </c>
      <c r="AH28" s="57" t="str">
        <f aca="false">IF(2_Daily_input!AH36="","",2_Daily_input!AH36)</f>
        <v/>
      </c>
      <c r="AI28" s="57" t="str">
        <f aca="false">IF(2_Daily_input!AI36="","",2_Daily_input!AI36)</f>
        <v/>
      </c>
      <c r="AJ28" s="57" t="str">
        <f aca="false">IF(2_Daily_input!AJ36="","",2_Daily_input!AJ36)</f>
        <v/>
      </c>
      <c r="AK28" s="57" t="str">
        <f aca="false">IF(2_Daily_input!AK36="","",2_Daily_input!AK36)</f>
        <v/>
      </c>
      <c r="AL28" s="57" t="str">
        <f aca="false">IF(2_Daily_input!AL36="","",2_Daily_input!AL36)</f>
        <v/>
      </c>
      <c r="AM28" s="57" t="str">
        <f aca="false">IF(2_Daily_input!AM36="","",2_Daily_input!AM36)</f>
        <v/>
      </c>
      <c r="AN28" s="57" t="str">
        <f aca="false">IF(2_Daily_input!AN36="","",2_Daily_input!AN36)</f>
        <v/>
      </c>
      <c r="AO28" s="57" t="str">
        <f aca="false">IF(2_Daily_input!AO36="","",2_Daily_input!AO36)</f>
        <v/>
      </c>
      <c r="AP28" s="57" t="str">
        <f aca="false">IF(2_Daily_input!AP36="","",2_Daily_input!AP36)</f>
        <v/>
      </c>
      <c r="AQ28" s="57" t="str">
        <f aca="false">IF(2_Daily_input!AQ36="","",2_Daily_input!AQ36)</f>
        <v/>
      </c>
      <c r="AR28" s="57" t="str">
        <f aca="false">IF(2_Daily_input!AR36="","",2_Daily_input!AR36)</f>
        <v/>
      </c>
      <c r="AS28" s="57" t="str">
        <f aca="false">IF(2_Daily_input!AS36="","",2_Daily_input!AS36)</f>
        <v/>
      </c>
      <c r="AT28" s="57" t="str">
        <f aca="false">IF(2_Daily_input!AT36="","",2_Daily_input!AT36)</f>
        <v/>
      </c>
      <c r="AU28" s="57" t="str">
        <f aca="false">IF(2_Daily_input!AU36="","",2_Daily_input!AU36)</f>
        <v/>
      </c>
      <c r="AV28" s="57" t="str">
        <f aca="false">IF(2_Daily_input!AV36="","",2_Daily_input!AV36)</f>
        <v/>
      </c>
      <c r="AW28" s="57" t="str">
        <f aca="false">IF(2_Daily_input!AW36="","",2_Daily_input!AW36)</f>
        <v/>
      </c>
      <c r="AX28" s="57" t="str">
        <f aca="false">IF(2_Daily_input!AX36="","",2_Daily_input!AX36)</f>
        <v/>
      </c>
      <c r="AY28" s="57" t="str">
        <f aca="false">IF(2_Daily_input!AY36="","",2_Daily_input!AY36)</f>
        <v/>
      </c>
      <c r="AZ28" s="57" t="str">
        <f aca="false">IF(2_Daily_input!AZ36="","",2_Daily_input!AZ36)</f>
        <v/>
      </c>
      <c r="BA28" s="57" t="str">
        <f aca="false">IF(2_Daily_input!BA36="","",2_Daily_input!BA36)</f>
        <v/>
      </c>
      <c r="BB28" s="57" t="str">
        <f aca="false">IF(2_Daily_input!BB36="","",2_Daily_input!BB36)</f>
        <v/>
      </c>
      <c r="BC28" s="57" t="str">
        <f aca="false">IF(2_Daily_input!BC36="","",2_Daily_input!BC36)</f>
        <v/>
      </c>
      <c r="BD28" s="57" t="str">
        <f aca="false">IF(2_Daily_input!BD36="","",2_Daily_input!BD36)</f>
        <v/>
      </c>
      <c r="BE28" s="57" t="str">
        <f aca="false">IF(2_Daily_input!BE36="","",2_Daily_input!BE36)</f>
        <v/>
      </c>
      <c r="BF28" s="57" t="str">
        <f aca="false">IF(2_Daily_input!BF36="","",2_Daily_input!BF36)</f>
        <v/>
      </c>
      <c r="BG28" s="57" t="str">
        <f aca="false">IF(2_Daily_input!BG36="","",2_Daily_input!BG36)</f>
        <v/>
      </c>
      <c r="BH28" s="57" t="str">
        <f aca="false">IF(2_Daily_input!BH36="","",2_Daily_input!BH36)</f>
        <v/>
      </c>
      <c r="BI28" s="57" t="str">
        <f aca="false">IF(2_Daily_input!BI36="","",2_Daily_input!BI36)</f>
        <v/>
      </c>
      <c r="BJ28" s="57" t="str">
        <f aca="false">IF(2_Daily_input!BJ36="","",2_Daily_input!BJ36)</f>
        <v/>
      </c>
      <c r="BK28" s="57" t="str">
        <f aca="false">IF(2_Daily_input!BK36="","",2_Daily_input!BK36)</f>
        <v/>
      </c>
      <c r="BL28" s="57" t="str">
        <f aca="false">IF(2_Daily_input!BL36="","",2_Daily_input!BL36)</f>
        <v/>
      </c>
      <c r="BM28" s="57" t="str">
        <f aca="false">IF(2_Daily_input!BM36="","",2_Daily_input!BM36)</f>
        <v/>
      </c>
      <c r="BN28" s="57" t="str">
        <f aca="false">IF(2_Daily_input!BN36="","",2_Daily_input!BN36)</f>
        <v/>
      </c>
      <c r="BO28" s="57" t="str">
        <f aca="false">IF(2_Daily_input!BO36="","",2_Daily_input!BO36)</f>
        <v/>
      </c>
      <c r="BP28" s="57" t="str">
        <f aca="false">IF(2_Daily_input!BP36="","",2_Daily_input!BP36)</f>
        <v/>
      </c>
      <c r="BQ28" s="57" t="str">
        <f aca="false">IF(2_Daily_input!BQ36="","",2_Daily_input!BQ36)</f>
        <v/>
      </c>
      <c r="BR28" s="57" t="str">
        <f aca="false">IF(2_Daily_input!BR36="","",2_Daily_input!BR36)</f>
        <v/>
      </c>
      <c r="BS28" s="57" t="str">
        <f aca="false">IF(2_Daily_input!BS36="","",2_Daily_input!BS36)</f>
        <v/>
      </c>
      <c r="BT28" s="57" t="str">
        <f aca="false">IF(2_Daily_input!BT36="","",2_Daily_input!BT36)</f>
        <v/>
      </c>
      <c r="BU28" s="57" t="str">
        <f aca="false">IF(2_Daily_input!BU36="","",2_Daily_input!BU36)</f>
        <v/>
      </c>
      <c r="BV28" s="57" t="str">
        <f aca="false">IF(2_Daily_input!BV36="","",2_Daily_input!BV36)</f>
        <v/>
      </c>
      <c r="BW28" s="57" t="str">
        <f aca="false">IF(2_Daily_input!BW36="","",2_Daily_input!BW36)</f>
        <v/>
      </c>
      <c r="BX28" s="57" t="str">
        <f aca="false">IF(2_Daily_input!BX36="","",2_Daily_input!BX36)</f>
        <v/>
      </c>
      <c r="BY28" s="57" t="str">
        <f aca="false">IF(2_Daily_input!BY36="","",2_Daily_input!BY36)</f>
        <v/>
      </c>
      <c r="BZ28" s="57" t="str">
        <f aca="false">IF(2_Daily_input!BZ36="","",2_Daily_input!BZ36)</f>
        <v/>
      </c>
      <c r="CA28" s="57" t="str">
        <f aca="false">IF(2_Daily_input!CA36="","",2_Daily_input!CA36)</f>
        <v/>
      </c>
      <c r="CB28" s="57" t="str">
        <f aca="false">IF(2_Daily_input!CB36="","",2_Daily_input!CB36)</f>
        <v/>
      </c>
      <c r="CC28" s="57" t="str">
        <f aca="false">IF(2_Daily_input!CC36="","",2_Daily_input!CC36)</f>
        <v/>
      </c>
      <c r="CD28" s="57" t="str">
        <f aca="false">IF(2_Daily_input!CD36="","",2_Daily_input!CD36)</f>
        <v/>
      </c>
      <c r="CE28" s="57" t="str">
        <f aca="false">IF(2_Daily_input!CE36="","",2_Daily_input!CE36)</f>
        <v/>
      </c>
      <c r="CF28" s="57" t="str">
        <f aca="false">IF(2_Daily_input!CF36="","",2_Daily_input!CF36)</f>
        <v/>
      </c>
      <c r="CG28" s="57" t="str">
        <f aca="false">IF(2_Daily_input!CG36="","",2_Daily_input!CG36)</f>
        <v/>
      </c>
      <c r="CH28" s="57" t="str">
        <f aca="false">IF(2_Daily_input!CH36="","",2_Daily_input!CH36)</f>
        <v/>
      </c>
      <c r="CI28" s="57" t="str">
        <f aca="false">IF(2_Daily_input!CI36="","",2_Daily_input!CI36)</f>
        <v/>
      </c>
      <c r="CJ28" s="57" t="str">
        <f aca="false">IF(2_Daily_input!CJ36="","",2_Daily_input!CJ36)</f>
        <v/>
      </c>
      <c r="CK28" s="57" t="str">
        <f aca="false">IF(2_Daily_input!CK36="","",2_Daily_input!CK36)</f>
        <v/>
      </c>
      <c r="CL28" s="57" t="str">
        <f aca="false">IF(2_Daily_input!CL36="","",2_Daily_input!CL36)</f>
        <v/>
      </c>
      <c r="CM28" s="57" t="str">
        <f aca="false">IF(2_Daily_input!CM36="","",2_Daily_input!CM36)</f>
        <v/>
      </c>
      <c r="CN28" s="57" t="str">
        <f aca="false">IF(2_Daily_input!CN36="","",2_Daily_input!CN36)</f>
        <v/>
      </c>
      <c r="CO28" s="57" t="str">
        <f aca="false">IF(2_Daily_input!CO36="","",2_Daily_input!CO36)</f>
        <v/>
      </c>
      <c r="CP28" s="57" t="str">
        <f aca="false">IF(2_Daily_input!CP36="","",2_Daily_input!CP36)</f>
        <v/>
      </c>
      <c r="CQ28" s="57" t="str">
        <f aca="false">IF(2_Daily_input!CQ36="","",2_Daily_input!CQ36)</f>
        <v/>
      </c>
      <c r="CR28" s="57" t="str">
        <f aca="false">IF(2_Daily_input!CR36="","",2_Daily_input!CR36)</f>
        <v/>
      </c>
      <c r="CS28" s="57" t="str">
        <f aca="false">IF(2_Daily_input!CS36="","",2_Daily_input!CS36)</f>
        <v/>
      </c>
      <c r="CT28" s="57" t="str">
        <f aca="false">IF(2_Daily_input!CT36="","",2_Daily_input!CT36)</f>
        <v/>
      </c>
      <c r="CU28" s="57" t="str">
        <f aca="false">IF(2_Daily_input!CU36="","",2_Daily_input!CU36)</f>
        <v/>
      </c>
      <c r="CV28" s="57" t="str">
        <f aca="false">IF(2_Daily_input!CV36="","",2_Daily_input!CV36)</f>
        <v/>
      </c>
      <c r="CW28" s="57" t="str">
        <f aca="false">IF(2_Daily_input!CW36="","",2_Daily_input!CW36)</f>
        <v/>
      </c>
      <c r="CX28" s="57" t="str">
        <f aca="false">IF(2_Daily_input!CX36="","",2_Daily_input!CX36)</f>
        <v/>
      </c>
      <c r="CY28" s="57" t="str">
        <f aca="false">IF(2_Daily_input!CY36="","",2_Daily_input!CY36)</f>
        <v/>
      </c>
      <c r="CZ28" s="57" t="str">
        <f aca="false">IF(2_Daily_input!CZ36="","",2_Daily_input!CZ36)</f>
        <v/>
      </c>
      <c r="DA28" s="57" t="str">
        <f aca="false">IF(2_Daily_input!DA36="","",2_Daily_input!DA36)</f>
        <v/>
      </c>
      <c r="DB28" s="57" t="str">
        <f aca="false">IF(2_Daily_input!DB36="","",2_Daily_input!DB36)</f>
        <v/>
      </c>
      <c r="DC28" s="57" t="str">
        <f aca="false">IF(2_Daily_input!DC36="","",2_Daily_input!DC36)</f>
        <v/>
      </c>
      <c r="DD28" s="57" t="str">
        <f aca="false">IF(2_Daily_input!DD36="","",2_Daily_input!DD36)</f>
        <v/>
      </c>
      <c r="DE28" s="57" t="str">
        <f aca="false">IF(2_Daily_input!DE36="","",2_Daily_input!DE36)</f>
        <v/>
      </c>
      <c r="DF28" s="57" t="str">
        <f aca="false">IF(2_Daily_input!DF36="","",2_Daily_input!DF36)</f>
        <v/>
      </c>
      <c r="DG28" s="57" t="str">
        <f aca="false">IF(2_Daily_input!DG36="","",2_Daily_input!DG36)</f>
        <v/>
      </c>
      <c r="DH28" s="57" t="str">
        <f aca="false">IF(2_Daily_input!DH36="","",2_Daily_input!DH36)</f>
        <v/>
      </c>
      <c r="DI28" s="57" t="str">
        <f aca="false">IF(2_Daily_input!DI36="","",2_Daily_input!DI36)</f>
        <v/>
      </c>
      <c r="DJ28" s="57" t="str">
        <f aca="false">IF(2_Daily_input!DJ36="","",2_Daily_input!DJ36)</f>
        <v/>
      </c>
      <c r="DK28" s="57" t="str">
        <f aca="false">IF(2_Daily_input!DK36="","",2_Daily_input!DK36)</f>
        <v/>
      </c>
      <c r="DL28" s="57" t="str">
        <f aca="false">IF(2_Daily_input!DL36="","",2_Daily_input!DL36)</f>
        <v/>
      </c>
      <c r="DM28" s="57" t="str">
        <f aca="false">IF(2_Daily_input!DM36="","",2_Daily_input!DM36)</f>
        <v/>
      </c>
      <c r="DN28" s="57" t="str">
        <f aca="false">IF(2_Daily_input!DN36="","",2_Daily_input!DN36)</f>
        <v/>
      </c>
      <c r="DO28" s="57" t="str">
        <f aca="false">IF(2_Daily_input!DO36="","",2_Daily_input!DO36)</f>
        <v/>
      </c>
      <c r="DP28" s="57" t="str">
        <f aca="false">IF(2_Daily_input!DP36="","",2_Daily_input!DP36)</f>
        <v/>
      </c>
      <c r="DQ28" s="57" t="str">
        <f aca="false">IF(2_Daily_input!DQ36="","",2_Daily_input!DQ36)</f>
        <v/>
      </c>
      <c r="DR28" s="57" t="str">
        <f aca="false">IF(2_Daily_input!DR36="","",2_Daily_input!DR36)</f>
        <v/>
      </c>
      <c r="DS28" s="57" t="str">
        <f aca="false">IF(2_Daily_input!DS36="","",2_Daily_input!DS36)</f>
        <v/>
      </c>
      <c r="DT28" s="57" t="str">
        <f aca="false">IF(2_Daily_input!DT36="","",2_Daily_input!DT36)</f>
        <v/>
      </c>
      <c r="DU28" s="57" t="str">
        <f aca="false">IF(2_Daily_input!DU36="","",2_Daily_input!DU36)</f>
        <v/>
      </c>
      <c r="DV28" s="57" t="str">
        <f aca="false">IF(2_Daily_input!DV36="","",2_Daily_input!DV36)</f>
        <v/>
      </c>
      <c r="DW28" s="57" t="str">
        <f aca="false">IF(2_Daily_input!DW36="","",2_Daily_input!DW36)</f>
        <v/>
      </c>
      <c r="DX28" s="57" t="str">
        <f aca="false">IF(2_Daily_input!DX36="","",2_Daily_input!DX36)</f>
        <v/>
      </c>
      <c r="DY28" s="57" t="str">
        <f aca="false">IF(2_Daily_input!DY36="","",2_Daily_input!DY36)</f>
        <v/>
      </c>
      <c r="DZ28" s="57" t="str">
        <f aca="false">IF(2_Daily_input!DZ36="","",2_Daily_input!DZ36)</f>
        <v/>
      </c>
      <c r="EA28" s="57" t="str">
        <f aca="false">IF(2_Daily_input!EA36="","",2_Daily_input!EA36)</f>
        <v/>
      </c>
      <c r="EB28" s="57" t="str">
        <f aca="false">IF(2_Daily_input!EB36="","",2_Daily_input!EB36)</f>
        <v/>
      </c>
      <c r="EC28" s="57" t="str">
        <f aca="false">IF(2_Daily_input!EC36="","",2_Daily_input!EC36)</f>
        <v/>
      </c>
      <c r="ED28" s="57" t="str">
        <f aca="false">IF(2_Daily_input!ED36="","",2_Daily_input!ED36)</f>
        <v/>
      </c>
      <c r="EE28" s="57" t="str">
        <f aca="false">IF(2_Daily_input!EE36="","",2_Daily_input!EE36)</f>
        <v/>
      </c>
      <c r="EF28" s="57" t="str">
        <f aca="false">IF(2_Daily_input!EF36="","",2_Daily_input!EF36)</f>
        <v/>
      </c>
      <c r="EG28" s="57" t="str">
        <f aca="false">IF(2_Daily_input!EG36="","",2_Daily_input!EG36)</f>
        <v/>
      </c>
      <c r="EH28" s="57" t="str">
        <f aca="false">IF(2_Daily_input!EH36="","",2_Daily_input!EH36)</f>
        <v/>
      </c>
      <c r="EI28" s="57" t="str">
        <f aca="false">IF(2_Daily_input!EI36="","",2_Daily_input!EI36)</f>
        <v/>
      </c>
      <c r="EJ28" s="57" t="str">
        <f aca="false">IF(2_Daily_input!EJ36="","",2_Daily_input!EJ36)</f>
        <v/>
      </c>
      <c r="EK28" s="57" t="str">
        <f aca="false">IF(2_Daily_input!EK36="","",2_Daily_input!EK36)</f>
        <v/>
      </c>
      <c r="EL28" s="57" t="str">
        <f aca="false">IF(2_Daily_input!EL36="","",2_Daily_input!EL36)</f>
        <v/>
      </c>
      <c r="EM28" s="57" t="str">
        <f aca="false">IF(2_Daily_input!EM36="","",2_Daily_input!EM36)</f>
        <v/>
      </c>
      <c r="EN28" s="57" t="str">
        <f aca="false">IF(2_Daily_input!EN36="","",2_Daily_input!EN36)</f>
        <v/>
      </c>
      <c r="EO28" s="57" t="str">
        <f aca="false">IF(2_Daily_input!EO36="","",2_Daily_input!EO36)</f>
        <v/>
      </c>
      <c r="EP28" s="57" t="str">
        <f aca="false">IF(2_Daily_input!EP36="","",2_Daily_input!EP36)</f>
        <v/>
      </c>
      <c r="EQ28" s="57" t="str">
        <f aca="false">IF(2_Daily_input!EQ36="","",2_Daily_input!EQ36)</f>
        <v/>
      </c>
      <c r="ER28" s="57" t="str">
        <f aca="false">IF(2_Daily_input!ER36="","",2_Daily_input!ER36)</f>
        <v/>
      </c>
      <c r="ES28" s="57" t="str">
        <f aca="false">IF(2_Daily_input!ES36="","",2_Daily_input!ES36)</f>
        <v/>
      </c>
      <c r="ET28" s="57" t="str">
        <f aca="false">IF(2_Daily_input!ET36="","",2_Daily_input!ET36)</f>
        <v/>
      </c>
      <c r="EU28" s="57" t="str">
        <f aca="false">IF(2_Daily_input!EU36="","",2_Daily_input!EU36)</f>
        <v/>
      </c>
      <c r="EV28" s="57" t="str">
        <f aca="false">IF(2_Daily_input!EV36="","",2_Daily_input!EV36)</f>
        <v/>
      </c>
      <c r="EW28" s="57" t="str">
        <f aca="false">IF(2_Daily_input!EW36="","",2_Daily_input!EW36)</f>
        <v/>
      </c>
      <c r="EX28" s="57" t="str">
        <f aca="false">IF(2_Daily_input!EX36="","",2_Daily_input!EX36)</f>
        <v/>
      </c>
      <c r="EY28" s="57" t="str">
        <f aca="false">IF(2_Daily_input!EY36="","",2_Daily_input!EY36)</f>
        <v/>
      </c>
      <c r="EZ28" s="57" t="str">
        <f aca="false">IF(2_Daily_input!EZ36="","",2_Daily_input!EZ36)</f>
        <v/>
      </c>
      <c r="FA28" s="57" t="str">
        <f aca="false">IF(2_Daily_input!FA36="","",2_Daily_input!FA36)</f>
        <v/>
      </c>
      <c r="FB28" s="57" t="str">
        <f aca="false">IF(2_Daily_input!FB36="","",2_Daily_input!FB36)</f>
        <v/>
      </c>
      <c r="FC28" s="57" t="str">
        <f aca="false">IF(2_Daily_input!FC36="","",2_Daily_input!FC36)</f>
        <v/>
      </c>
      <c r="FD28" s="57" t="str">
        <f aca="false">IF(2_Daily_input!FD36="","",2_Daily_input!FD36)</f>
        <v/>
      </c>
      <c r="FE28" s="57" t="str">
        <f aca="false">IF(2_Daily_input!FE36="","",2_Daily_input!FE36)</f>
        <v/>
      </c>
      <c r="FF28" s="57" t="str">
        <f aca="false">IF(2_Daily_input!FF36="","",2_Daily_input!FF36)</f>
        <v/>
      </c>
      <c r="FG28" s="57" t="str">
        <f aca="false">IF(2_Daily_input!FG36="","",2_Daily_input!FG36)</f>
        <v/>
      </c>
      <c r="FH28" s="57" t="str">
        <f aca="false">IF(2_Daily_input!FH36="","",2_Daily_input!FH36)</f>
        <v/>
      </c>
      <c r="FI28" s="57" t="str">
        <f aca="false">IF(2_Daily_input!FI36="","",2_Daily_input!FI36)</f>
        <v/>
      </c>
      <c r="FJ28" s="57" t="str">
        <f aca="false">IF(2_Daily_input!FJ36="","",2_Daily_input!FJ36)</f>
        <v/>
      </c>
      <c r="FK28" s="57" t="str">
        <f aca="false">IF(2_Daily_input!FK36="","",2_Daily_input!FK36)</f>
        <v/>
      </c>
      <c r="FL28" s="57" t="str">
        <f aca="false">IF(2_Daily_input!FL36="","",2_Daily_input!FL36)</f>
        <v/>
      </c>
      <c r="FM28" s="57" t="str">
        <f aca="false">IF(2_Daily_input!FM36="","",2_Daily_input!FM36)</f>
        <v/>
      </c>
      <c r="FN28" s="57" t="str">
        <f aca="false">IF(2_Daily_input!FN36="","",2_Daily_input!FN36)</f>
        <v/>
      </c>
      <c r="FO28" s="57" t="str">
        <f aca="false">IF(2_Daily_input!FO36="","",2_Daily_input!FO36)</f>
        <v/>
      </c>
      <c r="FP28" s="57" t="str">
        <f aca="false">IF(2_Daily_input!FP36="","",2_Daily_input!FP36)</f>
        <v/>
      </c>
      <c r="FQ28" s="57" t="str">
        <f aca="false">IF(2_Daily_input!FQ36="","",2_Daily_input!FQ36)</f>
        <v/>
      </c>
    </row>
    <row r="29" customFormat="false" ht="15" hidden="false" customHeight="false" outlineLevel="0" collapsed="false">
      <c r="A29" s="31" t="s">
        <v>328</v>
      </c>
      <c r="B29" s="17" t="s">
        <v>428</v>
      </c>
      <c r="D29" s="57" t="str">
        <f aca="false">IF(2_Daily_input!D37="","",2_Daily_input!D37)</f>
        <v/>
      </c>
      <c r="E29" s="57" t="str">
        <f aca="false">IF(2_Daily_input!E37="","",2_Daily_input!E37)</f>
        <v/>
      </c>
      <c r="F29" s="57" t="str">
        <f aca="false">IF(2_Daily_input!F37="","",2_Daily_input!F37)</f>
        <v/>
      </c>
      <c r="G29" s="57" t="str">
        <f aca="false">IF(2_Daily_input!G37="","",2_Daily_input!G37)</f>
        <v/>
      </c>
      <c r="H29" s="57" t="str">
        <f aca="false">IF(2_Daily_input!H37="","",2_Daily_input!H37)</f>
        <v/>
      </c>
      <c r="I29" s="57" t="str">
        <f aca="false">IF(2_Daily_input!I37="","",2_Daily_input!I37)</f>
        <v/>
      </c>
      <c r="J29" s="57" t="str">
        <f aca="false">IF(2_Daily_input!J37="","",2_Daily_input!J37)</f>
        <v/>
      </c>
      <c r="K29" s="57" t="str">
        <f aca="false">IF(2_Daily_input!K37="","",2_Daily_input!K37)</f>
        <v/>
      </c>
      <c r="L29" s="57" t="str">
        <f aca="false">IF(2_Daily_input!L37="","",2_Daily_input!L37)</f>
        <v/>
      </c>
      <c r="M29" s="57" t="str">
        <f aca="false">IF(2_Daily_input!M37="","",2_Daily_input!M37)</f>
        <v/>
      </c>
      <c r="N29" s="57" t="str">
        <f aca="false">IF(2_Daily_input!N37="","",2_Daily_input!N37)</f>
        <v/>
      </c>
      <c r="O29" s="57" t="str">
        <f aca="false">IF(2_Daily_input!O37="","",2_Daily_input!O37)</f>
        <v/>
      </c>
      <c r="P29" s="57" t="str">
        <f aca="false">IF(2_Daily_input!P37="","",2_Daily_input!P37)</f>
        <v/>
      </c>
      <c r="Q29" s="57" t="str">
        <f aca="false">IF(2_Daily_input!Q37="","",2_Daily_input!Q37)</f>
        <v/>
      </c>
      <c r="R29" s="57" t="str">
        <f aca="false">IF(2_Daily_input!R37="","",2_Daily_input!R37)</f>
        <v/>
      </c>
      <c r="S29" s="57" t="str">
        <f aca="false">IF(2_Daily_input!S37="","",2_Daily_input!S37)</f>
        <v/>
      </c>
      <c r="T29" s="57" t="str">
        <f aca="false">IF(2_Daily_input!T37="","",2_Daily_input!T37)</f>
        <v/>
      </c>
      <c r="U29" s="57" t="str">
        <f aca="false">IF(2_Daily_input!U37="","",2_Daily_input!U37)</f>
        <v/>
      </c>
      <c r="V29" s="57" t="str">
        <f aca="false">IF(2_Daily_input!V37="","",2_Daily_input!V37)</f>
        <v/>
      </c>
      <c r="W29" s="57" t="str">
        <f aca="false">IF(2_Daily_input!W37="","",2_Daily_input!W37)</f>
        <v/>
      </c>
      <c r="X29" s="57" t="str">
        <f aca="false">IF(2_Daily_input!X37="","",2_Daily_input!X37)</f>
        <v/>
      </c>
      <c r="Y29" s="57" t="str">
        <f aca="false">IF(2_Daily_input!Y37="","",2_Daily_input!Y37)</f>
        <v/>
      </c>
      <c r="Z29" s="57" t="str">
        <f aca="false">IF(2_Daily_input!Z37="","",2_Daily_input!Z37)</f>
        <v/>
      </c>
      <c r="AA29" s="57" t="str">
        <f aca="false">IF(2_Daily_input!AA37="","",2_Daily_input!AA37)</f>
        <v/>
      </c>
      <c r="AB29" s="57" t="str">
        <f aca="false">IF(2_Daily_input!AB37="","",2_Daily_input!AB37)</f>
        <v/>
      </c>
      <c r="AC29" s="57" t="str">
        <f aca="false">IF(2_Daily_input!AC37="","",2_Daily_input!AC37)</f>
        <v/>
      </c>
      <c r="AD29" s="57" t="str">
        <f aca="false">IF(2_Daily_input!AD37="","",2_Daily_input!AD37)</f>
        <v/>
      </c>
      <c r="AE29" s="57" t="str">
        <f aca="false">IF(2_Daily_input!AE37="","",2_Daily_input!AE37)</f>
        <v/>
      </c>
      <c r="AF29" s="57" t="str">
        <f aca="false">IF(2_Daily_input!AF37="","",2_Daily_input!AF37)</f>
        <v/>
      </c>
      <c r="AG29" s="57" t="str">
        <f aca="false">IF(2_Daily_input!AG37="","",2_Daily_input!AG37)</f>
        <v/>
      </c>
      <c r="AH29" s="57" t="str">
        <f aca="false">IF(2_Daily_input!AH37="","",2_Daily_input!AH37)</f>
        <v/>
      </c>
      <c r="AI29" s="57" t="str">
        <f aca="false">IF(2_Daily_input!AI37="","",2_Daily_input!AI37)</f>
        <v/>
      </c>
      <c r="AJ29" s="57" t="str">
        <f aca="false">IF(2_Daily_input!AJ37="","",2_Daily_input!AJ37)</f>
        <v/>
      </c>
      <c r="AK29" s="57" t="str">
        <f aca="false">IF(2_Daily_input!AK37="","",2_Daily_input!AK37)</f>
        <v/>
      </c>
      <c r="AL29" s="57" t="str">
        <f aca="false">IF(2_Daily_input!AL37="","",2_Daily_input!AL37)</f>
        <v/>
      </c>
      <c r="AM29" s="57" t="str">
        <f aca="false">IF(2_Daily_input!AM37="","",2_Daily_input!AM37)</f>
        <v/>
      </c>
      <c r="AN29" s="57" t="str">
        <f aca="false">IF(2_Daily_input!AN37="","",2_Daily_input!AN37)</f>
        <v/>
      </c>
      <c r="AO29" s="57" t="str">
        <f aca="false">IF(2_Daily_input!AO37="","",2_Daily_input!AO37)</f>
        <v/>
      </c>
      <c r="AP29" s="57" t="str">
        <f aca="false">IF(2_Daily_input!AP37="","",2_Daily_input!AP37)</f>
        <v/>
      </c>
      <c r="AQ29" s="57" t="str">
        <f aca="false">IF(2_Daily_input!AQ37="","",2_Daily_input!AQ37)</f>
        <v/>
      </c>
      <c r="AR29" s="57" t="str">
        <f aca="false">IF(2_Daily_input!AR37="","",2_Daily_input!AR37)</f>
        <v/>
      </c>
      <c r="AS29" s="57" t="str">
        <f aca="false">IF(2_Daily_input!AS37="","",2_Daily_input!AS37)</f>
        <v/>
      </c>
      <c r="AT29" s="57" t="str">
        <f aca="false">IF(2_Daily_input!AT37="","",2_Daily_input!AT37)</f>
        <v/>
      </c>
      <c r="AU29" s="57" t="str">
        <f aca="false">IF(2_Daily_input!AU37="","",2_Daily_input!AU37)</f>
        <v/>
      </c>
      <c r="AV29" s="57" t="str">
        <f aca="false">IF(2_Daily_input!AV37="","",2_Daily_input!AV37)</f>
        <v/>
      </c>
      <c r="AW29" s="57" t="str">
        <f aca="false">IF(2_Daily_input!AW37="","",2_Daily_input!AW37)</f>
        <v/>
      </c>
      <c r="AX29" s="57" t="str">
        <f aca="false">IF(2_Daily_input!AX37="","",2_Daily_input!AX37)</f>
        <v/>
      </c>
      <c r="AY29" s="57" t="str">
        <f aca="false">IF(2_Daily_input!AY37="","",2_Daily_input!AY37)</f>
        <v/>
      </c>
      <c r="AZ29" s="57" t="str">
        <f aca="false">IF(2_Daily_input!AZ37="","",2_Daily_input!AZ37)</f>
        <v/>
      </c>
      <c r="BA29" s="57" t="str">
        <f aca="false">IF(2_Daily_input!BA37="","",2_Daily_input!BA37)</f>
        <v/>
      </c>
      <c r="BB29" s="57" t="str">
        <f aca="false">IF(2_Daily_input!BB37="","",2_Daily_input!BB37)</f>
        <v/>
      </c>
      <c r="BC29" s="57" t="str">
        <f aca="false">IF(2_Daily_input!BC37="","",2_Daily_input!BC37)</f>
        <v/>
      </c>
      <c r="BD29" s="57" t="str">
        <f aca="false">IF(2_Daily_input!BD37="","",2_Daily_input!BD37)</f>
        <v/>
      </c>
      <c r="BE29" s="57" t="str">
        <f aca="false">IF(2_Daily_input!BE37="","",2_Daily_input!BE37)</f>
        <v/>
      </c>
      <c r="BF29" s="57" t="str">
        <f aca="false">IF(2_Daily_input!BF37="","",2_Daily_input!BF37)</f>
        <v/>
      </c>
      <c r="BG29" s="57" t="str">
        <f aca="false">IF(2_Daily_input!BG37="","",2_Daily_input!BG37)</f>
        <v/>
      </c>
      <c r="BH29" s="57" t="str">
        <f aca="false">IF(2_Daily_input!BH37="","",2_Daily_input!BH37)</f>
        <v/>
      </c>
      <c r="BI29" s="57" t="str">
        <f aca="false">IF(2_Daily_input!BI37="","",2_Daily_input!BI37)</f>
        <v/>
      </c>
      <c r="BJ29" s="57" t="str">
        <f aca="false">IF(2_Daily_input!BJ37="","",2_Daily_input!BJ37)</f>
        <v/>
      </c>
      <c r="BK29" s="57" t="str">
        <f aca="false">IF(2_Daily_input!BK37="","",2_Daily_input!BK37)</f>
        <v/>
      </c>
      <c r="BL29" s="57" t="str">
        <f aca="false">IF(2_Daily_input!BL37="","",2_Daily_input!BL37)</f>
        <v/>
      </c>
      <c r="BM29" s="57" t="str">
        <f aca="false">IF(2_Daily_input!BM37="","",2_Daily_input!BM37)</f>
        <v/>
      </c>
      <c r="BN29" s="57" t="str">
        <f aca="false">IF(2_Daily_input!BN37="","",2_Daily_input!BN37)</f>
        <v/>
      </c>
      <c r="BO29" s="57" t="str">
        <f aca="false">IF(2_Daily_input!BO37="","",2_Daily_input!BO37)</f>
        <v/>
      </c>
      <c r="BP29" s="57" t="str">
        <f aca="false">IF(2_Daily_input!BP37="","",2_Daily_input!BP37)</f>
        <v/>
      </c>
      <c r="BQ29" s="57" t="str">
        <f aca="false">IF(2_Daily_input!BQ37="","",2_Daily_input!BQ37)</f>
        <v/>
      </c>
      <c r="BR29" s="57" t="str">
        <f aca="false">IF(2_Daily_input!BR37="","",2_Daily_input!BR37)</f>
        <v/>
      </c>
      <c r="BS29" s="57" t="str">
        <f aca="false">IF(2_Daily_input!BS37="","",2_Daily_input!BS37)</f>
        <v/>
      </c>
      <c r="BT29" s="57" t="str">
        <f aca="false">IF(2_Daily_input!BT37="","",2_Daily_input!BT37)</f>
        <v/>
      </c>
      <c r="BU29" s="57" t="str">
        <f aca="false">IF(2_Daily_input!BU37="","",2_Daily_input!BU37)</f>
        <v/>
      </c>
      <c r="BV29" s="57" t="str">
        <f aca="false">IF(2_Daily_input!BV37="","",2_Daily_input!BV37)</f>
        <v/>
      </c>
      <c r="BW29" s="57" t="str">
        <f aca="false">IF(2_Daily_input!BW37="","",2_Daily_input!BW37)</f>
        <v/>
      </c>
      <c r="BX29" s="57" t="str">
        <f aca="false">IF(2_Daily_input!BX37="","",2_Daily_input!BX37)</f>
        <v/>
      </c>
      <c r="BY29" s="57" t="str">
        <f aca="false">IF(2_Daily_input!BY37="","",2_Daily_input!BY37)</f>
        <v/>
      </c>
      <c r="BZ29" s="57" t="str">
        <f aca="false">IF(2_Daily_input!BZ37="","",2_Daily_input!BZ37)</f>
        <v/>
      </c>
      <c r="CA29" s="57" t="str">
        <f aca="false">IF(2_Daily_input!CA37="","",2_Daily_input!CA37)</f>
        <v/>
      </c>
      <c r="CB29" s="57" t="str">
        <f aca="false">IF(2_Daily_input!CB37="","",2_Daily_input!CB37)</f>
        <v/>
      </c>
      <c r="CC29" s="57" t="str">
        <f aca="false">IF(2_Daily_input!CC37="","",2_Daily_input!CC37)</f>
        <v/>
      </c>
      <c r="CD29" s="57" t="str">
        <f aca="false">IF(2_Daily_input!CD37="","",2_Daily_input!CD37)</f>
        <v/>
      </c>
      <c r="CE29" s="57" t="str">
        <f aca="false">IF(2_Daily_input!CE37="","",2_Daily_input!CE37)</f>
        <v/>
      </c>
      <c r="CF29" s="57" t="str">
        <f aca="false">IF(2_Daily_input!CF37="","",2_Daily_input!CF37)</f>
        <v/>
      </c>
      <c r="CG29" s="57" t="str">
        <f aca="false">IF(2_Daily_input!CG37="","",2_Daily_input!CG37)</f>
        <v/>
      </c>
      <c r="CH29" s="57" t="str">
        <f aca="false">IF(2_Daily_input!CH37="","",2_Daily_input!CH37)</f>
        <v/>
      </c>
      <c r="CI29" s="57" t="str">
        <f aca="false">IF(2_Daily_input!CI37="","",2_Daily_input!CI37)</f>
        <v/>
      </c>
      <c r="CJ29" s="57" t="str">
        <f aca="false">IF(2_Daily_input!CJ37="","",2_Daily_input!CJ37)</f>
        <v/>
      </c>
      <c r="CK29" s="57" t="str">
        <f aca="false">IF(2_Daily_input!CK37="","",2_Daily_input!CK37)</f>
        <v/>
      </c>
      <c r="CL29" s="57" t="str">
        <f aca="false">IF(2_Daily_input!CL37="","",2_Daily_input!CL37)</f>
        <v/>
      </c>
      <c r="CM29" s="57" t="str">
        <f aca="false">IF(2_Daily_input!CM37="","",2_Daily_input!CM37)</f>
        <v/>
      </c>
      <c r="CN29" s="57" t="str">
        <f aca="false">IF(2_Daily_input!CN37="","",2_Daily_input!CN37)</f>
        <v/>
      </c>
      <c r="CO29" s="57" t="str">
        <f aca="false">IF(2_Daily_input!CO37="","",2_Daily_input!CO37)</f>
        <v/>
      </c>
      <c r="CP29" s="57" t="str">
        <f aca="false">IF(2_Daily_input!CP37="","",2_Daily_input!CP37)</f>
        <v/>
      </c>
      <c r="CQ29" s="57" t="str">
        <f aca="false">IF(2_Daily_input!CQ37="","",2_Daily_input!CQ37)</f>
        <v/>
      </c>
      <c r="CR29" s="57" t="str">
        <f aca="false">IF(2_Daily_input!CR37="","",2_Daily_input!CR37)</f>
        <v/>
      </c>
      <c r="CS29" s="57" t="str">
        <f aca="false">IF(2_Daily_input!CS37="","",2_Daily_input!CS37)</f>
        <v/>
      </c>
      <c r="CT29" s="57" t="str">
        <f aca="false">IF(2_Daily_input!CT37="","",2_Daily_input!CT37)</f>
        <v/>
      </c>
      <c r="CU29" s="57" t="str">
        <f aca="false">IF(2_Daily_input!CU37="","",2_Daily_input!CU37)</f>
        <v/>
      </c>
      <c r="CV29" s="57" t="str">
        <f aca="false">IF(2_Daily_input!CV37="","",2_Daily_input!CV37)</f>
        <v/>
      </c>
      <c r="CW29" s="57" t="str">
        <f aca="false">IF(2_Daily_input!CW37="","",2_Daily_input!CW37)</f>
        <v/>
      </c>
      <c r="CX29" s="57" t="str">
        <f aca="false">IF(2_Daily_input!CX37="","",2_Daily_input!CX37)</f>
        <v/>
      </c>
      <c r="CY29" s="57" t="str">
        <f aca="false">IF(2_Daily_input!CY37="","",2_Daily_input!CY37)</f>
        <v/>
      </c>
      <c r="CZ29" s="57" t="str">
        <f aca="false">IF(2_Daily_input!CZ37="","",2_Daily_input!CZ37)</f>
        <v/>
      </c>
      <c r="DA29" s="57" t="str">
        <f aca="false">IF(2_Daily_input!DA37="","",2_Daily_input!DA37)</f>
        <v/>
      </c>
      <c r="DB29" s="57" t="str">
        <f aca="false">IF(2_Daily_input!DB37="","",2_Daily_input!DB37)</f>
        <v/>
      </c>
      <c r="DC29" s="57" t="str">
        <f aca="false">IF(2_Daily_input!DC37="","",2_Daily_input!DC37)</f>
        <v/>
      </c>
      <c r="DD29" s="57" t="str">
        <f aca="false">IF(2_Daily_input!DD37="","",2_Daily_input!DD37)</f>
        <v/>
      </c>
      <c r="DE29" s="57" t="str">
        <f aca="false">IF(2_Daily_input!DE37="","",2_Daily_input!DE37)</f>
        <v/>
      </c>
      <c r="DF29" s="57" t="str">
        <f aca="false">IF(2_Daily_input!DF37="","",2_Daily_input!DF37)</f>
        <v/>
      </c>
      <c r="DG29" s="57" t="str">
        <f aca="false">IF(2_Daily_input!DG37="","",2_Daily_input!DG37)</f>
        <v/>
      </c>
      <c r="DH29" s="57" t="str">
        <f aca="false">IF(2_Daily_input!DH37="","",2_Daily_input!DH37)</f>
        <v/>
      </c>
      <c r="DI29" s="57" t="str">
        <f aca="false">IF(2_Daily_input!DI37="","",2_Daily_input!DI37)</f>
        <v/>
      </c>
      <c r="DJ29" s="57" t="str">
        <f aca="false">IF(2_Daily_input!DJ37="","",2_Daily_input!DJ37)</f>
        <v/>
      </c>
      <c r="DK29" s="57" t="str">
        <f aca="false">IF(2_Daily_input!DK37="","",2_Daily_input!DK37)</f>
        <v/>
      </c>
      <c r="DL29" s="57" t="str">
        <f aca="false">IF(2_Daily_input!DL37="","",2_Daily_input!DL37)</f>
        <v/>
      </c>
      <c r="DM29" s="57" t="str">
        <f aca="false">IF(2_Daily_input!DM37="","",2_Daily_input!DM37)</f>
        <v/>
      </c>
      <c r="DN29" s="57" t="str">
        <f aca="false">IF(2_Daily_input!DN37="","",2_Daily_input!DN37)</f>
        <v/>
      </c>
      <c r="DO29" s="57" t="str">
        <f aca="false">IF(2_Daily_input!DO37="","",2_Daily_input!DO37)</f>
        <v/>
      </c>
      <c r="DP29" s="57" t="str">
        <f aca="false">IF(2_Daily_input!DP37="","",2_Daily_input!DP37)</f>
        <v/>
      </c>
      <c r="DQ29" s="57" t="str">
        <f aca="false">IF(2_Daily_input!DQ37="","",2_Daily_input!DQ37)</f>
        <v/>
      </c>
      <c r="DR29" s="57" t="str">
        <f aca="false">IF(2_Daily_input!DR37="","",2_Daily_input!DR37)</f>
        <v/>
      </c>
      <c r="DS29" s="57" t="str">
        <f aca="false">IF(2_Daily_input!DS37="","",2_Daily_input!DS37)</f>
        <v/>
      </c>
      <c r="DT29" s="57" t="str">
        <f aca="false">IF(2_Daily_input!DT37="","",2_Daily_input!DT37)</f>
        <v/>
      </c>
      <c r="DU29" s="57" t="str">
        <f aca="false">IF(2_Daily_input!DU37="","",2_Daily_input!DU37)</f>
        <v/>
      </c>
      <c r="DV29" s="57" t="str">
        <f aca="false">IF(2_Daily_input!DV37="","",2_Daily_input!DV37)</f>
        <v/>
      </c>
      <c r="DW29" s="57" t="str">
        <f aca="false">IF(2_Daily_input!DW37="","",2_Daily_input!DW37)</f>
        <v/>
      </c>
      <c r="DX29" s="57" t="str">
        <f aca="false">IF(2_Daily_input!DX37="","",2_Daily_input!DX37)</f>
        <v/>
      </c>
      <c r="DY29" s="57" t="str">
        <f aca="false">IF(2_Daily_input!DY37="","",2_Daily_input!DY37)</f>
        <v/>
      </c>
      <c r="DZ29" s="57" t="str">
        <f aca="false">IF(2_Daily_input!DZ37="","",2_Daily_input!DZ37)</f>
        <v/>
      </c>
      <c r="EA29" s="57" t="str">
        <f aca="false">IF(2_Daily_input!EA37="","",2_Daily_input!EA37)</f>
        <v/>
      </c>
      <c r="EB29" s="57" t="str">
        <f aca="false">IF(2_Daily_input!EB37="","",2_Daily_input!EB37)</f>
        <v/>
      </c>
      <c r="EC29" s="57" t="str">
        <f aca="false">IF(2_Daily_input!EC37="","",2_Daily_input!EC37)</f>
        <v/>
      </c>
      <c r="ED29" s="57" t="str">
        <f aca="false">IF(2_Daily_input!ED37="","",2_Daily_input!ED37)</f>
        <v/>
      </c>
      <c r="EE29" s="57" t="str">
        <f aca="false">IF(2_Daily_input!EE37="","",2_Daily_input!EE37)</f>
        <v/>
      </c>
      <c r="EF29" s="57" t="str">
        <f aca="false">IF(2_Daily_input!EF37="","",2_Daily_input!EF37)</f>
        <v/>
      </c>
      <c r="EG29" s="57" t="str">
        <f aca="false">IF(2_Daily_input!EG37="","",2_Daily_input!EG37)</f>
        <v/>
      </c>
      <c r="EH29" s="57" t="str">
        <f aca="false">IF(2_Daily_input!EH37="","",2_Daily_input!EH37)</f>
        <v/>
      </c>
      <c r="EI29" s="57" t="str">
        <f aca="false">IF(2_Daily_input!EI37="","",2_Daily_input!EI37)</f>
        <v/>
      </c>
      <c r="EJ29" s="57" t="str">
        <f aca="false">IF(2_Daily_input!EJ37="","",2_Daily_input!EJ37)</f>
        <v/>
      </c>
      <c r="EK29" s="57" t="str">
        <f aca="false">IF(2_Daily_input!EK37="","",2_Daily_input!EK37)</f>
        <v/>
      </c>
      <c r="EL29" s="57" t="str">
        <f aca="false">IF(2_Daily_input!EL37="","",2_Daily_input!EL37)</f>
        <v/>
      </c>
      <c r="EM29" s="57" t="str">
        <f aca="false">IF(2_Daily_input!EM37="","",2_Daily_input!EM37)</f>
        <v/>
      </c>
      <c r="EN29" s="57" t="str">
        <f aca="false">IF(2_Daily_input!EN37="","",2_Daily_input!EN37)</f>
        <v/>
      </c>
      <c r="EO29" s="57" t="str">
        <f aca="false">IF(2_Daily_input!EO37="","",2_Daily_input!EO37)</f>
        <v/>
      </c>
      <c r="EP29" s="57" t="str">
        <f aca="false">IF(2_Daily_input!EP37="","",2_Daily_input!EP37)</f>
        <v/>
      </c>
      <c r="EQ29" s="57" t="str">
        <f aca="false">IF(2_Daily_input!EQ37="","",2_Daily_input!EQ37)</f>
        <v/>
      </c>
      <c r="ER29" s="57" t="str">
        <f aca="false">IF(2_Daily_input!ER37="","",2_Daily_input!ER37)</f>
        <v/>
      </c>
      <c r="ES29" s="57" t="str">
        <f aca="false">IF(2_Daily_input!ES37="","",2_Daily_input!ES37)</f>
        <v/>
      </c>
      <c r="ET29" s="57" t="str">
        <f aca="false">IF(2_Daily_input!ET37="","",2_Daily_input!ET37)</f>
        <v/>
      </c>
      <c r="EU29" s="57" t="str">
        <f aca="false">IF(2_Daily_input!EU37="","",2_Daily_input!EU37)</f>
        <v/>
      </c>
      <c r="EV29" s="57" t="str">
        <f aca="false">IF(2_Daily_input!EV37="","",2_Daily_input!EV37)</f>
        <v/>
      </c>
      <c r="EW29" s="57" t="str">
        <f aca="false">IF(2_Daily_input!EW37="","",2_Daily_input!EW37)</f>
        <v/>
      </c>
      <c r="EX29" s="57" t="str">
        <f aca="false">IF(2_Daily_input!EX37="","",2_Daily_input!EX37)</f>
        <v/>
      </c>
      <c r="EY29" s="57" t="str">
        <f aca="false">IF(2_Daily_input!EY37="","",2_Daily_input!EY37)</f>
        <v/>
      </c>
      <c r="EZ29" s="57" t="str">
        <f aca="false">IF(2_Daily_input!EZ37="","",2_Daily_input!EZ37)</f>
        <v/>
      </c>
      <c r="FA29" s="57" t="str">
        <f aca="false">IF(2_Daily_input!FA37="","",2_Daily_input!FA37)</f>
        <v/>
      </c>
      <c r="FB29" s="57" t="str">
        <f aca="false">IF(2_Daily_input!FB37="","",2_Daily_input!FB37)</f>
        <v/>
      </c>
      <c r="FC29" s="57" t="str">
        <f aca="false">IF(2_Daily_input!FC37="","",2_Daily_input!FC37)</f>
        <v/>
      </c>
      <c r="FD29" s="57" t="str">
        <f aca="false">IF(2_Daily_input!FD37="","",2_Daily_input!FD37)</f>
        <v/>
      </c>
      <c r="FE29" s="57" t="str">
        <f aca="false">IF(2_Daily_input!FE37="","",2_Daily_input!FE37)</f>
        <v/>
      </c>
      <c r="FF29" s="57" t="str">
        <f aca="false">IF(2_Daily_input!FF37="","",2_Daily_input!FF37)</f>
        <v/>
      </c>
      <c r="FG29" s="57" t="str">
        <f aca="false">IF(2_Daily_input!FG37="","",2_Daily_input!FG37)</f>
        <v/>
      </c>
      <c r="FH29" s="57" t="str">
        <f aca="false">IF(2_Daily_input!FH37="","",2_Daily_input!FH37)</f>
        <v/>
      </c>
      <c r="FI29" s="57" t="str">
        <f aca="false">IF(2_Daily_input!FI37="","",2_Daily_input!FI37)</f>
        <v/>
      </c>
      <c r="FJ29" s="57" t="str">
        <f aca="false">IF(2_Daily_input!FJ37="","",2_Daily_input!FJ37)</f>
        <v/>
      </c>
      <c r="FK29" s="57" t="str">
        <f aca="false">IF(2_Daily_input!FK37="","",2_Daily_input!FK37)</f>
        <v/>
      </c>
      <c r="FL29" s="57" t="str">
        <f aca="false">IF(2_Daily_input!FL37="","",2_Daily_input!FL37)</f>
        <v/>
      </c>
      <c r="FM29" s="57" t="str">
        <f aca="false">IF(2_Daily_input!FM37="","",2_Daily_input!FM37)</f>
        <v/>
      </c>
      <c r="FN29" s="57" t="str">
        <f aca="false">IF(2_Daily_input!FN37="","",2_Daily_input!FN37)</f>
        <v/>
      </c>
      <c r="FO29" s="57" t="str">
        <f aca="false">IF(2_Daily_input!FO37="","",2_Daily_input!FO37)</f>
        <v/>
      </c>
      <c r="FP29" s="57" t="str">
        <f aca="false">IF(2_Daily_input!FP37="","",2_Daily_input!FP37)</f>
        <v/>
      </c>
      <c r="FQ29" s="57" t="str">
        <f aca="false">IF(2_Daily_input!FQ37="","",2_Daily_input!FQ37)</f>
        <v/>
      </c>
    </row>
    <row r="30" customFormat="false" ht="15" hidden="false" customHeight="false" outlineLevel="0" collapsed="false">
      <c r="A30" s="31" t="s">
        <v>328</v>
      </c>
      <c r="B30" s="17" t="s">
        <v>429</v>
      </c>
      <c r="D30" s="36" t="str">
        <f aca="false"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36" t="str">
        <f aca="false"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36" t="str">
        <f aca="false"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36" t="str">
        <f aca="false"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36" t="str">
        <f aca="false"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36" t="str">
        <f aca="false"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36" t="str">
        <f aca="false"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36" t="str">
        <f aca="false"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36" t="str">
        <f aca="false"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36" t="str">
        <f aca="false"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36" t="str">
        <f aca="false"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36" t="str">
        <f aca="false"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36" t="str">
        <f aca="false"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36" t="str">
        <f aca="false"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36" t="str">
        <f aca="false"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36" t="str">
        <f aca="false"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36" t="str">
        <f aca="false"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36" t="str">
        <f aca="false"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36" t="str">
        <f aca="false"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36" t="str">
        <f aca="false"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36" t="str">
        <f aca="false"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36" t="str">
        <f aca="false"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36" t="str">
        <f aca="false"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36" t="str">
        <f aca="false"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36" t="str">
        <f aca="false"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36" t="str">
        <f aca="false"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36" t="str">
        <f aca="false"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36" t="str">
        <f aca="false"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36" t="str">
        <f aca="false"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36" t="str">
        <f aca="false"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36" t="str">
        <f aca="false"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36" t="str">
        <f aca="false"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36" t="str">
        <f aca="false"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36" t="str">
        <f aca="false"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36" t="str">
        <f aca="false"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36" t="str">
        <f aca="false"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36" t="str">
        <f aca="false"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36" t="str">
        <f aca="false"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36" t="str">
        <f aca="false"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36" t="str">
        <f aca="false"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36" t="str">
        <f aca="false"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36" t="str">
        <f aca="false"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36" t="str">
        <f aca="false"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36" t="str">
        <f aca="false"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36" t="str">
        <f aca="false"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36" t="str">
        <f aca="false"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36" t="str">
        <f aca="false"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36" t="str">
        <f aca="false"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36" t="str">
        <f aca="false"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36" t="str">
        <f aca="false"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36" t="str">
        <f aca="false"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36" t="str">
        <f aca="false"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36" t="str">
        <f aca="false"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36" t="str">
        <f aca="false"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36" t="str">
        <f aca="false"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36" t="str">
        <f aca="false"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36" t="str">
        <f aca="false"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36" t="str">
        <f aca="false"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36" t="str">
        <f aca="false"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36" t="str">
        <f aca="false"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36" t="str">
        <f aca="false"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36" t="str">
        <f aca="false"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36" t="str">
        <f aca="false"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36" t="str">
        <f aca="false"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36" t="str">
        <f aca="false"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36" t="str">
        <f aca="false"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36" t="str">
        <f aca="false"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36" t="str">
        <f aca="false"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36" t="str">
        <f aca="false"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36" t="str">
        <f aca="false"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36" t="str">
        <f aca="false"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36" t="str">
        <f aca="false"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36" t="str">
        <f aca="false"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36" t="str">
        <f aca="false"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36" t="str">
        <f aca="false"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36" t="str">
        <f aca="false"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36" t="str">
        <f aca="false"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36" t="str">
        <f aca="false"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36" t="str">
        <f aca="false"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36" t="str">
        <f aca="false"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36" t="str">
        <f aca="false"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36" t="str">
        <f aca="false"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36" t="str">
        <f aca="false"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36" t="str">
        <f aca="false"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36" t="str">
        <f aca="false"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36" t="str">
        <f aca="false"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36" t="str">
        <f aca="false"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36" t="str">
        <f aca="false"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36" t="str">
        <f aca="false"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36" t="str">
        <f aca="false"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36" t="str">
        <f aca="false"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36" t="str">
        <f aca="false"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36" t="str">
        <f aca="false"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>WL jump &gt;5 cm; </v>
      </c>
      <c r="CS30" s="36" t="str">
        <f aca="false"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36" t="str">
        <f aca="false"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36" t="str">
        <f aca="false"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36" t="str">
        <f aca="false"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36" t="str">
        <f aca="false"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36" t="str">
        <f aca="false"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36" t="str">
        <f aca="false"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36" t="str">
        <f aca="false"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36" t="str">
        <f aca="false"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36" t="str">
        <f aca="false"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36" t="str">
        <f aca="false"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36" t="str">
        <f aca="false"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36" t="str">
        <f aca="false"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36" t="str">
        <f aca="false"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36" t="str">
        <f aca="false"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36" t="str">
        <f aca="false"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36" t="str">
        <f aca="false"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36" t="str">
        <f aca="false"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36" t="str">
        <f aca="false"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36" t="str">
        <f aca="false"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36" t="str">
        <f aca="false"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36" t="str">
        <f aca="false"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36" t="str">
        <f aca="false"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36" t="str">
        <f aca="false"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36" t="str">
        <f aca="false"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36" t="str">
        <f aca="false"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36" t="str">
        <f aca="false"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36" t="str">
        <f aca="false"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36" t="str">
        <f aca="false"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36" t="str">
        <f aca="false"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36" t="str">
        <f aca="false"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36" t="str">
        <f aca="false"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36" t="str">
        <f aca="false"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36" t="str">
        <f aca="false"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36" t="str">
        <f aca="false"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36" t="str">
        <f aca="false"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36" t="str">
        <f aca="false"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36" t="str">
        <f aca="false"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36" t="str">
        <f aca="false"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36" t="str">
        <f aca="false"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36" t="str">
        <f aca="false"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36" t="str">
        <f aca="false"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36" t="str">
        <f aca="false"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36" t="str">
        <f aca="false"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36" t="str">
        <f aca="false"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36" t="str">
        <f aca="false"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36" t="str">
        <f aca="false"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36" t="str">
        <f aca="false"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36" t="str">
        <f aca="false"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36" t="str">
        <f aca="false"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36" t="str">
        <f aca="false"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36" t="str">
        <f aca="false"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36" t="str">
        <f aca="false"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>WL jump &gt;5 cm; </v>
      </c>
      <c r="ET30" s="36" t="str">
        <f aca="false"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>WL jump &gt;5 cm; </v>
      </c>
      <c r="EU30" s="36" t="str">
        <f aca="false"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36" t="str">
        <f aca="false"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36" t="str">
        <f aca="false"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36" t="str">
        <f aca="false"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36" t="str">
        <f aca="false"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36" t="str">
        <f aca="false"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36" t="str">
        <f aca="false"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36" t="str">
        <f aca="false"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36" t="str">
        <f aca="false"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36" t="str">
        <f aca="false"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36" t="str">
        <f aca="false"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36" t="str">
        <f aca="false"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36" t="str">
        <f aca="false"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36" t="str">
        <f aca="false"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36" t="str">
        <f aca="false"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36" t="str">
        <f aca="false"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36" t="str">
        <f aca="false"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36" t="str">
        <f aca="false"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36" t="str">
        <f aca="false"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36" t="str">
        <f aca="false"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36" t="str">
        <f aca="false"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36" t="str">
        <f aca="false"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36" t="str">
        <f aca="false"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customFormat="false" ht="15" hidden="true" customHeight="false" outlineLevel="0" collapsed="false">
      <c r="A31" s="31" t="s">
        <v>328</v>
      </c>
      <c r="B31" s="59" t="s">
        <v>430</v>
      </c>
      <c r="D31" s="60" t="n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>46038</v>
      </c>
      <c r="E31" s="60" t="n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>46038</v>
      </c>
      <c r="F31" s="60" t="n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>46038</v>
      </c>
      <c r="G31" s="60" t="n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>46038</v>
      </c>
      <c r="H31" s="60" t="n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>46038</v>
      </c>
      <c r="I31" s="60" t="n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>46038</v>
      </c>
      <c r="J31" s="60" t="n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>46038</v>
      </c>
      <c r="K31" s="60" t="n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>46038</v>
      </c>
      <c r="L31" s="60" t="n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>46038</v>
      </c>
      <c r="M31" s="60" t="n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>46038</v>
      </c>
      <c r="N31" s="60" t="n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>46038</v>
      </c>
      <c r="O31" s="60" t="n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>46038</v>
      </c>
      <c r="P31" s="60" t="n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>46038</v>
      </c>
      <c r="Q31" s="60" t="n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>46038</v>
      </c>
      <c r="R31" s="60" t="n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>46038</v>
      </c>
      <c r="S31" s="60" t="n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>46038</v>
      </c>
      <c r="T31" s="60" t="n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>46038</v>
      </c>
      <c r="U31" s="60" t="n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>46038</v>
      </c>
      <c r="V31" s="60" t="n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>46038</v>
      </c>
      <c r="W31" s="60" t="n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>46038</v>
      </c>
      <c r="X31" s="60" t="n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>46038</v>
      </c>
      <c r="Y31" s="60" t="n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>46038</v>
      </c>
      <c r="Z31" s="60" t="n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>46038</v>
      </c>
      <c r="AA31" s="60" t="n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>46038</v>
      </c>
      <c r="AB31" s="60" t="n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>46038</v>
      </c>
      <c r="AC31" s="60" t="n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>46038</v>
      </c>
      <c r="AD31" s="60" t="n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>46038</v>
      </c>
      <c r="AE31" s="60" t="n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>46038</v>
      </c>
      <c r="AF31" s="60" t="n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>46038</v>
      </c>
      <c r="AG31" s="60" t="n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>46038</v>
      </c>
      <c r="AH31" s="60" t="n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>46038</v>
      </c>
      <c r="AI31" s="60" t="n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>46038</v>
      </c>
      <c r="AJ31" s="60" t="n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>46038</v>
      </c>
      <c r="AK31" s="60" t="n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>46038</v>
      </c>
      <c r="AL31" s="60" t="n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>46038</v>
      </c>
      <c r="AM31" s="60" t="n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>46038</v>
      </c>
      <c r="AN31" s="60" t="n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>46038</v>
      </c>
      <c r="AO31" s="60" t="n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>46038</v>
      </c>
      <c r="AP31" s="60" t="n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>46038</v>
      </c>
      <c r="AQ31" s="60" t="n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>46038</v>
      </c>
      <c r="AR31" s="60" t="n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>46038</v>
      </c>
      <c r="AS31" s="60" t="n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>46038</v>
      </c>
      <c r="AT31" s="60" t="n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>46038</v>
      </c>
      <c r="AU31" s="60" t="n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>46038</v>
      </c>
      <c r="AV31" s="60" t="n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>46038</v>
      </c>
      <c r="AW31" s="60" t="n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>46038</v>
      </c>
      <c r="AX31" s="60" t="n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>46038</v>
      </c>
      <c r="AY31" s="60" t="n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>46038</v>
      </c>
      <c r="AZ31" s="60" t="n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>46038</v>
      </c>
      <c r="BA31" s="60" t="n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>46038</v>
      </c>
      <c r="BB31" s="60" t="n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>46038</v>
      </c>
      <c r="BC31" s="60" t="n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>46038</v>
      </c>
      <c r="BD31" s="60" t="n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>46038</v>
      </c>
      <c r="BE31" s="60" t="n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>46038</v>
      </c>
      <c r="BF31" s="60" t="n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>46038</v>
      </c>
      <c r="BG31" s="60" t="n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>46038</v>
      </c>
      <c r="BH31" s="60" t="n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>46038</v>
      </c>
      <c r="BI31" s="60" t="n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>46038</v>
      </c>
      <c r="BJ31" s="60" t="n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>46038</v>
      </c>
      <c r="BK31" s="60" t="n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>46038</v>
      </c>
      <c r="BL31" s="60" t="n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>46038</v>
      </c>
      <c r="BM31" s="60" t="n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>46038</v>
      </c>
      <c r="BN31" s="60" t="n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>46038</v>
      </c>
      <c r="BO31" s="60" t="n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>46038</v>
      </c>
      <c r="BP31" s="60" t="n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>46038</v>
      </c>
      <c r="BQ31" s="60" t="n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>46038</v>
      </c>
      <c r="BR31" s="60" t="n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>46038</v>
      </c>
      <c r="BS31" s="60" t="n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>46038</v>
      </c>
      <c r="BT31" s="60" t="n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>46038</v>
      </c>
      <c r="BU31" s="60" t="n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>46038</v>
      </c>
      <c r="BV31" s="60" t="n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>46038</v>
      </c>
      <c r="BW31" s="60" t="n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>46038</v>
      </c>
      <c r="BX31" s="60" t="n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>46038</v>
      </c>
      <c r="BY31" s="60" t="n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>46038</v>
      </c>
      <c r="BZ31" s="60" t="n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>46038</v>
      </c>
      <c r="CA31" s="60" t="n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>46038</v>
      </c>
      <c r="CB31" s="60" t="n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>46038</v>
      </c>
      <c r="CC31" s="60" t="n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>46038</v>
      </c>
      <c r="CD31" s="60" t="n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>46038</v>
      </c>
      <c r="CE31" s="60" t="n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>46038</v>
      </c>
      <c r="CF31" s="60" t="n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>46038</v>
      </c>
      <c r="CG31" s="60" t="n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>46038</v>
      </c>
      <c r="CH31" s="60" t="n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>46038</v>
      </c>
      <c r="CI31" s="60" t="n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>46038</v>
      </c>
      <c r="CJ31" s="60" t="n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>46038</v>
      </c>
      <c r="CK31" s="60" t="n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>46071</v>
      </c>
      <c r="CL31" s="60" t="n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>46071</v>
      </c>
      <c r="CM31" s="60" t="n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>46071</v>
      </c>
      <c r="CN31" s="60" t="n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>46071</v>
      </c>
      <c r="CO31" s="60" t="n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>46071</v>
      </c>
      <c r="CP31" s="60" t="n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>46071</v>
      </c>
      <c r="CQ31" s="60" t="n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>46071</v>
      </c>
      <c r="CR31" s="60" t="n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>46071</v>
      </c>
      <c r="CS31" s="60" t="n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>46071</v>
      </c>
      <c r="CT31" s="60" t="n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>46071</v>
      </c>
      <c r="CU31" s="60" t="n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>46071</v>
      </c>
      <c r="CV31" s="60" t="n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>46071</v>
      </c>
      <c r="CW31" s="60" t="n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>46071</v>
      </c>
      <c r="CX31" s="60" t="n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>46071</v>
      </c>
      <c r="CY31" s="60" t="n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>46071</v>
      </c>
      <c r="CZ31" s="60" t="n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>46071</v>
      </c>
      <c r="DA31" s="60" t="n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>46071</v>
      </c>
      <c r="DB31" s="60" t="n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>46071</v>
      </c>
      <c r="DC31" s="60" t="n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>46071</v>
      </c>
      <c r="DD31" s="60" t="n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>46071</v>
      </c>
      <c r="DE31" s="60" t="n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>46071</v>
      </c>
      <c r="DF31" s="60" t="n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>46071</v>
      </c>
      <c r="DG31" s="60" t="n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>46071</v>
      </c>
      <c r="DH31" s="60" t="n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>46071</v>
      </c>
      <c r="DI31" s="60" t="n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>46071</v>
      </c>
      <c r="DJ31" s="60" t="n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>46071</v>
      </c>
      <c r="DK31" s="60" t="n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>46071</v>
      </c>
      <c r="DL31" s="60" t="n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>46071</v>
      </c>
      <c r="DM31" s="60" t="n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>46071</v>
      </c>
      <c r="DN31" s="60" t="n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>46071</v>
      </c>
      <c r="DO31" s="60" t="n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>46071</v>
      </c>
      <c r="DP31" s="60" t="n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>46071</v>
      </c>
      <c r="DQ31" s="60" t="n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>46071</v>
      </c>
      <c r="DR31" s="60" t="n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>46071</v>
      </c>
      <c r="DS31" s="60" t="n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>46071</v>
      </c>
      <c r="DT31" s="60" t="n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>46071</v>
      </c>
      <c r="DU31" s="60" t="n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>46071</v>
      </c>
      <c r="DV31" s="60" t="n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>46071</v>
      </c>
      <c r="DW31" s="60" t="n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>46071</v>
      </c>
      <c r="DX31" s="60" t="n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>46071</v>
      </c>
      <c r="DY31" s="60" t="n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>46071</v>
      </c>
      <c r="DZ31" s="60" t="n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>46071</v>
      </c>
      <c r="EA31" s="60" t="n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>46071</v>
      </c>
      <c r="EB31" s="60" t="n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>46071</v>
      </c>
      <c r="EC31" s="60" t="n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>46071</v>
      </c>
      <c r="ED31" s="60" t="n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>46071</v>
      </c>
      <c r="EE31" s="60" t="n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>46071</v>
      </c>
      <c r="EF31" s="60" t="n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>46071</v>
      </c>
      <c r="EG31" s="60" t="n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>46071</v>
      </c>
      <c r="EH31" s="60" t="n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>46071</v>
      </c>
      <c r="EI31" s="60" t="n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>46071</v>
      </c>
      <c r="EJ31" s="60" t="n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>46071</v>
      </c>
      <c r="EK31" s="60" t="n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>46071</v>
      </c>
      <c r="EL31" s="60" t="n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>46071</v>
      </c>
      <c r="EM31" s="60" t="n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>46071</v>
      </c>
      <c r="EN31" s="60" t="n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>46071</v>
      </c>
      <c r="EO31" s="60" t="n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>46071</v>
      </c>
      <c r="EP31" s="60" t="n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>46071</v>
      </c>
      <c r="EQ31" s="60" t="n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>46071</v>
      </c>
      <c r="ER31" s="60" t="n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>46071</v>
      </c>
      <c r="ES31" s="60" t="n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>46071</v>
      </c>
      <c r="ET31" s="60" t="n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>46071</v>
      </c>
      <c r="EU31" s="60" t="n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>46071</v>
      </c>
      <c r="EV31" s="60" t="n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>46071</v>
      </c>
      <c r="EW31" s="60" t="n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>46071</v>
      </c>
      <c r="EX31" s="60" t="n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>46071</v>
      </c>
      <c r="EY31" s="60" t="n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>46071</v>
      </c>
      <c r="EZ31" s="60" t="n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>46071</v>
      </c>
      <c r="FA31" s="60" t="n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>46071</v>
      </c>
      <c r="FB31" s="60" t="n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>46071</v>
      </c>
      <c r="FC31" s="60" t="n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>46071</v>
      </c>
      <c r="FD31" s="60" t="n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>46071</v>
      </c>
      <c r="FE31" s="60" t="n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>46071</v>
      </c>
      <c r="FF31" s="60" t="n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>46071</v>
      </c>
      <c r="FG31" s="60" t="n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>46071</v>
      </c>
      <c r="FH31" s="60" t="n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>46071</v>
      </c>
      <c r="FI31" s="60" t="n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>46071</v>
      </c>
      <c r="FJ31" s="60" t="n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>46071</v>
      </c>
      <c r="FK31" s="60" t="n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>46071</v>
      </c>
      <c r="FL31" s="60" t="n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>46071</v>
      </c>
      <c r="FM31" s="60" t="n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>46071</v>
      </c>
      <c r="FN31" s="60" t="n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>46071</v>
      </c>
      <c r="FO31" s="60" t="n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>46071</v>
      </c>
      <c r="FP31" s="60" t="n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>46071</v>
      </c>
      <c r="FQ31" s="60" t="n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>46071</v>
      </c>
    </row>
    <row r="32" customFormat="false" ht="15" hidden="true" customHeight="false" outlineLevel="0" collapsed="false">
      <c r="A32" s="31" t="s">
        <v>328</v>
      </c>
      <c r="B32" s="59" t="s">
        <v>431</v>
      </c>
      <c r="D32" s="27" t="str">
        <f aca="false">IF(D13="","",IF(ISNUMBER(D20),D20,D13))</f>
        <v/>
      </c>
      <c r="E32" s="27" t="str">
        <f aca="false">IF(E13="","",IF(ISNUMBER(E20),E20,E13))</f>
        <v/>
      </c>
      <c r="F32" s="27" t="str">
        <f aca="false">IF(F13="","",IF(ISNUMBER(F20),F20,F13))</f>
        <v/>
      </c>
      <c r="G32" s="27" t="str">
        <f aca="false">IF(G13="","",IF(ISNUMBER(G20),G20,G13))</f>
        <v/>
      </c>
      <c r="H32" s="27" t="str">
        <f aca="false">IF(H13="","",IF(ISNUMBER(H20),H20,H13))</f>
        <v/>
      </c>
      <c r="I32" s="27" t="str">
        <f aca="false">IF(I13="","",IF(ISNUMBER(I20),I20,I13))</f>
        <v/>
      </c>
      <c r="J32" s="27" t="str">
        <f aca="false">IF(J13="","",IF(ISNUMBER(J20),J20,J13))</f>
        <v/>
      </c>
      <c r="K32" s="27" t="str">
        <f aca="false">IF(K13="","",IF(ISNUMBER(K20),K20,K13))</f>
        <v/>
      </c>
      <c r="L32" s="27" t="str">
        <f aca="false">IF(L13="","",IF(ISNUMBER(L20),L20,L13))</f>
        <v/>
      </c>
      <c r="M32" s="27" t="str">
        <f aca="false">IF(M13="","",IF(ISNUMBER(M20),M20,M13))</f>
        <v/>
      </c>
      <c r="N32" s="27" t="str">
        <f aca="false">IF(N13="","",IF(ISNUMBER(N20),N20,N13))</f>
        <v/>
      </c>
      <c r="O32" s="27" t="str">
        <f aca="false">IF(O13="","",IF(ISNUMBER(O20),O20,O13))</f>
        <v/>
      </c>
      <c r="P32" s="27" t="str">
        <f aca="false">IF(P13="","",IF(ISNUMBER(P20),P20,P13))</f>
        <v/>
      </c>
      <c r="Q32" s="27" t="str">
        <f aca="false">IF(Q13="","",IF(ISNUMBER(Q20),Q20,Q13))</f>
        <v/>
      </c>
      <c r="R32" s="27" t="str">
        <f aca="false">IF(R13="","",IF(ISNUMBER(R20),R20,R13))</f>
        <v/>
      </c>
      <c r="S32" s="27" t="str">
        <f aca="false">IF(S13="","",IF(ISNUMBER(S20),S20,S13))</f>
        <v/>
      </c>
      <c r="T32" s="27" t="str">
        <f aca="false">IF(T13="","",IF(ISNUMBER(T20),T20,T13))</f>
        <v/>
      </c>
      <c r="U32" s="27" t="str">
        <f aca="false">IF(U13="","",IF(ISNUMBER(U20),U20,U13))</f>
        <v/>
      </c>
      <c r="V32" s="27" t="str">
        <f aca="false">IF(V13="","",IF(ISNUMBER(V20),V20,V13))</f>
        <v/>
      </c>
      <c r="W32" s="27" t="str">
        <f aca="false">IF(W13="","",IF(ISNUMBER(W20),W20,W13))</f>
        <v/>
      </c>
      <c r="X32" s="27" t="str">
        <f aca="false">IF(X13="","",IF(ISNUMBER(X20),X20,X13))</f>
        <v/>
      </c>
      <c r="Y32" s="27" t="str">
        <f aca="false">IF(Y13="","",IF(ISNUMBER(Y20),Y20,Y13))</f>
        <v/>
      </c>
      <c r="Z32" s="27" t="str">
        <f aca="false">IF(Z13="","",IF(ISNUMBER(Z20),Z20,Z13))</f>
        <v/>
      </c>
      <c r="AA32" s="27" t="str">
        <f aca="false">IF(AA13="","",IF(ISNUMBER(AA20),AA20,AA13))</f>
        <v/>
      </c>
      <c r="AB32" s="27" t="str">
        <f aca="false">IF(AB13="","",IF(ISNUMBER(AB20),AB20,AB13))</f>
        <v/>
      </c>
      <c r="AC32" s="27" t="str">
        <f aca="false">IF(AC13="","",IF(ISNUMBER(AC20),AC20,AC13))</f>
        <v/>
      </c>
      <c r="AD32" s="27" t="str">
        <f aca="false">IF(AD13="","",IF(ISNUMBER(AD20),AD20,AD13))</f>
        <v/>
      </c>
      <c r="AE32" s="27" t="str">
        <f aca="false">IF(AE13="","",IF(ISNUMBER(AE20),AE20,AE13))</f>
        <v/>
      </c>
      <c r="AF32" s="27" t="str">
        <f aca="false">IF(AF13="","",IF(ISNUMBER(AF20),AF20,AF13))</f>
        <v/>
      </c>
      <c r="AG32" s="27" t="str">
        <f aca="false">IF(AG13="","",IF(ISNUMBER(AG20),AG20,AG13))</f>
        <v/>
      </c>
      <c r="AH32" s="27" t="str">
        <f aca="false">IF(AH13="","",IF(ISNUMBER(AH20),AH20,AH13))</f>
        <v/>
      </c>
      <c r="AI32" s="27" t="str">
        <f aca="false">IF(AI13="","",IF(ISNUMBER(AI20),AI20,AI13))</f>
        <v/>
      </c>
      <c r="AJ32" s="27" t="str">
        <f aca="false">IF(AJ13="","",IF(ISNUMBER(AJ20),AJ20,AJ13))</f>
        <v/>
      </c>
      <c r="AK32" s="27" t="str">
        <f aca="false">IF(AK13="","",IF(ISNUMBER(AK20),AK20,AK13))</f>
        <v/>
      </c>
      <c r="AL32" s="27" t="str">
        <f aca="false">IF(AL13="","",IF(ISNUMBER(AL20),AL20,AL13))</f>
        <v/>
      </c>
      <c r="AM32" s="27" t="str">
        <f aca="false">IF(AM13="","",IF(ISNUMBER(AM20),AM20,AM13))</f>
        <v/>
      </c>
      <c r="AN32" s="27" t="str">
        <f aca="false">IF(AN13="","",IF(ISNUMBER(AN20),AN20,AN13))</f>
        <v/>
      </c>
      <c r="AO32" s="27" t="str">
        <f aca="false">IF(AO13="","",IF(ISNUMBER(AO20),AO20,AO13))</f>
        <v/>
      </c>
      <c r="AP32" s="27" t="str">
        <f aca="false">IF(AP13="","",IF(ISNUMBER(AP20),AP20,AP13))</f>
        <v/>
      </c>
      <c r="AQ32" s="27" t="str">
        <f aca="false">IF(AQ13="","",IF(ISNUMBER(AQ20),AQ20,AQ13))</f>
        <v/>
      </c>
      <c r="AR32" s="27" t="str">
        <f aca="false">IF(AR13="","",IF(ISNUMBER(AR20),AR20,AR13))</f>
        <v/>
      </c>
      <c r="AS32" s="27" t="str">
        <f aca="false">IF(AS13="","",IF(ISNUMBER(AS20),AS20,AS13))</f>
        <v/>
      </c>
      <c r="AT32" s="27" t="str">
        <f aca="false">IF(AT13="","",IF(ISNUMBER(AT20),AT20,AT13))</f>
        <v/>
      </c>
      <c r="AU32" s="27" t="str">
        <f aca="false">IF(AU13="","",IF(ISNUMBER(AU20),AU20,AU13))</f>
        <v/>
      </c>
      <c r="AV32" s="27" t="str">
        <f aca="false">IF(AV13="","",IF(ISNUMBER(AV20),AV20,AV13))</f>
        <v/>
      </c>
      <c r="AW32" s="27" t="str">
        <f aca="false">IF(AW13="","",IF(ISNUMBER(AW20),AW20,AW13))</f>
        <v/>
      </c>
      <c r="AX32" s="27" t="str">
        <f aca="false">IF(AX13="","",IF(ISNUMBER(AX20),AX20,AX13))</f>
        <v/>
      </c>
      <c r="AY32" s="27" t="str">
        <f aca="false">IF(AY13="","",IF(ISNUMBER(AY20),AY20,AY13))</f>
        <v/>
      </c>
      <c r="AZ32" s="27" t="str">
        <f aca="false">IF(AZ13="","",IF(ISNUMBER(AZ20),AZ20,AZ13))</f>
        <v/>
      </c>
      <c r="BA32" s="27" t="str">
        <f aca="false">IF(BA13="","",IF(ISNUMBER(BA20),BA20,BA13))</f>
        <v/>
      </c>
      <c r="BB32" s="27" t="str">
        <f aca="false">IF(BB13="","",IF(ISNUMBER(BB20),BB20,BB13))</f>
        <v/>
      </c>
      <c r="BC32" s="27" t="str">
        <f aca="false">IF(BC13="","",IF(ISNUMBER(BC20),BC20,BC13))</f>
        <v/>
      </c>
      <c r="BD32" s="27" t="n">
        <f aca="false">IF(BD13="","",IF(ISNUMBER(BD20),BD20,BD13))</f>
        <v>1</v>
      </c>
      <c r="BE32" s="27" t="n">
        <f aca="false">IF(BE13="","",IF(ISNUMBER(BE20),BE20,BE13))</f>
        <v>1.6</v>
      </c>
      <c r="BF32" s="27" t="n">
        <f aca="false">IF(BF13="","",IF(ISNUMBER(BF20),BF20,BF13))</f>
        <v>1.5</v>
      </c>
      <c r="BG32" s="27" t="n">
        <f aca="false">IF(BG13="","",IF(ISNUMBER(BG20),BG20,BG13))</f>
        <v>3.4</v>
      </c>
      <c r="BH32" s="27" t="n">
        <f aca="false">IF(BH13="","",IF(ISNUMBER(BH20),BH20,BH13))</f>
        <v>3.1</v>
      </c>
      <c r="BI32" s="27" t="n">
        <f aca="false">IF(BI13="","",IF(ISNUMBER(BI20),BI20,BI13))</f>
        <v>2.4</v>
      </c>
      <c r="BJ32" s="27" t="n">
        <f aca="false">IF(BJ13="","",IF(ISNUMBER(BJ20),BJ20,BJ13))</f>
        <v>2.2</v>
      </c>
      <c r="BK32" s="27" t="n">
        <f aca="false">IF(BK13="","",IF(ISNUMBER(BK20),BK20,BK13))</f>
        <v>3.3</v>
      </c>
      <c r="BL32" s="27" t="n">
        <f aca="false">IF(BL13="","",IF(ISNUMBER(BL20),BL20,BL13))</f>
        <v>2.8</v>
      </c>
      <c r="BM32" s="27" t="n">
        <f aca="false">IF(BM13="","",IF(ISNUMBER(BM20),BM20,BM13))</f>
        <v>2.5</v>
      </c>
      <c r="BN32" s="27" t="n">
        <f aca="false">IF(BN13="","",IF(ISNUMBER(BN20),BN20,BN13))</f>
        <v>2.1</v>
      </c>
      <c r="BO32" s="27" t="n">
        <f aca="false">IF(BO13="","",IF(ISNUMBER(BO20),BO20,BO13))</f>
        <v>1.5</v>
      </c>
      <c r="BP32" s="27" t="n">
        <f aca="false">IF(BP13="","",IF(ISNUMBER(BP20),BP20,BP13))</f>
        <v>2.9</v>
      </c>
      <c r="BQ32" s="27" t="n">
        <f aca="false">IF(BQ13="","",IF(ISNUMBER(BQ20),BQ20,BQ13))</f>
        <v>2.5</v>
      </c>
      <c r="BR32" s="27" t="n">
        <f aca="false">IF(BR13="","",IF(ISNUMBER(BR20),BR20,BR13))</f>
        <v>2.1</v>
      </c>
      <c r="BS32" s="27" t="n">
        <f aca="false">IF(BS13="","",IF(ISNUMBER(BS20),BS20,BS13))</f>
        <v>1.4</v>
      </c>
      <c r="BT32" s="27" t="n">
        <f aca="false">IF(BT13="","",IF(ISNUMBER(BT20),BT20,BT13))</f>
        <v>1.2</v>
      </c>
      <c r="BU32" s="27" t="n">
        <f aca="false">IF(BU13="","",IF(ISNUMBER(BU20),BU20,BU13))</f>
        <v>1</v>
      </c>
      <c r="BV32" s="27" t="n">
        <f aca="false">IF(BV13="","",IF(ISNUMBER(BV20),BV20,BV13))</f>
        <v>0.9</v>
      </c>
      <c r="BW32" s="27" t="n">
        <f aca="false">IF(BW13="","",IF(ISNUMBER(BW20),BW20,BW13))</f>
        <v>3.4</v>
      </c>
      <c r="BX32" s="27" t="n">
        <f aca="false">IF(BX13="","",IF(ISNUMBER(BX20),BX20,BX13))</f>
        <v>2.6</v>
      </c>
      <c r="BY32" s="27" t="n">
        <f aca="false">IF(BY13="","",IF(ISNUMBER(BY20),BY20,BY13))</f>
        <v>2.4</v>
      </c>
      <c r="BZ32" s="27" t="n">
        <f aca="false">IF(BZ13="","",IF(ISNUMBER(BZ20),BZ20,BZ13))</f>
        <v>1.9</v>
      </c>
      <c r="CA32" s="27" t="str">
        <f aca="false">IF(CA13="","",IF(ISNUMBER(CA20),CA20,CA13))</f>
        <v/>
      </c>
      <c r="CB32" s="27" t="n">
        <f aca="false">IF(CB13="","",IF(ISNUMBER(CB20),CB20,CB13))</f>
        <v>1.1</v>
      </c>
      <c r="CC32" s="27" t="n">
        <f aca="false">IF(CC13="","",IF(ISNUMBER(CC20),CC20,CC13))</f>
        <v>0.5</v>
      </c>
      <c r="CD32" s="27" t="n">
        <f aca="false">IF(CD13="","",IF(ISNUMBER(CD20),CD20,CD13))</f>
        <v>2.3</v>
      </c>
      <c r="CE32" s="27" t="n">
        <f aca="false">IF(CE13="","",IF(ISNUMBER(CE20),CE20,CE13))</f>
        <v>2</v>
      </c>
      <c r="CF32" s="27" t="n">
        <f aca="false">IF(CF13="","",IF(ISNUMBER(CF20),CF20,CF13))</f>
        <v>1.5</v>
      </c>
      <c r="CG32" s="27" t="n">
        <f aca="false">IF(CG13="","",IF(ISNUMBER(CG20),CG20,CG13))</f>
        <v>1.3</v>
      </c>
      <c r="CH32" s="27" t="n">
        <f aca="false">IF(CH13="","",IF(ISNUMBER(CH20),CH20,CH13))</f>
        <v>3.8</v>
      </c>
      <c r="CI32" s="27" t="n">
        <f aca="false">IF(CI13="","",IF(ISNUMBER(CI20),CI20,CI13))</f>
        <v>3.8</v>
      </c>
      <c r="CJ32" s="27" t="n">
        <f aca="false">IF(CJ13="","",IF(ISNUMBER(CJ20),CJ20,CJ13))</f>
        <v>3.3</v>
      </c>
      <c r="CK32" s="27" t="n">
        <f aca="false">IF(CK13="","",IF(ISNUMBER(CK20),CK20,CK13))</f>
        <v>1.5</v>
      </c>
      <c r="CL32" s="27" t="n">
        <f aca="false">IF(CL13="","",IF(ISNUMBER(CL20),CL20,CL13))</f>
        <v>0</v>
      </c>
      <c r="CM32" s="27" t="n">
        <f aca="false">IF(CM13="","",IF(ISNUMBER(CM20),CM20,CM13))</f>
        <v>-0.3</v>
      </c>
      <c r="CN32" s="27" t="n">
        <f aca="false">IF(CN13="","",IF(ISNUMBER(CN20),CN20,CN13))</f>
        <v>-1</v>
      </c>
      <c r="CO32" s="27" t="n">
        <f aca="false">IF(CO13="","",IF(ISNUMBER(CO20),CO20,CO13))</f>
        <v>-3</v>
      </c>
      <c r="CP32" s="27" t="n">
        <f aca="false">IF(CP13="","",IF(ISNUMBER(CP20),CP20,CP13))</f>
        <v>-5</v>
      </c>
      <c r="CQ32" s="27" t="n">
        <f aca="false">IF(CQ13="","",IF(ISNUMBER(CQ20),CQ20,CQ13))</f>
        <v>-8</v>
      </c>
      <c r="CR32" s="27" t="n">
        <f aca="false">IF(CR13="","",IF(ISNUMBER(CR20),CR20,CR13))</f>
        <v>-15</v>
      </c>
      <c r="CS32" s="27" t="n">
        <f aca="false">IF(CS13="","",IF(ISNUMBER(CS20),CS20,CS13))</f>
        <v>-15</v>
      </c>
      <c r="CT32" s="27" t="n">
        <f aca="false">IF(CT13="","",IF(ISNUMBER(CT20),CT20,CT13))</f>
        <v>-15</v>
      </c>
      <c r="CU32" s="27" t="n">
        <f aca="false">IF(CU13="","",IF(ISNUMBER(CU20),CU20,CU13))</f>
        <v>-15</v>
      </c>
      <c r="CV32" s="27" t="n">
        <f aca="false">IF(CV13="","",IF(ISNUMBER(CV20),CV20,CV13))</f>
        <v>-15</v>
      </c>
      <c r="CW32" s="27" t="n">
        <f aca="false">IF(CW13="","",IF(ISNUMBER(CW20),CW20,CW13))</f>
        <v>0.7</v>
      </c>
      <c r="CX32" s="27" t="n">
        <f aca="false">IF(CX13="","",IF(ISNUMBER(CX20),CX20,CX13))</f>
        <v>1</v>
      </c>
      <c r="CY32" s="27" t="n">
        <f aca="false">IF(CY13="","",IF(ISNUMBER(CY20),CY20,CY13))</f>
        <v>0.7</v>
      </c>
      <c r="CZ32" s="27" t="n">
        <f aca="false">IF(CZ13="","",IF(ISNUMBER(CZ20),CZ20,CZ13))</f>
        <v>1.9</v>
      </c>
      <c r="DA32" s="27" t="n">
        <f aca="false">IF(DA13="","",IF(ISNUMBER(DA20),DA20,DA13))</f>
        <v>1.7</v>
      </c>
      <c r="DB32" s="27" t="n">
        <f aca="false">IF(DB13="","",IF(ISNUMBER(DB20),DB20,DB13))</f>
        <v>1</v>
      </c>
      <c r="DC32" s="27" t="n">
        <f aca="false">IF(DC13="","",IF(ISNUMBER(DC20),DC20,DC13))</f>
        <v>3.4</v>
      </c>
      <c r="DD32" s="27" t="n">
        <f aca="false">IF(DD13="","",IF(ISNUMBER(DD20),DD20,DD13))</f>
        <v>2.5</v>
      </c>
      <c r="DE32" s="27" t="n">
        <f aca="false">IF(DE13="","",IF(ISNUMBER(DE20),DE20,DE13))</f>
        <v>2</v>
      </c>
      <c r="DF32" s="27" t="n">
        <f aca="false">IF(DF13="","",IF(ISNUMBER(DF20),DF20,DF13))</f>
        <v>1.5</v>
      </c>
      <c r="DG32" s="27" t="n">
        <f aca="false">IF(DG13="","",IF(ISNUMBER(DG20),DG20,DG13))</f>
        <v>1</v>
      </c>
      <c r="DH32" s="27" t="n">
        <f aca="false">IF(DH13="","",IF(ISNUMBER(DH20),DH20,DH13))</f>
        <v>0.7</v>
      </c>
      <c r="DI32" s="27" t="n">
        <f aca="false">IF(DI13="","",IF(ISNUMBER(DI20),DI20,DI13))</f>
        <v>2.4</v>
      </c>
      <c r="DJ32" s="27" t="n">
        <f aca="false">IF(DJ13="","",IF(ISNUMBER(DJ20),DJ20,DJ13))</f>
        <v>1.9</v>
      </c>
      <c r="DK32" s="27" t="n">
        <f aca="false">IF(DK13="","",IF(ISNUMBER(DK20),DK20,DK13))</f>
        <v>1</v>
      </c>
      <c r="DL32" s="27" t="str">
        <f aca="false">IF(DL13="","",IF(ISNUMBER(DL20),DL20,DL13))</f>
        <v/>
      </c>
      <c r="DM32" s="27" t="n">
        <f aca="false">IF(DM13="","",IF(ISNUMBER(DM20),DM20,DM13))</f>
        <v>1</v>
      </c>
      <c r="DN32" s="27" t="n">
        <f aca="false">IF(DN13="","",IF(ISNUMBER(DN20),DN20,DN13))</f>
        <v>0.9</v>
      </c>
      <c r="DO32" s="27" t="n">
        <f aca="false">IF(DO13="","",IF(ISNUMBER(DO20),DO20,DO13))</f>
        <v>1.9</v>
      </c>
      <c r="DP32" s="27" t="n">
        <f aca="false">IF(DP13="","",IF(ISNUMBER(DP20),DP20,DP13))</f>
        <v>1</v>
      </c>
      <c r="DQ32" s="27" t="n">
        <f aca="false">IF(DQ13="","",IF(ISNUMBER(DQ20),DQ20,DQ13))</f>
        <v>0.7</v>
      </c>
      <c r="DR32" s="27" t="n">
        <f aca="false">IF(DR13="","",IF(ISNUMBER(DR20),DR20,DR13))</f>
        <v>1</v>
      </c>
      <c r="DS32" s="27" t="n">
        <f aca="false">IF(DS13="","",IF(ISNUMBER(DS20),DS20,DS13))</f>
        <v>0.5</v>
      </c>
      <c r="DT32" s="27" t="n">
        <f aca="false">IF(DT13="","",IF(ISNUMBER(DT20),DT20,DT13))</f>
        <v>1.9</v>
      </c>
      <c r="DU32" s="27" t="n">
        <f aca="false">IF(DU13="","",IF(ISNUMBER(DU20),DU20,DU13))</f>
        <v>1</v>
      </c>
      <c r="DV32" s="27" t="n">
        <f aca="false">IF(DV13="","",IF(ISNUMBER(DV20),DV20,DV13))</f>
        <v>0.7</v>
      </c>
      <c r="DW32" s="27" t="n">
        <f aca="false">IF(DW13="","",IF(ISNUMBER(DW20),DW20,DW13))</f>
        <v>1.9</v>
      </c>
      <c r="DX32" s="27" t="n">
        <f aca="false">IF(DX13="","",IF(ISNUMBER(DX20),DX20,DX13))</f>
        <v>1</v>
      </c>
      <c r="DY32" s="27" t="n">
        <f aca="false">IF(DY13="","",IF(ISNUMBER(DY20),DY20,DY13))</f>
        <v>0.7</v>
      </c>
      <c r="DZ32" s="27" t="n">
        <f aca="false">IF(DZ13="","",IF(ISNUMBER(DZ20),DZ20,DZ13))</f>
        <v>0.5</v>
      </c>
      <c r="EA32" s="27" t="n">
        <f aca="false">IF(EA13="","",IF(ISNUMBER(EA20),EA20,EA13))</f>
        <v>2.1</v>
      </c>
      <c r="EB32" s="27" t="n">
        <f aca="false">IF(EB13="","",IF(ISNUMBER(EB20),EB20,EB13))</f>
        <v>1.5</v>
      </c>
      <c r="EC32" s="27" t="n">
        <f aca="false">IF(EC13="","",IF(ISNUMBER(EC20),EC20,EC13))</f>
        <v>1</v>
      </c>
      <c r="ED32" s="27" t="n">
        <f aca="false">IF(ED13="","",IF(ISNUMBER(ED20),ED20,ED13))</f>
        <v>0.7</v>
      </c>
      <c r="EE32" s="27" t="n">
        <f aca="false">IF(EE13="","",IF(ISNUMBER(EE20),EE20,EE13))</f>
        <v>2</v>
      </c>
      <c r="EF32" s="27" t="n">
        <f aca="false">IF(EF13="","",IF(ISNUMBER(EF20),EF20,EF13))</f>
        <v>1.7</v>
      </c>
      <c r="EG32" s="27" t="n">
        <f aca="false">IF(EG13="","",IF(ISNUMBER(EG20),EG20,EG13))</f>
        <v>1</v>
      </c>
      <c r="EH32" s="27" t="n">
        <f aca="false">IF(EH13="","",IF(ISNUMBER(EH20),EH20,EH13))</f>
        <v>1.9</v>
      </c>
      <c r="EI32" s="27" t="n">
        <f aca="false">IF(EI13="","",IF(ISNUMBER(EI20),EI20,EI13))</f>
        <v>1.5</v>
      </c>
      <c r="EJ32" s="27" t="n">
        <f aca="false">IF(EJ13="","",IF(ISNUMBER(EJ20),EJ20,EJ13))</f>
        <v>3.4</v>
      </c>
      <c r="EK32" s="27" t="n">
        <f aca="false">IF(EK13="","",IF(ISNUMBER(EK20),EK20,EK13))</f>
        <v>2.5</v>
      </c>
      <c r="EL32" s="27" t="n">
        <f aca="false">IF(EL13="","",IF(ISNUMBER(EL20),EL20,EL13))</f>
        <v>1.5</v>
      </c>
      <c r="EM32" s="27" t="n">
        <f aca="false">IF(EM13="","",IF(ISNUMBER(EM20),EM20,EM13))</f>
        <v>2.5</v>
      </c>
      <c r="EN32" s="27" t="n">
        <f aca="false">IF(EN13="","",IF(ISNUMBER(EN20),EN20,EN13))</f>
        <v>2</v>
      </c>
      <c r="EO32" s="27" t="n">
        <f aca="false">IF(EO13="","",IF(ISNUMBER(EO20),EO20,EO13))</f>
        <v>1.5</v>
      </c>
      <c r="EP32" s="27" t="n">
        <f aca="false">IF(EP13="","",IF(ISNUMBER(EP20),EP20,EP13))</f>
        <v>1.9</v>
      </c>
      <c r="EQ32" s="27" t="n">
        <f aca="false">IF(EQ13="","",IF(ISNUMBER(EQ20),EQ20,EQ13))</f>
        <v>1.5</v>
      </c>
      <c r="ER32" s="27" t="n">
        <f aca="false">IF(ER13="","",IF(ISNUMBER(ER20),ER20,ER13))</f>
        <v>0</v>
      </c>
      <c r="ES32" s="27" t="n">
        <f aca="false">IF(ES13="","",IF(ISNUMBER(ES20),ES20,ES13))</f>
        <v>-6.5</v>
      </c>
      <c r="ET32" s="27" t="n">
        <f aca="false">IF(ET13="","",IF(ISNUMBER(ET20),ET20,ET13))</f>
        <v>-15</v>
      </c>
      <c r="EU32" s="27" t="str">
        <f aca="false">IF(EU13="","",IF(ISNUMBER(EU20),EU20,EU13))</f>
        <v/>
      </c>
      <c r="EV32" s="27" t="str">
        <f aca="false">IF(EV13="","",IF(ISNUMBER(EV20),EV20,EV13))</f>
        <v/>
      </c>
      <c r="EW32" s="27" t="str">
        <f aca="false">IF(EW13="","",IF(ISNUMBER(EW20),EW20,EW13))</f>
        <v/>
      </c>
      <c r="EX32" s="27" t="str">
        <f aca="false">IF(EX13="","",IF(ISNUMBER(EX20),EX20,EX13))</f>
        <v/>
      </c>
      <c r="EY32" s="27" t="str">
        <f aca="false">IF(EY13="","",IF(ISNUMBER(EY20),EY20,EY13))</f>
        <v/>
      </c>
      <c r="EZ32" s="27" t="str">
        <f aca="false">IF(EZ13="","",IF(ISNUMBER(EZ20),EZ20,EZ13))</f>
        <v/>
      </c>
      <c r="FA32" s="27" t="str">
        <f aca="false">IF(FA13="","",IF(ISNUMBER(FA20),FA20,FA13))</f>
        <v/>
      </c>
      <c r="FB32" s="27" t="str">
        <f aca="false">IF(FB13="","",IF(ISNUMBER(FB20),FB20,FB13))</f>
        <v/>
      </c>
      <c r="FC32" s="27" t="str">
        <f aca="false">IF(FC13="","",IF(ISNUMBER(FC20),FC20,FC13))</f>
        <v/>
      </c>
      <c r="FD32" s="27" t="str">
        <f aca="false">IF(FD13="","",IF(ISNUMBER(FD20),FD20,FD13))</f>
        <v/>
      </c>
      <c r="FE32" s="27" t="str">
        <f aca="false">IF(FE13="","",IF(ISNUMBER(FE20),FE20,FE13))</f>
        <v/>
      </c>
      <c r="FF32" s="27" t="str">
        <f aca="false">IF(FF13="","",IF(ISNUMBER(FF20),FF20,FF13))</f>
        <v/>
      </c>
      <c r="FG32" s="27" t="str">
        <f aca="false">IF(FG13="","",IF(ISNUMBER(FG20),FG20,FG13))</f>
        <v/>
      </c>
      <c r="FH32" s="27" t="str">
        <f aca="false">IF(FH13="","",IF(ISNUMBER(FH20),FH20,FH13))</f>
        <v/>
      </c>
      <c r="FI32" s="27" t="str">
        <f aca="false">IF(FI13="","",IF(ISNUMBER(FI20),FI20,FI13))</f>
        <v/>
      </c>
      <c r="FJ32" s="27" t="str">
        <f aca="false">IF(FJ13="","",IF(ISNUMBER(FJ20),FJ20,FJ13))</f>
        <v/>
      </c>
      <c r="FK32" s="27" t="str">
        <f aca="false">IF(FK13="","",IF(ISNUMBER(FK20),FK20,FK13))</f>
        <v/>
      </c>
      <c r="FL32" s="27" t="str">
        <f aca="false">IF(FL13="","",IF(ISNUMBER(FL20),FL20,FL13))</f>
        <v/>
      </c>
      <c r="FM32" s="27" t="str">
        <f aca="false">IF(FM13="","",IF(ISNUMBER(FM20),FM20,FM13))</f>
        <v/>
      </c>
      <c r="FN32" s="27" t="str">
        <f aca="false">IF(FN13="","",IF(ISNUMBER(FN20),FN20,FN13))</f>
        <v/>
      </c>
      <c r="FO32" s="27" t="str">
        <f aca="false">IF(FO13="","",IF(ISNUMBER(FO20),FO20,FO13))</f>
        <v/>
      </c>
      <c r="FP32" s="27" t="str">
        <f aca="false">IF(FP13="","",IF(ISNUMBER(FP20),FP20,FP13))</f>
        <v/>
      </c>
      <c r="FQ32" s="27" t="str">
        <f aca="false">IF(FQ13="","",IF(ISNUMBER(FQ20),FQ20,FQ13))</f>
        <v/>
      </c>
    </row>
    <row r="33" customFormat="false" ht="15" hidden="true" customHeight="false" outlineLevel="0" collapsed="false">
      <c r="A33" s="31" t="s">
        <v>328</v>
      </c>
      <c r="B33" s="59" t="s">
        <v>432</v>
      </c>
      <c r="D33" s="27" t="n">
        <f aca="false">IF(ISNUMBER(D13),1,0)</f>
        <v>0</v>
      </c>
      <c r="E33" s="27" t="n">
        <f aca="false">IF(ISNUMBER(E13),1,0)</f>
        <v>0</v>
      </c>
      <c r="F33" s="27" t="n">
        <f aca="false">IF(ISNUMBER(F13),1,0)</f>
        <v>0</v>
      </c>
      <c r="G33" s="27" t="n">
        <f aca="false">IF(ISNUMBER(G13),1,0)</f>
        <v>0</v>
      </c>
      <c r="H33" s="27" t="n">
        <f aca="false">IF(ISNUMBER(H13),1,0)</f>
        <v>0</v>
      </c>
      <c r="I33" s="27" t="n">
        <f aca="false">IF(ISNUMBER(I13),1,0)</f>
        <v>0</v>
      </c>
      <c r="J33" s="27" t="n">
        <f aca="false">IF(ISNUMBER(J13),1,0)</f>
        <v>0</v>
      </c>
      <c r="K33" s="27" t="n">
        <f aca="false">IF(ISNUMBER(K13),1,0)</f>
        <v>0</v>
      </c>
      <c r="L33" s="27" t="n">
        <f aca="false">IF(ISNUMBER(L13),1,0)</f>
        <v>0</v>
      </c>
      <c r="M33" s="27" t="n">
        <f aca="false">IF(ISNUMBER(M13),1,0)</f>
        <v>0</v>
      </c>
      <c r="N33" s="27" t="n">
        <f aca="false">IF(ISNUMBER(N13),1,0)</f>
        <v>0</v>
      </c>
      <c r="O33" s="27" t="n">
        <f aca="false">IF(ISNUMBER(O13),1,0)</f>
        <v>0</v>
      </c>
      <c r="P33" s="27" t="n">
        <f aca="false">IF(ISNUMBER(P13),1,0)</f>
        <v>0</v>
      </c>
      <c r="Q33" s="27" t="n">
        <f aca="false">IF(ISNUMBER(Q13),1,0)</f>
        <v>0</v>
      </c>
      <c r="R33" s="27" t="n">
        <f aca="false">IF(ISNUMBER(R13),1,0)</f>
        <v>0</v>
      </c>
      <c r="S33" s="27" t="n">
        <f aca="false">IF(ISNUMBER(S13),1,0)</f>
        <v>0</v>
      </c>
      <c r="T33" s="27" t="n">
        <f aca="false">IF(ISNUMBER(T13),1,0)</f>
        <v>0</v>
      </c>
      <c r="U33" s="27" t="n">
        <f aca="false">IF(ISNUMBER(U13),1,0)</f>
        <v>0</v>
      </c>
      <c r="V33" s="27" t="n">
        <f aca="false">IF(ISNUMBER(V13),1,0)</f>
        <v>0</v>
      </c>
      <c r="W33" s="27" t="n">
        <f aca="false">IF(ISNUMBER(W13),1,0)</f>
        <v>0</v>
      </c>
      <c r="X33" s="27" t="n">
        <f aca="false">IF(ISNUMBER(X13),1,0)</f>
        <v>0</v>
      </c>
      <c r="Y33" s="27" t="n">
        <f aca="false">IF(ISNUMBER(Y13),1,0)</f>
        <v>0</v>
      </c>
      <c r="Z33" s="27" t="n">
        <f aca="false">IF(ISNUMBER(Z13),1,0)</f>
        <v>0</v>
      </c>
      <c r="AA33" s="27" t="n">
        <f aca="false">IF(ISNUMBER(AA13),1,0)</f>
        <v>0</v>
      </c>
      <c r="AB33" s="27" t="n">
        <f aca="false">IF(ISNUMBER(AB13),1,0)</f>
        <v>0</v>
      </c>
      <c r="AC33" s="27" t="n">
        <f aca="false">IF(ISNUMBER(AC13),1,0)</f>
        <v>0</v>
      </c>
      <c r="AD33" s="27" t="n">
        <f aca="false">IF(ISNUMBER(AD13),1,0)</f>
        <v>0</v>
      </c>
      <c r="AE33" s="27" t="n">
        <f aca="false">IF(ISNUMBER(AE13),1,0)</f>
        <v>0</v>
      </c>
      <c r="AF33" s="27" t="n">
        <f aca="false">IF(ISNUMBER(AF13),1,0)</f>
        <v>0</v>
      </c>
      <c r="AG33" s="27" t="n">
        <f aca="false">IF(ISNUMBER(AG13),1,0)</f>
        <v>0</v>
      </c>
      <c r="AH33" s="27" t="n">
        <f aca="false">IF(ISNUMBER(AH13),1,0)</f>
        <v>0</v>
      </c>
      <c r="AI33" s="27" t="n">
        <f aca="false">IF(ISNUMBER(AI13),1,0)</f>
        <v>0</v>
      </c>
      <c r="AJ33" s="27" t="n">
        <f aca="false">IF(ISNUMBER(AJ13),1,0)</f>
        <v>0</v>
      </c>
      <c r="AK33" s="27" t="n">
        <f aca="false">IF(ISNUMBER(AK13),1,0)</f>
        <v>0</v>
      </c>
      <c r="AL33" s="27" t="n">
        <f aca="false">IF(ISNUMBER(AL13),1,0)</f>
        <v>0</v>
      </c>
      <c r="AM33" s="27" t="n">
        <f aca="false">IF(ISNUMBER(AM13),1,0)</f>
        <v>0</v>
      </c>
      <c r="AN33" s="27" t="n">
        <f aca="false">IF(ISNUMBER(AN13),1,0)</f>
        <v>0</v>
      </c>
      <c r="AO33" s="27" t="n">
        <f aca="false">IF(ISNUMBER(AO13),1,0)</f>
        <v>0</v>
      </c>
      <c r="AP33" s="27" t="n">
        <f aca="false">IF(ISNUMBER(AP13),1,0)</f>
        <v>0</v>
      </c>
      <c r="AQ33" s="27" t="n">
        <f aca="false">IF(ISNUMBER(AQ13),1,0)</f>
        <v>0</v>
      </c>
      <c r="AR33" s="27" t="n">
        <f aca="false">IF(ISNUMBER(AR13),1,0)</f>
        <v>0</v>
      </c>
      <c r="AS33" s="27" t="n">
        <f aca="false">IF(ISNUMBER(AS13),1,0)</f>
        <v>0</v>
      </c>
      <c r="AT33" s="27" t="n">
        <f aca="false">IF(ISNUMBER(AT13),1,0)</f>
        <v>0</v>
      </c>
      <c r="AU33" s="27" t="n">
        <f aca="false">IF(ISNUMBER(AU13),1,0)</f>
        <v>0</v>
      </c>
      <c r="AV33" s="27" t="n">
        <f aca="false">IF(ISNUMBER(AV13),1,0)</f>
        <v>0</v>
      </c>
      <c r="AW33" s="27" t="n">
        <f aca="false">IF(ISNUMBER(AW13),1,0)</f>
        <v>0</v>
      </c>
      <c r="AX33" s="27" t="n">
        <f aca="false">IF(ISNUMBER(AX13),1,0)</f>
        <v>0</v>
      </c>
      <c r="AY33" s="27" t="n">
        <f aca="false">IF(ISNUMBER(AY13),1,0)</f>
        <v>0</v>
      </c>
      <c r="AZ33" s="27" t="n">
        <f aca="false">IF(ISNUMBER(AZ13),1,0)</f>
        <v>0</v>
      </c>
      <c r="BA33" s="27" t="n">
        <f aca="false">IF(ISNUMBER(BA13),1,0)</f>
        <v>0</v>
      </c>
      <c r="BB33" s="27" t="n">
        <f aca="false">IF(ISNUMBER(BB13),1,0)</f>
        <v>0</v>
      </c>
      <c r="BC33" s="27" t="n">
        <f aca="false">IF(ISNUMBER(BC13),1,0)</f>
        <v>0</v>
      </c>
      <c r="BD33" s="27" t="n">
        <f aca="false">IF(ISNUMBER(BD13),1,0)</f>
        <v>1</v>
      </c>
      <c r="BE33" s="27" t="n">
        <f aca="false">IF(ISNUMBER(BE13),1,0)</f>
        <v>1</v>
      </c>
      <c r="BF33" s="27" t="n">
        <f aca="false">IF(ISNUMBER(BF13),1,0)</f>
        <v>1</v>
      </c>
      <c r="BG33" s="27" t="n">
        <f aca="false">IF(ISNUMBER(BG13),1,0)</f>
        <v>1</v>
      </c>
      <c r="BH33" s="27" t="n">
        <f aca="false">IF(ISNUMBER(BH13),1,0)</f>
        <v>1</v>
      </c>
      <c r="BI33" s="27" t="n">
        <f aca="false">IF(ISNUMBER(BI13),1,0)</f>
        <v>1</v>
      </c>
      <c r="BJ33" s="27" t="n">
        <f aca="false">IF(ISNUMBER(BJ13),1,0)</f>
        <v>1</v>
      </c>
      <c r="BK33" s="27" t="n">
        <f aca="false">IF(ISNUMBER(BK13),1,0)</f>
        <v>1</v>
      </c>
      <c r="BL33" s="27" t="n">
        <f aca="false">IF(ISNUMBER(BL13),1,0)</f>
        <v>1</v>
      </c>
      <c r="BM33" s="27" t="n">
        <f aca="false">IF(ISNUMBER(BM13),1,0)</f>
        <v>1</v>
      </c>
      <c r="BN33" s="27" t="n">
        <f aca="false">IF(ISNUMBER(BN13),1,0)</f>
        <v>1</v>
      </c>
      <c r="BO33" s="27" t="n">
        <f aca="false">IF(ISNUMBER(BO13),1,0)</f>
        <v>1</v>
      </c>
      <c r="BP33" s="27" t="n">
        <f aca="false">IF(ISNUMBER(BP13),1,0)</f>
        <v>1</v>
      </c>
      <c r="BQ33" s="27" t="n">
        <f aca="false">IF(ISNUMBER(BQ13),1,0)</f>
        <v>1</v>
      </c>
      <c r="BR33" s="27" t="n">
        <f aca="false">IF(ISNUMBER(BR13),1,0)</f>
        <v>1</v>
      </c>
      <c r="BS33" s="27" t="n">
        <f aca="false">IF(ISNUMBER(BS13),1,0)</f>
        <v>1</v>
      </c>
      <c r="BT33" s="27" t="n">
        <f aca="false">IF(ISNUMBER(BT13),1,0)</f>
        <v>1</v>
      </c>
      <c r="BU33" s="27" t="n">
        <f aca="false">IF(ISNUMBER(BU13),1,0)</f>
        <v>1</v>
      </c>
      <c r="BV33" s="27" t="n">
        <f aca="false">IF(ISNUMBER(BV13),1,0)</f>
        <v>1</v>
      </c>
      <c r="BW33" s="27" t="n">
        <f aca="false">IF(ISNUMBER(BW13),1,0)</f>
        <v>1</v>
      </c>
      <c r="BX33" s="27" t="n">
        <f aca="false">IF(ISNUMBER(BX13),1,0)</f>
        <v>1</v>
      </c>
      <c r="BY33" s="27" t="n">
        <f aca="false">IF(ISNUMBER(BY13),1,0)</f>
        <v>1</v>
      </c>
      <c r="BZ33" s="27" t="n">
        <f aca="false">IF(ISNUMBER(BZ13),1,0)</f>
        <v>1</v>
      </c>
      <c r="CA33" s="27" t="n">
        <f aca="false">IF(ISNUMBER(CA13),1,0)</f>
        <v>0</v>
      </c>
      <c r="CB33" s="27" t="n">
        <f aca="false">IF(ISNUMBER(CB13),1,0)</f>
        <v>1</v>
      </c>
      <c r="CC33" s="27" t="n">
        <f aca="false">IF(ISNUMBER(CC13),1,0)</f>
        <v>1</v>
      </c>
      <c r="CD33" s="27" t="n">
        <f aca="false">IF(ISNUMBER(CD13),1,0)</f>
        <v>1</v>
      </c>
      <c r="CE33" s="27" t="n">
        <f aca="false">IF(ISNUMBER(CE13),1,0)</f>
        <v>1</v>
      </c>
      <c r="CF33" s="27" t="n">
        <f aca="false">IF(ISNUMBER(CF13),1,0)</f>
        <v>1</v>
      </c>
      <c r="CG33" s="27" t="n">
        <f aca="false">IF(ISNUMBER(CG13),1,0)</f>
        <v>1</v>
      </c>
      <c r="CH33" s="27" t="n">
        <f aca="false">IF(ISNUMBER(CH13),1,0)</f>
        <v>1</v>
      </c>
      <c r="CI33" s="27" t="n">
        <f aca="false">IF(ISNUMBER(CI13),1,0)</f>
        <v>1</v>
      </c>
      <c r="CJ33" s="27" t="n">
        <f aca="false">IF(ISNUMBER(CJ13),1,0)</f>
        <v>1</v>
      </c>
      <c r="CK33" s="27" t="n">
        <f aca="false">IF(ISNUMBER(CK13),1,0)</f>
        <v>1</v>
      </c>
      <c r="CL33" s="27" t="n">
        <f aca="false">IF(ISNUMBER(CL13),1,0)</f>
        <v>1</v>
      </c>
      <c r="CM33" s="27" t="n">
        <f aca="false">IF(ISNUMBER(CM13),1,0)</f>
        <v>1</v>
      </c>
      <c r="CN33" s="27" t="n">
        <f aca="false">IF(ISNUMBER(CN13),1,0)</f>
        <v>1</v>
      </c>
      <c r="CO33" s="27" t="n">
        <f aca="false">IF(ISNUMBER(CO13),1,0)</f>
        <v>1</v>
      </c>
      <c r="CP33" s="27" t="n">
        <f aca="false">IF(ISNUMBER(CP13),1,0)</f>
        <v>1</v>
      </c>
      <c r="CQ33" s="27" t="n">
        <f aca="false">IF(ISNUMBER(CQ13),1,0)</f>
        <v>1</v>
      </c>
      <c r="CR33" s="27" t="n">
        <f aca="false">IF(ISNUMBER(CR13),1,0)</f>
        <v>1</v>
      </c>
      <c r="CS33" s="27" t="n">
        <f aca="false">IF(ISNUMBER(CS13),1,0)</f>
        <v>1</v>
      </c>
      <c r="CT33" s="27" t="n">
        <f aca="false">IF(ISNUMBER(CT13),1,0)</f>
        <v>1</v>
      </c>
      <c r="CU33" s="27" t="n">
        <f aca="false">IF(ISNUMBER(CU13),1,0)</f>
        <v>1</v>
      </c>
      <c r="CV33" s="27" t="n">
        <f aca="false">IF(ISNUMBER(CV13),1,0)</f>
        <v>1</v>
      </c>
      <c r="CW33" s="27" t="n">
        <f aca="false">IF(ISNUMBER(CW13),1,0)</f>
        <v>1</v>
      </c>
      <c r="CX33" s="27" t="n">
        <f aca="false">IF(ISNUMBER(CX13),1,0)</f>
        <v>1</v>
      </c>
      <c r="CY33" s="27" t="n">
        <f aca="false">IF(ISNUMBER(CY13),1,0)</f>
        <v>1</v>
      </c>
      <c r="CZ33" s="27" t="n">
        <f aca="false">IF(ISNUMBER(CZ13),1,0)</f>
        <v>1</v>
      </c>
      <c r="DA33" s="27" t="n">
        <f aca="false">IF(ISNUMBER(DA13),1,0)</f>
        <v>1</v>
      </c>
      <c r="DB33" s="27" t="n">
        <f aca="false">IF(ISNUMBER(DB13),1,0)</f>
        <v>1</v>
      </c>
      <c r="DC33" s="27" t="n">
        <f aca="false">IF(ISNUMBER(DC13),1,0)</f>
        <v>1</v>
      </c>
      <c r="DD33" s="27" t="n">
        <f aca="false">IF(ISNUMBER(DD13),1,0)</f>
        <v>1</v>
      </c>
      <c r="DE33" s="27" t="n">
        <f aca="false">IF(ISNUMBER(DE13),1,0)</f>
        <v>1</v>
      </c>
      <c r="DF33" s="27" t="n">
        <f aca="false">IF(ISNUMBER(DF13),1,0)</f>
        <v>1</v>
      </c>
      <c r="DG33" s="27" t="n">
        <f aca="false">IF(ISNUMBER(DG13),1,0)</f>
        <v>1</v>
      </c>
      <c r="DH33" s="27" t="n">
        <f aca="false">IF(ISNUMBER(DH13),1,0)</f>
        <v>1</v>
      </c>
      <c r="DI33" s="27" t="n">
        <f aca="false">IF(ISNUMBER(DI13),1,0)</f>
        <v>1</v>
      </c>
      <c r="DJ33" s="27" t="n">
        <f aca="false">IF(ISNUMBER(DJ13),1,0)</f>
        <v>1</v>
      </c>
      <c r="DK33" s="27" t="n">
        <f aca="false">IF(ISNUMBER(DK13),1,0)</f>
        <v>1</v>
      </c>
      <c r="DL33" s="27" t="n">
        <f aca="false">IF(ISNUMBER(DL13),1,0)</f>
        <v>0</v>
      </c>
      <c r="DM33" s="27" t="n">
        <f aca="false">IF(ISNUMBER(DM13),1,0)</f>
        <v>1</v>
      </c>
      <c r="DN33" s="27" t="n">
        <f aca="false">IF(ISNUMBER(DN13),1,0)</f>
        <v>1</v>
      </c>
      <c r="DO33" s="27" t="n">
        <f aca="false">IF(ISNUMBER(DO13),1,0)</f>
        <v>1</v>
      </c>
      <c r="DP33" s="27" t="n">
        <f aca="false">IF(ISNUMBER(DP13),1,0)</f>
        <v>1</v>
      </c>
      <c r="DQ33" s="27" t="n">
        <f aca="false">IF(ISNUMBER(DQ13),1,0)</f>
        <v>1</v>
      </c>
      <c r="DR33" s="27" t="n">
        <f aca="false">IF(ISNUMBER(DR13),1,0)</f>
        <v>1</v>
      </c>
      <c r="DS33" s="27" t="n">
        <f aca="false">IF(ISNUMBER(DS13),1,0)</f>
        <v>1</v>
      </c>
      <c r="DT33" s="27" t="n">
        <f aca="false">IF(ISNUMBER(DT13),1,0)</f>
        <v>1</v>
      </c>
      <c r="DU33" s="27" t="n">
        <f aca="false">IF(ISNUMBER(DU13),1,0)</f>
        <v>1</v>
      </c>
      <c r="DV33" s="27" t="n">
        <f aca="false">IF(ISNUMBER(DV13),1,0)</f>
        <v>1</v>
      </c>
      <c r="DW33" s="27" t="n">
        <f aca="false">IF(ISNUMBER(DW13),1,0)</f>
        <v>1</v>
      </c>
      <c r="DX33" s="27" t="n">
        <f aca="false">IF(ISNUMBER(DX13),1,0)</f>
        <v>1</v>
      </c>
      <c r="DY33" s="27" t="n">
        <f aca="false">IF(ISNUMBER(DY13),1,0)</f>
        <v>1</v>
      </c>
      <c r="DZ33" s="27" t="n">
        <f aca="false">IF(ISNUMBER(DZ13),1,0)</f>
        <v>1</v>
      </c>
      <c r="EA33" s="27" t="n">
        <f aca="false">IF(ISNUMBER(EA13),1,0)</f>
        <v>1</v>
      </c>
      <c r="EB33" s="27" t="n">
        <f aca="false">IF(ISNUMBER(EB13),1,0)</f>
        <v>1</v>
      </c>
      <c r="EC33" s="27" t="n">
        <f aca="false">IF(ISNUMBER(EC13),1,0)</f>
        <v>1</v>
      </c>
      <c r="ED33" s="27" t="n">
        <f aca="false">IF(ISNUMBER(ED13),1,0)</f>
        <v>1</v>
      </c>
      <c r="EE33" s="27" t="n">
        <f aca="false">IF(ISNUMBER(EE13),1,0)</f>
        <v>1</v>
      </c>
      <c r="EF33" s="27" t="n">
        <f aca="false">IF(ISNUMBER(EF13),1,0)</f>
        <v>1</v>
      </c>
      <c r="EG33" s="27" t="n">
        <f aca="false">IF(ISNUMBER(EG13),1,0)</f>
        <v>1</v>
      </c>
      <c r="EH33" s="27" t="n">
        <f aca="false">IF(ISNUMBER(EH13),1,0)</f>
        <v>1</v>
      </c>
      <c r="EI33" s="27" t="n">
        <f aca="false">IF(ISNUMBER(EI13),1,0)</f>
        <v>1</v>
      </c>
      <c r="EJ33" s="27" t="n">
        <f aca="false">IF(ISNUMBER(EJ13),1,0)</f>
        <v>1</v>
      </c>
      <c r="EK33" s="27" t="n">
        <f aca="false">IF(ISNUMBER(EK13),1,0)</f>
        <v>1</v>
      </c>
      <c r="EL33" s="27" t="n">
        <f aca="false">IF(ISNUMBER(EL13),1,0)</f>
        <v>1</v>
      </c>
      <c r="EM33" s="27" t="n">
        <f aca="false">IF(ISNUMBER(EM13),1,0)</f>
        <v>1</v>
      </c>
      <c r="EN33" s="27" t="n">
        <f aca="false">IF(ISNUMBER(EN13),1,0)</f>
        <v>1</v>
      </c>
      <c r="EO33" s="27" t="n">
        <f aca="false">IF(ISNUMBER(EO13),1,0)</f>
        <v>1</v>
      </c>
      <c r="EP33" s="27" t="n">
        <f aca="false">IF(ISNUMBER(EP13),1,0)</f>
        <v>1</v>
      </c>
      <c r="EQ33" s="27" t="n">
        <f aca="false">IF(ISNUMBER(EQ13),1,0)</f>
        <v>1</v>
      </c>
      <c r="ER33" s="27" t="n">
        <f aca="false">IF(ISNUMBER(ER13),1,0)</f>
        <v>1</v>
      </c>
      <c r="ES33" s="27" t="n">
        <f aca="false">IF(ISNUMBER(ES13),1,0)</f>
        <v>1</v>
      </c>
      <c r="ET33" s="27" t="n">
        <f aca="false">IF(ISNUMBER(ET13),1,0)</f>
        <v>1</v>
      </c>
      <c r="EU33" s="27" t="n">
        <f aca="false">IF(ISNUMBER(EU13),1,0)</f>
        <v>0</v>
      </c>
      <c r="EV33" s="27" t="n">
        <f aca="false">IF(ISNUMBER(EV13),1,0)</f>
        <v>0</v>
      </c>
      <c r="EW33" s="27" t="n">
        <f aca="false">IF(ISNUMBER(EW13),1,0)</f>
        <v>0</v>
      </c>
      <c r="EX33" s="27" t="n">
        <f aca="false">IF(ISNUMBER(EX13),1,0)</f>
        <v>0</v>
      </c>
      <c r="EY33" s="27" t="n">
        <f aca="false">IF(ISNUMBER(EY13),1,0)</f>
        <v>0</v>
      </c>
      <c r="EZ33" s="27" t="n">
        <f aca="false">IF(ISNUMBER(EZ13),1,0)</f>
        <v>0</v>
      </c>
      <c r="FA33" s="27" t="n">
        <f aca="false">IF(ISNUMBER(FA13),1,0)</f>
        <v>0</v>
      </c>
      <c r="FB33" s="27" t="n">
        <f aca="false">IF(ISNUMBER(FB13),1,0)</f>
        <v>0</v>
      </c>
      <c r="FC33" s="27" t="n">
        <f aca="false">IF(ISNUMBER(FC13),1,0)</f>
        <v>0</v>
      </c>
      <c r="FD33" s="27" t="n">
        <f aca="false">IF(ISNUMBER(FD13),1,0)</f>
        <v>0</v>
      </c>
      <c r="FE33" s="27" t="n">
        <f aca="false">IF(ISNUMBER(FE13),1,0)</f>
        <v>0</v>
      </c>
      <c r="FF33" s="27" t="n">
        <f aca="false">IF(ISNUMBER(FF13),1,0)</f>
        <v>0</v>
      </c>
      <c r="FG33" s="27" t="n">
        <f aca="false">IF(ISNUMBER(FG13),1,0)</f>
        <v>0</v>
      </c>
      <c r="FH33" s="27" t="n">
        <f aca="false">IF(ISNUMBER(FH13),1,0)</f>
        <v>0</v>
      </c>
      <c r="FI33" s="27" t="n">
        <f aca="false">IF(ISNUMBER(FI13),1,0)</f>
        <v>0</v>
      </c>
      <c r="FJ33" s="27" t="n">
        <f aca="false">IF(ISNUMBER(FJ13),1,0)</f>
        <v>0</v>
      </c>
      <c r="FK33" s="27" t="n">
        <f aca="false">IF(ISNUMBER(FK13),1,0)</f>
        <v>0</v>
      </c>
      <c r="FL33" s="27" t="n">
        <f aca="false">IF(ISNUMBER(FL13),1,0)</f>
        <v>0</v>
      </c>
      <c r="FM33" s="27" t="n">
        <f aca="false">IF(ISNUMBER(FM13),1,0)</f>
        <v>0</v>
      </c>
      <c r="FN33" s="27" t="n">
        <f aca="false">IF(ISNUMBER(FN13),1,0)</f>
        <v>0</v>
      </c>
      <c r="FO33" s="27" t="n">
        <f aca="false">IF(ISNUMBER(FO13),1,0)</f>
        <v>0</v>
      </c>
      <c r="FP33" s="27" t="n">
        <f aca="false">IF(ISNUMBER(FP13),1,0)</f>
        <v>0</v>
      </c>
      <c r="FQ33" s="27" t="n">
        <f aca="false">IF(ISNUMBER(FQ13),1,0)</f>
        <v>0</v>
      </c>
    </row>
    <row r="36" customFormat="false" ht="15" hidden="false" customHeight="false" outlineLevel="0" collapsed="false">
      <c r="A36" s="61" t="s">
        <v>83</v>
      </c>
      <c r="B36" s="20" t="s">
        <v>359</v>
      </c>
    </row>
    <row r="37" customFormat="false" ht="15" hidden="false" customHeight="false" outlineLevel="0" collapsed="false">
      <c r="A37" s="33" t="s">
        <v>83</v>
      </c>
      <c r="B37" s="20" t="s">
        <v>411</v>
      </c>
      <c r="C37" s="27" t="str">
        <f aca="false">COUNT($D$37:$FQ$37)&amp;" days"</f>
        <v>93 days</v>
      </c>
      <c r="D37" s="57" t="str">
        <f aca="false">IF(2_Daily_input!D8="","",2_Daily_input!D8)</f>
        <v/>
      </c>
      <c r="E37" s="57" t="str">
        <f aca="false">IF(2_Daily_input!E8="","",2_Daily_input!E8)</f>
        <v/>
      </c>
      <c r="F37" s="57" t="str">
        <f aca="false">IF(2_Daily_input!F8="","",2_Daily_input!F8)</f>
        <v/>
      </c>
      <c r="G37" s="57" t="str">
        <f aca="false">IF(2_Daily_input!G8="","",2_Daily_input!G8)</f>
        <v/>
      </c>
      <c r="H37" s="57" t="str">
        <f aca="false">IF(2_Daily_input!H8="","",2_Daily_input!H8)</f>
        <v/>
      </c>
      <c r="I37" s="57" t="str">
        <f aca="false">IF(2_Daily_input!I8="","",2_Daily_input!I8)</f>
        <v/>
      </c>
      <c r="J37" s="57" t="str">
        <f aca="false">IF(2_Daily_input!J8="","",2_Daily_input!J8)</f>
        <v/>
      </c>
      <c r="K37" s="57" t="str">
        <f aca="false">IF(2_Daily_input!K8="","",2_Daily_input!K8)</f>
        <v/>
      </c>
      <c r="L37" s="57" t="str">
        <f aca="false">IF(2_Daily_input!L8="","",2_Daily_input!L8)</f>
        <v/>
      </c>
      <c r="M37" s="57" t="str">
        <f aca="false">IF(2_Daily_input!M8="","",2_Daily_input!M8)</f>
        <v/>
      </c>
      <c r="N37" s="57" t="str">
        <f aca="false">IF(2_Daily_input!N8="","",2_Daily_input!N8)</f>
        <v/>
      </c>
      <c r="O37" s="57" t="str">
        <f aca="false">IF(2_Daily_input!O8="","",2_Daily_input!O8)</f>
        <v/>
      </c>
      <c r="P37" s="57" t="str">
        <f aca="false">IF(2_Daily_input!P8="","",2_Daily_input!P8)</f>
        <v/>
      </c>
      <c r="Q37" s="57" t="str">
        <f aca="false">IF(2_Daily_input!Q8="","",2_Daily_input!Q8)</f>
        <v/>
      </c>
      <c r="R37" s="57" t="str">
        <f aca="false">IF(2_Daily_input!R8="","",2_Daily_input!R8)</f>
        <v/>
      </c>
      <c r="S37" s="57" t="str">
        <f aca="false">IF(2_Daily_input!S8="","",2_Daily_input!S8)</f>
        <v/>
      </c>
      <c r="T37" s="57" t="str">
        <f aca="false">IF(2_Daily_input!T8="","",2_Daily_input!T8)</f>
        <v/>
      </c>
      <c r="U37" s="57" t="str">
        <f aca="false">IF(2_Daily_input!U8="","",2_Daily_input!U8)</f>
        <v/>
      </c>
      <c r="V37" s="57" t="str">
        <f aca="false">IF(2_Daily_input!V8="","",2_Daily_input!V8)</f>
        <v/>
      </c>
      <c r="W37" s="57" t="str">
        <f aca="false">IF(2_Daily_input!W8="","",2_Daily_input!W8)</f>
        <v/>
      </c>
      <c r="X37" s="57" t="str">
        <f aca="false">IF(2_Daily_input!X8="","",2_Daily_input!X8)</f>
        <v/>
      </c>
      <c r="Y37" s="57" t="str">
        <f aca="false">IF(2_Daily_input!Y8="","",2_Daily_input!Y8)</f>
        <v/>
      </c>
      <c r="Z37" s="57" t="str">
        <f aca="false">IF(2_Daily_input!Z8="","",2_Daily_input!Z8)</f>
        <v/>
      </c>
      <c r="AA37" s="57" t="str">
        <f aca="false">IF(2_Daily_input!AA8="","",2_Daily_input!AA8)</f>
        <v/>
      </c>
      <c r="AB37" s="57" t="str">
        <f aca="false">IF(2_Daily_input!AB8="","",2_Daily_input!AB8)</f>
        <v/>
      </c>
      <c r="AC37" s="57" t="str">
        <f aca="false">IF(2_Daily_input!AC8="","",2_Daily_input!AC8)</f>
        <v/>
      </c>
      <c r="AD37" s="57" t="str">
        <f aca="false">IF(2_Daily_input!AD8="","",2_Daily_input!AD8)</f>
        <v/>
      </c>
      <c r="AE37" s="57" t="str">
        <f aca="false">IF(2_Daily_input!AE8="","",2_Daily_input!AE8)</f>
        <v/>
      </c>
      <c r="AF37" s="57" t="str">
        <f aca="false">IF(2_Daily_input!AF8="","",2_Daily_input!AF8)</f>
        <v/>
      </c>
      <c r="AG37" s="57" t="str">
        <f aca="false">IF(2_Daily_input!AG8="","",2_Daily_input!AG8)</f>
        <v/>
      </c>
      <c r="AH37" s="57" t="str">
        <f aca="false">IF(2_Daily_input!AH8="","",2_Daily_input!AH8)</f>
        <v/>
      </c>
      <c r="AI37" s="57" t="str">
        <f aca="false">IF(2_Daily_input!AI8="","",2_Daily_input!AI8)</f>
        <v/>
      </c>
      <c r="AJ37" s="57" t="str">
        <f aca="false">IF(2_Daily_input!AJ8="","",2_Daily_input!AJ8)</f>
        <v/>
      </c>
      <c r="AK37" s="57" t="str">
        <f aca="false">IF(2_Daily_input!AK8="","",2_Daily_input!AK8)</f>
        <v/>
      </c>
      <c r="AL37" s="57" t="str">
        <f aca="false">IF(2_Daily_input!AL8="","",2_Daily_input!AL8)</f>
        <v/>
      </c>
      <c r="AM37" s="57" t="str">
        <f aca="false">IF(2_Daily_input!AM8="","",2_Daily_input!AM8)</f>
        <v/>
      </c>
      <c r="AN37" s="57" t="str">
        <f aca="false">IF(2_Daily_input!AN8="","",2_Daily_input!AN8)</f>
        <v/>
      </c>
      <c r="AO37" s="57" t="str">
        <f aca="false">IF(2_Daily_input!AO8="","",2_Daily_input!AO8)</f>
        <v/>
      </c>
      <c r="AP37" s="57" t="str">
        <f aca="false">IF(2_Daily_input!AP8="","",2_Daily_input!AP8)</f>
        <v/>
      </c>
      <c r="AQ37" s="57" t="str">
        <f aca="false">IF(2_Daily_input!AQ8="","",2_Daily_input!AQ8)</f>
        <v/>
      </c>
      <c r="AR37" s="57" t="str">
        <f aca="false">IF(2_Daily_input!AR8="","",2_Daily_input!AR8)</f>
        <v/>
      </c>
      <c r="AS37" s="57" t="str">
        <f aca="false">IF(2_Daily_input!AS8="","",2_Daily_input!AS8)</f>
        <v/>
      </c>
      <c r="AT37" s="57" t="str">
        <f aca="false">IF(2_Daily_input!AT8="","",2_Daily_input!AT8)</f>
        <v/>
      </c>
      <c r="AU37" s="57" t="str">
        <f aca="false">IF(2_Daily_input!AU8="","",2_Daily_input!AU8)</f>
        <v/>
      </c>
      <c r="AV37" s="57" t="str">
        <f aca="false">IF(2_Daily_input!AV8="","",2_Daily_input!AV8)</f>
        <v/>
      </c>
      <c r="AW37" s="57" t="str">
        <f aca="false">IF(2_Daily_input!AW8="","",2_Daily_input!AW8)</f>
        <v/>
      </c>
      <c r="AX37" s="57" t="str">
        <f aca="false">IF(2_Daily_input!AX8="","",2_Daily_input!AX8)</f>
        <v/>
      </c>
      <c r="AY37" s="57" t="str">
        <f aca="false">IF(2_Daily_input!AY8="","",2_Daily_input!AY8)</f>
        <v/>
      </c>
      <c r="AZ37" s="57" t="str">
        <f aca="false">IF(2_Daily_input!AZ8="","",2_Daily_input!AZ8)</f>
        <v/>
      </c>
      <c r="BA37" s="57" t="str">
        <f aca="false">IF(2_Daily_input!BA8="","",2_Daily_input!BA8)</f>
        <v/>
      </c>
      <c r="BB37" s="57" t="str">
        <f aca="false">IF(2_Daily_input!BB8="","",2_Daily_input!BB8)</f>
        <v/>
      </c>
      <c r="BC37" s="57" t="str">
        <f aca="false">IF(2_Daily_input!BC8="","",2_Daily_input!BC8)</f>
        <v/>
      </c>
      <c r="BD37" s="57" t="n">
        <f aca="false">IF(2_Daily_input!BD8="","",2_Daily_input!BD8)</f>
        <v>400.3</v>
      </c>
      <c r="BE37" s="57" t="n">
        <f aca="false">IF(2_Daily_input!BE8="","",2_Daily_input!BE8)</f>
        <v>400</v>
      </c>
      <c r="BF37" s="57" t="n">
        <f aca="false">IF(2_Daily_input!BF8="","",2_Daily_input!BF8)</f>
        <v>400.3</v>
      </c>
      <c r="BG37" s="57" t="n">
        <f aca="false">IF(2_Daily_input!BG8="","",2_Daily_input!BG8)</f>
        <v>400</v>
      </c>
      <c r="BH37" s="57" t="n">
        <f aca="false">IF(2_Daily_input!BH8="","",2_Daily_input!BH8)</f>
        <v>402.2</v>
      </c>
      <c r="BI37" s="57" t="n">
        <f aca="false">IF(2_Daily_input!BI8="","",2_Daily_input!BI8)</f>
        <v>401.3</v>
      </c>
      <c r="BJ37" s="57" t="n">
        <f aca="false">IF(2_Daily_input!BJ8="","",2_Daily_input!BJ8)</f>
        <v>401.1</v>
      </c>
      <c r="BK37" s="57" t="n">
        <f aca="false">IF(2_Daily_input!BK8="","",2_Daily_input!BK8)</f>
        <v>400.5</v>
      </c>
      <c r="BL37" s="57" t="n">
        <f aca="false">IF(2_Daily_input!BL8="","",2_Daily_input!BL8)</f>
        <v>402</v>
      </c>
      <c r="BM37" s="57" t="n">
        <f aca="false">IF(2_Daily_input!BM8="","",2_Daily_input!BM8)</f>
        <v>401.5</v>
      </c>
      <c r="BN37" s="57" t="n">
        <f aca="false">IF(2_Daily_input!BN8="","",2_Daily_input!BN8)</f>
        <v>401</v>
      </c>
      <c r="BO37" s="57" t="n">
        <f aca="false">IF(2_Daily_input!BO8="","",2_Daily_input!BO8)</f>
        <v>400.5</v>
      </c>
      <c r="BP37" s="57" t="n">
        <f aca="false">IF(2_Daily_input!BP8="","",2_Daily_input!BP8)</f>
        <v>400.3</v>
      </c>
      <c r="BQ37" s="57" t="n">
        <f aca="false">IF(2_Daily_input!BQ8="","",2_Daily_input!BQ8)</f>
        <v>401.5</v>
      </c>
      <c r="BR37" s="57" t="n">
        <f aca="false">IF(2_Daily_input!BR8="","",2_Daily_input!BR8)</f>
        <v>401</v>
      </c>
      <c r="BS37" s="57" t="n">
        <f aca="false">IF(2_Daily_input!BS8="","",2_Daily_input!BS8)</f>
        <v>400.5</v>
      </c>
      <c r="BT37" s="57" t="n">
        <f aca="false">IF(2_Daily_input!BT8="","",2_Daily_input!BT8)</f>
        <v>400.3</v>
      </c>
      <c r="BU37" s="57" t="n">
        <f aca="false">IF(2_Daily_input!BU8="","",2_Daily_input!BU8)</f>
        <v>400.1</v>
      </c>
      <c r="BV37" s="57" t="n">
        <f aca="false">IF(2_Daily_input!BV8="","",2_Daily_input!BV8)</f>
        <v>400</v>
      </c>
      <c r="BW37" s="57" t="n">
        <f aca="false">IF(2_Daily_input!BW8="","",2_Daily_input!BW8)</f>
        <v>399.5</v>
      </c>
      <c r="BX37" s="57" t="n">
        <f aca="false">IF(2_Daily_input!BX8="","",2_Daily_input!BX8)</f>
        <v>401.3</v>
      </c>
      <c r="BY37" s="57" t="n">
        <f aca="false">IF(2_Daily_input!BY8="","",2_Daily_input!BY8)</f>
        <v>401</v>
      </c>
      <c r="BZ37" s="57" t="n">
        <f aca="false">IF(2_Daily_input!BZ8="","",2_Daily_input!BZ8)</f>
        <v>400.5</v>
      </c>
      <c r="CA37" s="57" t="str">
        <f aca="false">IF(2_Daily_input!CA8="","",2_Daily_input!CA8)</f>
        <v/>
      </c>
      <c r="CB37" s="57" t="n">
        <f aca="false">IF(2_Daily_input!CB8="","",2_Daily_input!CB8)</f>
        <v>400</v>
      </c>
      <c r="CC37" s="57" t="n">
        <f aca="false">IF(2_Daily_input!CC8="","",2_Daily_input!CC8)</f>
        <v>398.8</v>
      </c>
      <c r="CD37" s="57" t="n">
        <f aca="false">IF(2_Daily_input!CD8="","",2_Daily_input!CD8)</f>
        <v>398.3</v>
      </c>
      <c r="CE37" s="57" t="n">
        <f aca="false">IF(2_Daily_input!CE8="","",2_Daily_input!CE8)</f>
        <v>401</v>
      </c>
      <c r="CF37" s="57" t="n">
        <f aca="false">IF(2_Daily_input!CF8="","",2_Daily_input!CF8)</f>
        <v>400.7</v>
      </c>
      <c r="CG37" s="57" t="n">
        <f aca="false">IF(2_Daily_input!CG8="","",2_Daily_input!CG8)</f>
        <v>400.5</v>
      </c>
      <c r="CH37" s="57" t="n">
        <f aca="false">IF(2_Daily_input!CH8="","",2_Daily_input!CH8)</f>
        <v>400</v>
      </c>
      <c r="CI37" s="57" t="n">
        <f aca="false">IF(2_Daily_input!CI8="","",2_Daily_input!CI8)</f>
        <v>402.8</v>
      </c>
      <c r="CJ37" s="57" t="n">
        <f aca="false">IF(2_Daily_input!CJ8="","",2_Daily_input!CJ8)</f>
        <v>402.2</v>
      </c>
      <c r="CK37" s="57" t="n">
        <f aca="false">IF(2_Daily_input!CK8="","",2_Daily_input!CK8)</f>
        <v>401.5</v>
      </c>
      <c r="CL37" s="57" t="n">
        <f aca="false">IF(2_Daily_input!CL8="","",2_Daily_input!CL8)</f>
        <v>400</v>
      </c>
      <c r="CM37" s="57" t="n">
        <f aca="false">IF(2_Daily_input!CM8="","",2_Daily_input!CM8)</f>
        <v>399.7</v>
      </c>
      <c r="CN37" s="57" t="n">
        <f aca="false">IF(2_Daily_input!CN8="","",2_Daily_input!CN8)</f>
        <v>399</v>
      </c>
      <c r="CO37" s="57" t="n">
        <f aca="false">IF(2_Daily_input!CO8="","",2_Daily_input!CO8)</f>
        <v>395</v>
      </c>
      <c r="CP37" s="57" t="n">
        <f aca="false">IF(2_Daily_input!CP8="","",2_Daily_input!CP8)</f>
        <v>392</v>
      </c>
      <c r="CQ37" s="57" t="n">
        <f aca="false">IF(2_Daily_input!CQ8="","",2_Daily_input!CQ8)</f>
        <v>385</v>
      </c>
      <c r="CR37" s="57" t="n">
        <f aca="false">IF(2_Daily_input!CR8="","",2_Daily_input!CR8)</f>
        <v>385</v>
      </c>
      <c r="CS37" s="57" t="n">
        <f aca="false">IF(2_Daily_input!CS8="","",2_Daily_input!CS8)</f>
        <v>385</v>
      </c>
      <c r="CT37" s="57" t="n">
        <f aca="false">IF(2_Daily_input!CT8="","",2_Daily_input!CT8)</f>
        <v>385</v>
      </c>
      <c r="CU37" s="57" t="n">
        <f aca="false">IF(2_Daily_input!CU8="","",2_Daily_input!CU8)</f>
        <v>385</v>
      </c>
      <c r="CV37" s="57" t="n">
        <f aca="false">IF(2_Daily_input!CV8="","",2_Daily_input!CV8)</f>
        <v>385</v>
      </c>
      <c r="CW37" s="57" t="n">
        <f aca="false">IF(2_Daily_input!CW8="","",2_Daily_input!CW8)</f>
        <v>385</v>
      </c>
      <c r="CX37" s="57" t="n">
        <f aca="false">IF(2_Daily_input!CX8="","",2_Daily_input!CX8)</f>
        <v>401</v>
      </c>
      <c r="CY37" s="57" t="n">
        <f aca="false">IF(2_Daily_input!CY8="","",2_Daily_input!CY8)</f>
        <v>400.7</v>
      </c>
      <c r="CZ37" s="57" t="n">
        <f aca="false">IF(2_Daily_input!CZ8="","",2_Daily_input!CZ8)</f>
        <v>400.2</v>
      </c>
      <c r="DA37" s="57" t="n">
        <f aca="false">IF(2_Daily_input!DA8="","",2_Daily_input!DA8)</f>
        <v>401.7</v>
      </c>
      <c r="DB37" s="57" t="n">
        <f aca="false">IF(2_Daily_input!DB8="","",2_Daily_input!DB8)</f>
        <v>401</v>
      </c>
      <c r="DC37" s="57" t="n">
        <f aca="false">IF(2_Daily_input!DC8="","",2_Daily_input!DC8)</f>
        <v>400.5</v>
      </c>
      <c r="DD37" s="57" t="n">
        <f aca="false">IF(2_Daily_input!DD8="","",2_Daily_input!DD8)</f>
        <v>401.6</v>
      </c>
      <c r="DE37" s="57" t="n">
        <f aca="false">IF(2_Daily_input!DE8="","",2_Daily_input!DE8)</f>
        <v>401</v>
      </c>
      <c r="DF37" s="57" t="n">
        <f aca="false">IF(2_Daily_input!DF8="","",2_Daily_input!DF8)</f>
        <v>400.7</v>
      </c>
      <c r="DG37" s="57" t="n">
        <f aca="false">IF(2_Daily_input!DG8="","",2_Daily_input!DG8)</f>
        <v>400.3</v>
      </c>
      <c r="DH37" s="57" t="n">
        <f aca="false">IF(2_Daily_input!DH8="","",2_Daily_input!DH8)</f>
        <v>400.8</v>
      </c>
      <c r="DI37" s="57" t="n">
        <f aca="false">IF(2_Daily_input!DI8="","",2_Daily_input!DI8)</f>
        <v>400.4</v>
      </c>
      <c r="DJ37" s="57" t="n">
        <f aca="false">IF(2_Daily_input!DJ8="","",2_Daily_input!DJ8)</f>
        <v>397</v>
      </c>
      <c r="DK37" s="57" t="n">
        <f aca="false">IF(2_Daily_input!DK8="","",2_Daily_input!DK8)</f>
        <v>394</v>
      </c>
      <c r="DL37" s="57" t="str">
        <f aca="false">IF(2_Daily_input!DL8="","",2_Daily_input!DL8)</f>
        <v/>
      </c>
      <c r="DM37" s="57" t="n">
        <f aca="false">IF(2_Daily_input!DM8="","",2_Daily_input!DM8)</f>
        <v>389</v>
      </c>
      <c r="DN37" s="57" t="n">
        <f aca="false">IF(2_Daily_input!DN8="","",2_Daily_input!DN8)</f>
        <v>388</v>
      </c>
      <c r="DO37" s="57" t="n">
        <f aca="false">IF(2_Daily_input!DO8="","",2_Daily_input!DO8)</f>
        <v>401</v>
      </c>
      <c r="DP37" s="57" t="n">
        <f aca="false">IF(2_Daily_input!DP8="","",2_Daily_input!DP8)</f>
        <v>400.5</v>
      </c>
      <c r="DQ37" s="57" t="n">
        <f aca="false">IF(2_Daily_input!DQ8="","",2_Daily_input!DQ8)</f>
        <v>396</v>
      </c>
      <c r="DR37" s="57" t="n">
        <f aca="false">IF(2_Daily_input!DR8="","",2_Daily_input!DR8)</f>
        <v>391</v>
      </c>
      <c r="DS37" s="57" t="n">
        <f aca="false">IF(2_Daily_input!DS8="","",2_Daily_input!DS8)</f>
        <v>388</v>
      </c>
      <c r="DT37" s="57" t="n">
        <f aca="false">IF(2_Daily_input!DT8="","",2_Daily_input!DT8)</f>
        <v>385</v>
      </c>
      <c r="DU37" s="57" t="n">
        <f aca="false">IF(2_Daily_input!DU8="","",2_Daily_input!DU8)</f>
        <v>385</v>
      </c>
      <c r="DV37" s="57" t="n">
        <f aca="false">IF(2_Daily_input!DV8="","",2_Daily_input!DV8)</f>
        <v>401</v>
      </c>
      <c r="DW37" s="57" t="n">
        <f aca="false">IF(2_Daily_input!DW8="","",2_Daily_input!DW8)</f>
        <v>400.5</v>
      </c>
      <c r="DX37" s="57" t="n">
        <f aca="false">IF(2_Daily_input!DX8="","",2_Daily_input!DX8)</f>
        <v>398</v>
      </c>
      <c r="DY37" s="57" t="n">
        <f aca="false">IF(2_Daily_input!DY8="","",2_Daily_input!DY8)</f>
        <v>393</v>
      </c>
      <c r="DZ37" s="57" t="n">
        <f aca="false">IF(2_Daily_input!DZ8="","",2_Daily_input!DZ8)</f>
        <v>388</v>
      </c>
      <c r="EA37" s="57" t="n">
        <f aca="false">IF(2_Daily_input!EA8="","",2_Daily_input!EA8)</f>
        <v>385</v>
      </c>
      <c r="EB37" s="57" t="n">
        <f aca="false">IF(2_Daily_input!EB8="","",2_Daily_input!EB8)</f>
        <v>385</v>
      </c>
      <c r="EC37" s="57" t="n">
        <f aca="false">IF(2_Daily_input!EC8="","",2_Daily_input!EC8)</f>
        <v>401.5</v>
      </c>
      <c r="ED37" s="57" t="n">
        <f aca="false">IF(2_Daily_input!ED8="","",2_Daily_input!ED8)</f>
        <v>400.3</v>
      </c>
      <c r="EE37" s="57" t="n">
        <f aca="false">IF(2_Daily_input!EE8="","",2_Daily_input!EE8)</f>
        <v>402</v>
      </c>
      <c r="EF37" s="57" t="n">
        <f aca="false">IF(2_Daily_input!EF8="","",2_Daily_input!EF8)</f>
        <v>399</v>
      </c>
      <c r="EG37" s="57" t="n">
        <f aca="false">IF(2_Daily_input!EG8="","",2_Daily_input!EG8)</f>
        <v>394.3</v>
      </c>
      <c r="EH37" s="57" t="n">
        <f aca="false">IF(2_Daily_input!EH8="","",2_Daily_input!EH8)</f>
        <v>389</v>
      </c>
      <c r="EI37" s="57" t="n">
        <f aca="false">IF(2_Daily_input!EI8="","",2_Daily_input!EI8)</f>
        <v>386</v>
      </c>
      <c r="EJ37" s="57" t="n">
        <f aca="false">IF(2_Daily_input!EJ8="","",2_Daily_input!EJ8)</f>
        <v>385</v>
      </c>
      <c r="EK37" s="57" t="n">
        <f aca="false">IF(2_Daily_input!EK8="","",2_Daily_input!EK8)</f>
        <v>403</v>
      </c>
      <c r="EL37" s="57" t="n">
        <f aca="false">IF(2_Daily_input!EL8="","",2_Daily_input!EL8)</f>
        <v>402</v>
      </c>
      <c r="EM37" s="57" t="n">
        <f aca="false">IF(2_Daily_input!EM8="","",2_Daily_input!EM8)</f>
        <v>403</v>
      </c>
      <c r="EN37" s="57" t="n">
        <f aca="false">IF(2_Daily_input!EN8="","",2_Daily_input!EN8)</f>
        <v>402</v>
      </c>
      <c r="EO37" s="57" t="n">
        <f aca="false">IF(2_Daily_input!EO8="","",2_Daily_input!EO8)</f>
        <v>400</v>
      </c>
      <c r="EP37" s="57" t="n">
        <f aca="false">IF(2_Daily_input!EP8="","",2_Daily_input!EP8)</f>
        <v>397</v>
      </c>
      <c r="EQ37" s="57" t="n">
        <f aca="false">IF(2_Daily_input!EQ8="","",2_Daily_input!EQ8)</f>
        <v>390</v>
      </c>
      <c r="ER37" s="57" t="n">
        <f aca="false">IF(2_Daily_input!ER8="","",2_Daily_input!ER8)</f>
        <v>385</v>
      </c>
      <c r="ES37" s="57" t="n">
        <f aca="false">IF(2_Daily_input!ES8="","",2_Daily_input!ES8)</f>
        <v>385</v>
      </c>
      <c r="ET37" s="57" t="n">
        <f aca="false">IF(2_Daily_input!ET8="","",2_Daily_input!ET8)</f>
        <v>385</v>
      </c>
      <c r="EU37" s="57" t="str">
        <f aca="false">IF(2_Daily_input!EU8="","",2_Daily_input!EU8)</f>
        <v/>
      </c>
      <c r="EV37" s="57" t="str">
        <f aca="false">IF(2_Daily_input!EV8="","",2_Daily_input!EV8)</f>
        <v/>
      </c>
      <c r="EW37" s="57" t="str">
        <f aca="false">IF(2_Daily_input!EW8="","",2_Daily_input!EW8)</f>
        <v/>
      </c>
      <c r="EX37" s="57" t="str">
        <f aca="false">IF(2_Daily_input!EX8="","",2_Daily_input!EX8)</f>
        <v/>
      </c>
      <c r="EY37" s="57" t="str">
        <f aca="false">IF(2_Daily_input!EY8="","",2_Daily_input!EY8)</f>
        <v/>
      </c>
      <c r="EZ37" s="57" t="str">
        <f aca="false">IF(2_Daily_input!EZ8="","",2_Daily_input!EZ8)</f>
        <v/>
      </c>
      <c r="FA37" s="57" t="str">
        <f aca="false">IF(2_Daily_input!FA8="","",2_Daily_input!FA8)</f>
        <v/>
      </c>
      <c r="FB37" s="57" t="str">
        <f aca="false">IF(2_Daily_input!FB8="","",2_Daily_input!FB8)</f>
        <v/>
      </c>
      <c r="FC37" s="57" t="str">
        <f aca="false">IF(2_Daily_input!FC8="","",2_Daily_input!FC8)</f>
        <v/>
      </c>
      <c r="FD37" s="57" t="str">
        <f aca="false">IF(2_Daily_input!FD8="","",2_Daily_input!FD8)</f>
        <v/>
      </c>
      <c r="FE37" s="57" t="str">
        <f aca="false">IF(2_Daily_input!FE8="","",2_Daily_input!FE8)</f>
        <v/>
      </c>
      <c r="FF37" s="57" t="str">
        <f aca="false">IF(2_Daily_input!FF8="","",2_Daily_input!FF8)</f>
        <v/>
      </c>
      <c r="FG37" s="57" t="str">
        <f aca="false">IF(2_Daily_input!FG8="","",2_Daily_input!FG8)</f>
        <v/>
      </c>
      <c r="FH37" s="57" t="str">
        <f aca="false">IF(2_Daily_input!FH8="","",2_Daily_input!FH8)</f>
        <v/>
      </c>
      <c r="FI37" s="57" t="str">
        <f aca="false">IF(2_Daily_input!FI8="","",2_Daily_input!FI8)</f>
        <v/>
      </c>
      <c r="FJ37" s="57" t="str">
        <f aca="false">IF(2_Daily_input!FJ8="","",2_Daily_input!FJ8)</f>
        <v/>
      </c>
      <c r="FK37" s="57" t="str">
        <f aca="false">IF(2_Daily_input!FK8="","",2_Daily_input!FK8)</f>
        <v/>
      </c>
      <c r="FL37" s="57" t="str">
        <f aca="false">IF(2_Daily_input!FL8="","",2_Daily_input!FL8)</f>
        <v/>
      </c>
      <c r="FM37" s="57" t="str">
        <f aca="false">IF(2_Daily_input!FM8="","",2_Daily_input!FM8)</f>
        <v/>
      </c>
      <c r="FN37" s="57" t="str">
        <f aca="false">IF(2_Daily_input!FN8="","",2_Daily_input!FN8)</f>
        <v/>
      </c>
      <c r="FO37" s="57" t="str">
        <f aca="false">IF(2_Daily_input!FO8="","",2_Daily_input!FO8)</f>
        <v/>
      </c>
      <c r="FP37" s="57" t="str">
        <f aca="false">IF(2_Daily_input!FP8="","",2_Daily_input!FP8)</f>
        <v/>
      </c>
      <c r="FQ37" s="57" t="str">
        <f aca="false">IF(2_Daily_input!FQ8="","",2_Daily_input!FQ8)</f>
        <v/>
      </c>
    </row>
    <row r="38" customFormat="false" ht="15" hidden="false" customHeight="false" outlineLevel="0" collapsed="false">
      <c r="A38" s="33" t="s">
        <v>83</v>
      </c>
      <c r="B38" s="20" t="s">
        <v>412</v>
      </c>
      <c r="D38" s="50" t="str">
        <f aca="false">IF(OR(D1="",NOT(ISNUMBER(D37)),D39=""),"",ROUND(D37-D39+D40,1))</f>
        <v/>
      </c>
      <c r="E38" s="50" t="str">
        <f aca="false">IF(OR(E1="",NOT(ISNUMBER(E37)),E39=""),"",ROUND(E37-E39+E40,1))</f>
        <v/>
      </c>
      <c r="F38" s="50" t="str">
        <f aca="false">IF(OR(F1="",NOT(ISNUMBER(F37)),F39=""),"",ROUND(F37-F39+F40,1))</f>
        <v/>
      </c>
      <c r="G38" s="50" t="str">
        <f aca="false">IF(OR(G1="",NOT(ISNUMBER(G37)),G39=""),"",ROUND(G37-G39+G40,1))</f>
        <v/>
      </c>
      <c r="H38" s="50" t="str">
        <f aca="false">IF(OR(H1="",NOT(ISNUMBER(H37)),H39=""),"",ROUND(H37-H39+H40,1))</f>
        <v/>
      </c>
      <c r="I38" s="50" t="str">
        <f aca="false">IF(OR(I1="",NOT(ISNUMBER(I37)),I39=""),"",ROUND(I37-I39+I40,1))</f>
        <v/>
      </c>
      <c r="J38" s="50" t="str">
        <f aca="false">IF(OR(J1="",NOT(ISNUMBER(J37)),J39=""),"",ROUND(J37-J39+J40,1))</f>
        <v/>
      </c>
      <c r="K38" s="50" t="str">
        <f aca="false">IF(OR(K1="",NOT(ISNUMBER(K37)),K39=""),"",ROUND(K37-K39+K40,1))</f>
        <v/>
      </c>
      <c r="L38" s="50" t="str">
        <f aca="false">IF(OR(L1="",NOT(ISNUMBER(L37)),L39=""),"",ROUND(L37-L39+L40,1))</f>
        <v/>
      </c>
      <c r="M38" s="50" t="str">
        <f aca="false">IF(OR(M1="",NOT(ISNUMBER(M37)),M39=""),"",ROUND(M37-M39+M40,1))</f>
        <v/>
      </c>
      <c r="N38" s="50" t="str">
        <f aca="false">IF(OR(N1="",NOT(ISNUMBER(N37)),N39=""),"",ROUND(N37-N39+N40,1))</f>
        <v/>
      </c>
      <c r="O38" s="50" t="str">
        <f aca="false">IF(OR(O1="",NOT(ISNUMBER(O37)),O39=""),"",ROUND(O37-O39+O40,1))</f>
        <v/>
      </c>
      <c r="P38" s="50" t="str">
        <f aca="false">IF(OR(P1="",NOT(ISNUMBER(P37)),P39=""),"",ROUND(P37-P39+P40,1))</f>
        <v/>
      </c>
      <c r="Q38" s="50" t="str">
        <f aca="false">IF(OR(Q1="",NOT(ISNUMBER(Q37)),Q39=""),"",ROUND(Q37-Q39+Q40,1))</f>
        <v/>
      </c>
      <c r="R38" s="50" t="str">
        <f aca="false">IF(OR(R1="",NOT(ISNUMBER(R37)),R39=""),"",ROUND(R37-R39+R40,1))</f>
        <v/>
      </c>
      <c r="S38" s="50" t="str">
        <f aca="false">IF(OR(S1="",NOT(ISNUMBER(S37)),S39=""),"",ROUND(S37-S39+S40,1))</f>
        <v/>
      </c>
      <c r="T38" s="50" t="str">
        <f aca="false">IF(OR(T1="",NOT(ISNUMBER(T37)),T39=""),"",ROUND(T37-T39+T40,1))</f>
        <v/>
      </c>
      <c r="U38" s="50" t="str">
        <f aca="false">IF(OR(U1="",NOT(ISNUMBER(U37)),U39=""),"",ROUND(U37-U39+U40,1))</f>
        <v/>
      </c>
      <c r="V38" s="50" t="str">
        <f aca="false">IF(OR(V1="",NOT(ISNUMBER(V37)),V39=""),"",ROUND(V37-V39+V40,1))</f>
        <v/>
      </c>
      <c r="W38" s="50" t="str">
        <f aca="false">IF(OR(W1="",NOT(ISNUMBER(W37)),W39=""),"",ROUND(W37-W39+W40,1))</f>
        <v/>
      </c>
      <c r="X38" s="50" t="str">
        <f aca="false">IF(OR(X1="",NOT(ISNUMBER(X37)),X39=""),"",ROUND(X37-X39+X40,1))</f>
        <v/>
      </c>
      <c r="Y38" s="50" t="str">
        <f aca="false">IF(OR(Y1="",NOT(ISNUMBER(Y37)),Y39=""),"",ROUND(Y37-Y39+Y40,1))</f>
        <v/>
      </c>
      <c r="Z38" s="50" t="str">
        <f aca="false">IF(OR(Z1="",NOT(ISNUMBER(Z37)),Z39=""),"",ROUND(Z37-Z39+Z40,1))</f>
        <v/>
      </c>
      <c r="AA38" s="50" t="str">
        <f aca="false">IF(OR(AA1="",NOT(ISNUMBER(AA37)),AA39=""),"",ROUND(AA37-AA39+AA40,1))</f>
        <v/>
      </c>
      <c r="AB38" s="50" t="str">
        <f aca="false">IF(OR(AB1="",NOT(ISNUMBER(AB37)),AB39=""),"",ROUND(AB37-AB39+AB40,1))</f>
        <v/>
      </c>
      <c r="AC38" s="50" t="str">
        <f aca="false">IF(OR(AC1="",NOT(ISNUMBER(AC37)),AC39=""),"",ROUND(AC37-AC39+AC40,1))</f>
        <v/>
      </c>
      <c r="AD38" s="50" t="str">
        <f aca="false">IF(OR(AD1="",NOT(ISNUMBER(AD37)),AD39=""),"",ROUND(AD37-AD39+AD40,1))</f>
        <v/>
      </c>
      <c r="AE38" s="50" t="str">
        <f aca="false">IF(OR(AE1="",NOT(ISNUMBER(AE37)),AE39=""),"",ROUND(AE37-AE39+AE40,1))</f>
        <v/>
      </c>
      <c r="AF38" s="50" t="str">
        <f aca="false">IF(OR(AF1="",NOT(ISNUMBER(AF37)),AF39=""),"",ROUND(AF37-AF39+AF40,1))</f>
        <v/>
      </c>
      <c r="AG38" s="50" t="str">
        <f aca="false">IF(OR(AG1="",NOT(ISNUMBER(AG37)),AG39=""),"",ROUND(AG37-AG39+AG40,1))</f>
        <v/>
      </c>
      <c r="AH38" s="50" t="str">
        <f aca="false">IF(OR(AH1="",NOT(ISNUMBER(AH37)),AH39=""),"",ROUND(AH37-AH39+AH40,1))</f>
        <v/>
      </c>
      <c r="AI38" s="50" t="str">
        <f aca="false">IF(OR(AI1="",NOT(ISNUMBER(AI37)),AI39=""),"",ROUND(AI37-AI39+AI40,1))</f>
        <v/>
      </c>
      <c r="AJ38" s="50" t="str">
        <f aca="false">IF(OR(AJ1="",NOT(ISNUMBER(AJ37)),AJ39=""),"",ROUND(AJ37-AJ39+AJ40,1))</f>
        <v/>
      </c>
      <c r="AK38" s="50" t="str">
        <f aca="false">IF(OR(AK1="",NOT(ISNUMBER(AK37)),AK39=""),"",ROUND(AK37-AK39+AK40,1))</f>
        <v/>
      </c>
      <c r="AL38" s="50" t="str">
        <f aca="false">IF(OR(AL1="",NOT(ISNUMBER(AL37)),AL39=""),"",ROUND(AL37-AL39+AL40,1))</f>
        <v/>
      </c>
      <c r="AM38" s="50" t="str">
        <f aca="false">IF(OR(AM1="",NOT(ISNUMBER(AM37)),AM39=""),"",ROUND(AM37-AM39+AM40,1))</f>
        <v/>
      </c>
      <c r="AN38" s="50" t="str">
        <f aca="false">IF(OR(AN1="",NOT(ISNUMBER(AN37)),AN39=""),"",ROUND(AN37-AN39+AN40,1))</f>
        <v/>
      </c>
      <c r="AO38" s="50" t="str">
        <f aca="false">IF(OR(AO1="",NOT(ISNUMBER(AO37)),AO39=""),"",ROUND(AO37-AO39+AO40,1))</f>
        <v/>
      </c>
      <c r="AP38" s="50" t="str">
        <f aca="false">IF(OR(AP1="",NOT(ISNUMBER(AP37)),AP39=""),"",ROUND(AP37-AP39+AP40,1))</f>
        <v/>
      </c>
      <c r="AQ38" s="50" t="str">
        <f aca="false">IF(OR(AQ1="",NOT(ISNUMBER(AQ37)),AQ39=""),"",ROUND(AQ37-AQ39+AQ40,1))</f>
        <v/>
      </c>
      <c r="AR38" s="50" t="str">
        <f aca="false">IF(OR(AR1="",NOT(ISNUMBER(AR37)),AR39=""),"",ROUND(AR37-AR39+AR40,1))</f>
        <v/>
      </c>
      <c r="AS38" s="50" t="str">
        <f aca="false">IF(OR(AS1="",NOT(ISNUMBER(AS37)),AS39=""),"",ROUND(AS37-AS39+AS40,1))</f>
        <v/>
      </c>
      <c r="AT38" s="50" t="str">
        <f aca="false">IF(OR(AT1="",NOT(ISNUMBER(AT37)),AT39=""),"",ROUND(AT37-AT39+AT40,1))</f>
        <v/>
      </c>
      <c r="AU38" s="50" t="str">
        <f aca="false">IF(OR(AU1="",NOT(ISNUMBER(AU37)),AU39=""),"",ROUND(AU37-AU39+AU40,1))</f>
        <v/>
      </c>
      <c r="AV38" s="50" t="str">
        <f aca="false">IF(OR(AV1="",NOT(ISNUMBER(AV37)),AV39=""),"",ROUND(AV37-AV39+AV40,1))</f>
        <v/>
      </c>
      <c r="AW38" s="50" t="str">
        <f aca="false">IF(OR(AW1="",NOT(ISNUMBER(AW37)),AW39=""),"",ROUND(AW37-AW39+AW40,1))</f>
        <v/>
      </c>
      <c r="AX38" s="50" t="str">
        <f aca="false">IF(OR(AX1="",NOT(ISNUMBER(AX37)),AX39=""),"",ROUND(AX37-AX39+AX40,1))</f>
        <v/>
      </c>
      <c r="AY38" s="50" t="str">
        <f aca="false">IF(OR(AY1="",NOT(ISNUMBER(AY37)),AY39=""),"",ROUND(AY37-AY39+AY40,1))</f>
        <v/>
      </c>
      <c r="AZ38" s="50" t="str">
        <f aca="false">IF(OR(AZ1="",NOT(ISNUMBER(AZ37)),AZ39=""),"",ROUND(AZ37-AZ39+AZ40,1))</f>
        <v/>
      </c>
      <c r="BA38" s="50" t="str">
        <f aca="false">IF(OR(BA1="",NOT(ISNUMBER(BA37)),BA39=""),"",ROUND(BA37-BA39+BA40,1))</f>
        <v/>
      </c>
      <c r="BB38" s="50" t="str">
        <f aca="false">IF(OR(BB1="",NOT(ISNUMBER(BB37)),BB39=""),"",ROUND(BB37-BB39+BB40,1))</f>
        <v/>
      </c>
      <c r="BC38" s="50" t="str">
        <f aca="false">IF(OR(BC1="",NOT(ISNUMBER(BC37)),BC39=""),"",ROUND(BC37-BC39+BC40,1))</f>
        <v/>
      </c>
      <c r="BD38" s="50" t="n">
        <f aca="false">IF(OR(BD1="",NOT(ISNUMBER(BD37)),BD39=""),"",ROUND(BD37-BD39+BD40,1))</f>
        <v>1.3</v>
      </c>
      <c r="BE38" s="50" t="n">
        <f aca="false">IF(OR(BE1="",NOT(ISNUMBER(BE37)),BE39=""),"",ROUND(BE37-BE39+BE40,1))</f>
        <v>1</v>
      </c>
      <c r="BF38" s="50" t="n">
        <f aca="false">IF(OR(BF1="",NOT(ISNUMBER(BF37)),BF39=""),"",ROUND(BF37-BF39+BF40,1))</f>
        <v>1.3</v>
      </c>
      <c r="BG38" s="50" t="n">
        <f aca="false">IF(OR(BG1="",NOT(ISNUMBER(BG37)),BG39=""),"",ROUND(BG37-BG39+BG40,1))</f>
        <v>1</v>
      </c>
      <c r="BH38" s="50" t="n">
        <f aca="false">IF(OR(BH1="",NOT(ISNUMBER(BH37)),BH39=""),"",ROUND(BH37-BH39+BH40,1))</f>
        <v>3.2</v>
      </c>
      <c r="BI38" s="50" t="n">
        <f aca="false">IF(OR(BI1="",NOT(ISNUMBER(BI37)),BI39=""),"",ROUND(BI37-BI39+BI40,1))</f>
        <v>2.3</v>
      </c>
      <c r="BJ38" s="50" t="n">
        <f aca="false">IF(OR(BJ1="",NOT(ISNUMBER(BJ37)),BJ39=""),"",ROUND(BJ37-BJ39+BJ40,1))</f>
        <v>2.1</v>
      </c>
      <c r="BK38" s="50" t="n">
        <f aca="false">IF(OR(BK1="",NOT(ISNUMBER(BK37)),BK39=""),"",ROUND(BK37-BK39+BK40,1))</f>
        <v>1.5</v>
      </c>
      <c r="BL38" s="50" t="n">
        <f aca="false">IF(OR(BL1="",NOT(ISNUMBER(BL37)),BL39=""),"",ROUND(BL37-BL39+BL40,1))</f>
        <v>3</v>
      </c>
      <c r="BM38" s="50" t="n">
        <f aca="false">IF(OR(BM1="",NOT(ISNUMBER(BM37)),BM39=""),"",ROUND(BM37-BM39+BM40,1))</f>
        <v>2.5</v>
      </c>
      <c r="BN38" s="50" t="n">
        <f aca="false">IF(OR(BN1="",NOT(ISNUMBER(BN37)),BN39=""),"",ROUND(BN37-BN39+BN40,1))</f>
        <v>2</v>
      </c>
      <c r="BO38" s="50" t="n">
        <f aca="false">IF(OR(BO1="",NOT(ISNUMBER(BO37)),BO39=""),"",ROUND(BO37-BO39+BO40,1))</f>
        <v>1.5</v>
      </c>
      <c r="BP38" s="50" t="n">
        <f aca="false">IF(OR(BP1="",NOT(ISNUMBER(BP37)),BP39=""),"",ROUND(BP37-BP39+BP40,1))</f>
        <v>1.3</v>
      </c>
      <c r="BQ38" s="50" t="n">
        <f aca="false">IF(OR(BQ1="",NOT(ISNUMBER(BQ37)),BQ39=""),"",ROUND(BQ37-BQ39+BQ40,1))</f>
        <v>2.5</v>
      </c>
      <c r="BR38" s="50" t="n">
        <f aca="false">IF(OR(BR1="",NOT(ISNUMBER(BR37)),BR39=""),"",ROUND(BR37-BR39+BR40,1))</f>
        <v>2</v>
      </c>
      <c r="BS38" s="50" t="n">
        <f aca="false">IF(OR(BS1="",NOT(ISNUMBER(BS37)),BS39=""),"",ROUND(BS37-BS39+BS40,1))</f>
        <v>1.5</v>
      </c>
      <c r="BT38" s="50" t="n">
        <f aca="false">IF(OR(BT1="",NOT(ISNUMBER(BT37)),BT39=""),"",ROUND(BT37-BT39+BT40,1))</f>
        <v>1.3</v>
      </c>
      <c r="BU38" s="50" t="n">
        <f aca="false">IF(OR(BU1="",NOT(ISNUMBER(BU37)),BU39=""),"",ROUND(BU37-BU39+BU40,1))</f>
        <v>1.1</v>
      </c>
      <c r="BV38" s="50" t="n">
        <f aca="false">IF(OR(BV1="",NOT(ISNUMBER(BV37)),BV39=""),"",ROUND(BV37-BV39+BV40,1))</f>
        <v>1</v>
      </c>
      <c r="BW38" s="50" t="n">
        <f aca="false">IF(OR(BW1="",NOT(ISNUMBER(BW37)),BW39=""),"",ROUND(BW37-BW39+BW40,1))</f>
        <v>0.5</v>
      </c>
      <c r="BX38" s="50" t="n">
        <f aca="false">IF(OR(BX1="",NOT(ISNUMBER(BX37)),BX39=""),"",ROUND(BX37-BX39+BX40,1))</f>
        <v>2.3</v>
      </c>
      <c r="BY38" s="50" t="n">
        <f aca="false">IF(OR(BY1="",NOT(ISNUMBER(BY37)),BY39=""),"",ROUND(BY37-BY39+BY40,1))</f>
        <v>2</v>
      </c>
      <c r="BZ38" s="50" t="n">
        <f aca="false">IF(OR(BZ1="",NOT(ISNUMBER(BZ37)),BZ39=""),"",ROUND(BZ37-BZ39+BZ40,1))</f>
        <v>1.5</v>
      </c>
      <c r="CA38" s="50" t="str">
        <f aca="false">IF(OR(CA1="",NOT(ISNUMBER(CA37)),CA39=""),"",ROUND(CA37-CA39+CA40,1))</f>
        <v/>
      </c>
      <c r="CB38" s="50" t="n">
        <f aca="false">IF(OR(CB1="",NOT(ISNUMBER(CB37)),CB39=""),"",ROUND(CB37-CB39+CB40,1))</f>
        <v>1</v>
      </c>
      <c r="CC38" s="50" t="n">
        <f aca="false">IF(OR(CC1="",NOT(ISNUMBER(CC37)),CC39=""),"",ROUND(CC37-CC39+CC40,1))</f>
        <v>-0.2</v>
      </c>
      <c r="CD38" s="50" t="n">
        <f aca="false">IF(OR(CD1="",NOT(ISNUMBER(CD37)),CD39=""),"",ROUND(CD37-CD39+CD40,1))</f>
        <v>-0.7</v>
      </c>
      <c r="CE38" s="50" t="n">
        <f aca="false">IF(OR(CE1="",NOT(ISNUMBER(CE37)),CE39=""),"",ROUND(CE37-CE39+CE40,1))</f>
        <v>2</v>
      </c>
      <c r="CF38" s="50" t="n">
        <f aca="false">IF(OR(CF1="",NOT(ISNUMBER(CF37)),CF39=""),"",ROUND(CF37-CF39+CF40,1))</f>
        <v>1.7</v>
      </c>
      <c r="CG38" s="50" t="n">
        <f aca="false">IF(OR(CG1="",NOT(ISNUMBER(CG37)),CG39=""),"",ROUND(CG37-CG39+CG40,1))</f>
        <v>1.5</v>
      </c>
      <c r="CH38" s="50" t="n">
        <f aca="false">IF(OR(CH1="",NOT(ISNUMBER(CH37)),CH39=""),"",ROUND(CH37-CH39+CH40,1))</f>
        <v>1</v>
      </c>
      <c r="CI38" s="50" t="n">
        <f aca="false">IF(OR(CI1="",NOT(ISNUMBER(CI37)),CI39=""),"",ROUND(CI37-CI39+CI40,1))</f>
        <v>3.8</v>
      </c>
      <c r="CJ38" s="50" t="n">
        <f aca="false">IF(OR(CJ1="",NOT(ISNUMBER(CJ37)),CJ39=""),"",ROUND(CJ37-CJ39+CJ40,1))</f>
        <v>3.2</v>
      </c>
      <c r="CK38" s="50" t="n">
        <f aca="false">IF(OR(CK1="",NOT(ISNUMBER(CK37)),CK39=""),"",ROUND(CK37-CK39+CK40,1))</f>
        <v>1.5</v>
      </c>
      <c r="CL38" s="50" t="n">
        <f aca="false">IF(OR(CL1="",NOT(ISNUMBER(CL37)),CL39=""),"",ROUND(CL37-CL39+CL40,1))</f>
        <v>0</v>
      </c>
      <c r="CM38" s="50" t="n">
        <f aca="false">IF(OR(CM1="",NOT(ISNUMBER(CM37)),CM39=""),"",ROUND(CM37-CM39+CM40,1))</f>
        <v>-0.3</v>
      </c>
      <c r="CN38" s="50" t="n">
        <f aca="false">IF(OR(CN1="",NOT(ISNUMBER(CN37)),CN39=""),"",ROUND(CN37-CN39+CN40,1))</f>
        <v>-1</v>
      </c>
      <c r="CO38" s="50" t="n">
        <f aca="false">IF(OR(CO1="",NOT(ISNUMBER(CO37)),CO39=""),"",ROUND(CO37-CO39+CO40,1))</f>
        <v>-5</v>
      </c>
      <c r="CP38" s="50" t="n">
        <f aca="false">IF(OR(CP1="",NOT(ISNUMBER(CP37)),CP39=""),"",ROUND(CP37-CP39+CP40,1))</f>
        <v>-8</v>
      </c>
      <c r="CQ38" s="50" t="n">
        <f aca="false">IF(OR(CQ1="",NOT(ISNUMBER(CQ37)),CQ39=""),"",ROUND(CQ37-CQ39+CQ40,1))</f>
        <v>-15</v>
      </c>
      <c r="CR38" s="50" t="n">
        <f aca="false">IF(OR(CR1="",NOT(ISNUMBER(CR37)),CR39=""),"",ROUND(CR37-CR39+CR40,1))</f>
        <v>-15</v>
      </c>
      <c r="CS38" s="50" t="n">
        <f aca="false">IF(OR(CS1="",NOT(ISNUMBER(CS37)),CS39=""),"",ROUND(CS37-CS39+CS40,1))</f>
        <v>-15</v>
      </c>
      <c r="CT38" s="50" t="n">
        <f aca="false">IF(OR(CT1="",NOT(ISNUMBER(CT37)),CT39=""),"",ROUND(CT37-CT39+CT40,1))</f>
        <v>-15</v>
      </c>
      <c r="CU38" s="50" t="n">
        <f aca="false">IF(OR(CU1="",NOT(ISNUMBER(CU37)),CU39=""),"",ROUND(CU37-CU39+CU40,1))</f>
        <v>-15</v>
      </c>
      <c r="CV38" s="50" t="n">
        <f aca="false">IF(OR(CV1="",NOT(ISNUMBER(CV37)),CV39=""),"",ROUND(CV37-CV39+CV40,1))</f>
        <v>-15</v>
      </c>
      <c r="CW38" s="50" t="n">
        <f aca="false">IF(OR(CW1="",NOT(ISNUMBER(CW37)),CW39=""),"",ROUND(CW37-CW39+CW40,1))</f>
        <v>-15</v>
      </c>
      <c r="CX38" s="50" t="n">
        <f aca="false">IF(OR(CX1="",NOT(ISNUMBER(CX37)),CX39=""),"",ROUND(CX37-CX39+CX40,1))</f>
        <v>1</v>
      </c>
      <c r="CY38" s="50" t="n">
        <f aca="false">IF(OR(CY1="",NOT(ISNUMBER(CY37)),CY39=""),"",ROUND(CY37-CY39+CY40,1))</f>
        <v>0.7</v>
      </c>
      <c r="CZ38" s="50" t="n">
        <f aca="false">IF(OR(CZ1="",NOT(ISNUMBER(CZ37)),CZ39=""),"",ROUND(CZ37-CZ39+CZ40,1))</f>
        <v>0.2</v>
      </c>
      <c r="DA38" s="50" t="n">
        <f aca="false">IF(OR(DA1="",NOT(ISNUMBER(DA37)),DA39=""),"",ROUND(DA37-DA39+DA40,1))</f>
        <v>1.7</v>
      </c>
      <c r="DB38" s="50" t="n">
        <f aca="false">IF(OR(DB1="",NOT(ISNUMBER(DB37)),DB39=""),"",ROUND(DB37-DB39+DB40,1))</f>
        <v>1</v>
      </c>
      <c r="DC38" s="50" t="n">
        <f aca="false">IF(OR(DC1="",NOT(ISNUMBER(DC37)),DC39=""),"",ROUND(DC37-DC39+DC40,1))</f>
        <v>0.5</v>
      </c>
      <c r="DD38" s="50" t="n">
        <f aca="false">IF(OR(DD1="",NOT(ISNUMBER(DD37)),DD39=""),"",ROUND(DD37-DD39+DD40,1))</f>
        <v>1.6</v>
      </c>
      <c r="DE38" s="50" t="n">
        <f aca="false">IF(OR(DE1="",NOT(ISNUMBER(DE37)),DE39=""),"",ROUND(DE37-DE39+DE40,1))</f>
        <v>1</v>
      </c>
      <c r="DF38" s="50" t="n">
        <f aca="false">IF(OR(DF1="",NOT(ISNUMBER(DF37)),DF39=""),"",ROUND(DF37-DF39+DF40,1))</f>
        <v>0.7</v>
      </c>
      <c r="DG38" s="50" t="n">
        <f aca="false">IF(OR(DG1="",NOT(ISNUMBER(DG37)),DG39=""),"",ROUND(DG37-DG39+DG40,1))</f>
        <v>0.3</v>
      </c>
      <c r="DH38" s="50" t="n">
        <f aca="false">IF(OR(DH1="",NOT(ISNUMBER(DH37)),DH39=""),"",ROUND(DH37-DH39+DH40,1))</f>
        <v>0.8</v>
      </c>
      <c r="DI38" s="50" t="n">
        <f aca="false">IF(OR(DI1="",NOT(ISNUMBER(DI37)),DI39=""),"",ROUND(DI37-DI39+DI40,1))</f>
        <v>0.4</v>
      </c>
      <c r="DJ38" s="50" t="n">
        <f aca="false">IF(OR(DJ1="",NOT(ISNUMBER(DJ37)),DJ39=""),"",ROUND(DJ37-DJ39+DJ40,1))</f>
        <v>-3</v>
      </c>
      <c r="DK38" s="50" t="n">
        <f aca="false">IF(OR(DK1="",NOT(ISNUMBER(DK37)),DK39=""),"",ROUND(DK37-DK39+DK40,1))</f>
        <v>-6</v>
      </c>
      <c r="DL38" s="50" t="str">
        <f aca="false">IF(OR(DL1="",NOT(ISNUMBER(DL37)),DL39=""),"",ROUND(DL37-DL39+DL40,1))</f>
        <v/>
      </c>
      <c r="DM38" s="50" t="n">
        <f aca="false">IF(OR(DM1="",NOT(ISNUMBER(DM37)),DM39=""),"",ROUND(DM37-DM39+DM40,1))</f>
        <v>-11</v>
      </c>
      <c r="DN38" s="50" t="n">
        <f aca="false">IF(OR(DN1="",NOT(ISNUMBER(DN37)),DN39=""),"",ROUND(DN37-DN39+DN40,1))</f>
        <v>-12</v>
      </c>
      <c r="DO38" s="50" t="n">
        <f aca="false">IF(OR(DO1="",NOT(ISNUMBER(DO37)),DO39=""),"",ROUND(DO37-DO39+DO40,1))</f>
        <v>1</v>
      </c>
      <c r="DP38" s="50" t="n">
        <f aca="false">IF(OR(DP1="",NOT(ISNUMBER(DP37)),DP39=""),"",ROUND(DP37-DP39+DP40,1))</f>
        <v>0.5</v>
      </c>
      <c r="DQ38" s="50" t="n">
        <f aca="false">IF(OR(DQ1="",NOT(ISNUMBER(DQ37)),DQ39=""),"",ROUND(DQ37-DQ39+DQ40,1))</f>
        <v>-4</v>
      </c>
      <c r="DR38" s="50" t="n">
        <f aca="false">IF(OR(DR1="",NOT(ISNUMBER(DR37)),DR39=""),"",ROUND(DR37-DR39+DR40,1))</f>
        <v>-9</v>
      </c>
      <c r="DS38" s="50" t="n">
        <f aca="false">IF(OR(DS1="",NOT(ISNUMBER(DS37)),DS39=""),"",ROUND(DS37-DS39+DS40,1))</f>
        <v>-12</v>
      </c>
      <c r="DT38" s="50" t="n">
        <f aca="false">IF(OR(DT1="",NOT(ISNUMBER(DT37)),DT39=""),"",ROUND(DT37-DT39+DT40,1))</f>
        <v>-15</v>
      </c>
      <c r="DU38" s="50" t="n">
        <f aca="false">IF(OR(DU1="",NOT(ISNUMBER(DU37)),DU39=""),"",ROUND(DU37-DU39+DU40,1))</f>
        <v>-15</v>
      </c>
      <c r="DV38" s="50" t="n">
        <f aca="false">IF(OR(DV1="",NOT(ISNUMBER(DV37)),DV39=""),"",ROUND(DV37-DV39+DV40,1))</f>
        <v>1</v>
      </c>
      <c r="DW38" s="50" t="n">
        <f aca="false">IF(OR(DW1="",NOT(ISNUMBER(DW37)),DW39=""),"",ROUND(DW37-DW39+DW40,1))</f>
        <v>0.5</v>
      </c>
      <c r="DX38" s="50" t="n">
        <f aca="false">IF(OR(DX1="",NOT(ISNUMBER(DX37)),DX39=""),"",ROUND(DX37-DX39+DX40,1))</f>
        <v>-2</v>
      </c>
      <c r="DY38" s="50" t="n">
        <f aca="false">IF(OR(DY1="",NOT(ISNUMBER(DY37)),DY39=""),"",ROUND(DY37-DY39+DY40,1))</f>
        <v>-7</v>
      </c>
      <c r="DZ38" s="50" t="n">
        <f aca="false">IF(OR(DZ1="",NOT(ISNUMBER(DZ37)),DZ39=""),"",ROUND(DZ37-DZ39+DZ40,1))</f>
        <v>-12</v>
      </c>
      <c r="EA38" s="50" t="n">
        <f aca="false">IF(OR(EA1="",NOT(ISNUMBER(EA37)),EA39=""),"",ROUND(EA37-EA39+EA40,1))</f>
        <v>-15</v>
      </c>
      <c r="EB38" s="50" t="n">
        <f aca="false">IF(OR(EB1="",NOT(ISNUMBER(EB37)),EB39=""),"",ROUND(EB37-EB39+EB40,1))</f>
        <v>-15</v>
      </c>
      <c r="EC38" s="50" t="n">
        <f aca="false">IF(OR(EC1="",NOT(ISNUMBER(EC37)),EC39=""),"",ROUND(EC37-EC39+EC40,1))</f>
        <v>1.5</v>
      </c>
      <c r="ED38" s="50" t="n">
        <f aca="false">IF(OR(ED1="",NOT(ISNUMBER(ED37)),ED39=""),"",ROUND(ED37-ED39+ED40,1))</f>
        <v>0.3</v>
      </c>
      <c r="EE38" s="50" t="n">
        <f aca="false">IF(OR(EE1="",NOT(ISNUMBER(EE37)),EE39=""),"",ROUND(EE37-EE39+EE40,1))</f>
        <v>2</v>
      </c>
      <c r="EF38" s="50" t="n">
        <f aca="false">IF(OR(EF1="",NOT(ISNUMBER(EF37)),EF39=""),"",ROUND(EF37-EF39+EF40,1))</f>
        <v>-1</v>
      </c>
      <c r="EG38" s="50" t="n">
        <f aca="false">IF(OR(EG1="",NOT(ISNUMBER(EG37)),EG39=""),"",ROUND(EG37-EG39+EG40,1))</f>
        <v>-5.7</v>
      </c>
      <c r="EH38" s="50" t="n">
        <f aca="false">IF(OR(EH1="",NOT(ISNUMBER(EH37)),EH39=""),"",ROUND(EH37-EH39+EH40,1))</f>
        <v>-11</v>
      </c>
      <c r="EI38" s="50" t="n">
        <f aca="false">IF(OR(EI1="",NOT(ISNUMBER(EI37)),EI39=""),"",ROUND(EI37-EI39+EI40,1))</f>
        <v>-14</v>
      </c>
      <c r="EJ38" s="50" t="n">
        <f aca="false">IF(OR(EJ1="",NOT(ISNUMBER(EJ37)),EJ39=""),"",ROUND(EJ37-EJ39+EJ40,1))</f>
        <v>-15</v>
      </c>
      <c r="EK38" s="50" t="n">
        <f aca="false">IF(OR(EK1="",NOT(ISNUMBER(EK37)),EK39=""),"",ROUND(EK37-EK39+EK40,1))</f>
        <v>3</v>
      </c>
      <c r="EL38" s="50" t="n">
        <f aca="false">IF(OR(EL1="",NOT(ISNUMBER(EL37)),EL39=""),"",ROUND(EL37-EL39+EL40,1))</f>
        <v>2</v>
      </c>
      <c r="EM38" s="50" t="n">
        <f aca="false">IF(OR(EM1="",NOT(ISNUMBER(EM37)),EM39=""),"",ROUND(EM37-EM39+EM40,1))</f>
        <v>3</v>
      </c>
      <c r="EN38" s="50" t="n">
        <f aca="false">IF(OR(EN1="",NOT(ISNUMBER(EN37)),EN39=""),"",ROUND(EN37-EN39+EN40,1))</f>
        <v>2</v>
      </c>
      <c r="EO38" s="50" t="n">
        <f aca="false">IF(OR(EO1="",NOT(ISNUMBER(EO37)),EO39=""),"",ROUND(EO37-EO39+EO40,1))</f>
        <v>0</v>
      </c>
      <c r="EP38" s="50" t="n">
        <f aca="false">IF(OR(EP1="",NOT(ISNUMBER(EP37)),EP39=""),"",ROUND(EP37-EP39+EP40,1))</f>
        <v>-3</v>
      </c>
      <c r="EQ38" s="50" t="n">
        <f aca="false">IF(OR(EQ1="",NOT(ISNUMBER(EQ37)),EQ39=""),"",ROUND(EQ37-EQ39+EQ40,1))</f>
        <v>-10</v>
      </c>
      <c r="ER38" s="50" t="n">
        <f aca="false">IF(OR(ER1="",NOT(ISNUMBER(ER37)),ER39=""),"",ROUND(ER37-ER39+ER40,1))</f>
        <v>-15</v>
      </c>
      <c r="ES38" s="50" t="n">
        <f aca="false">IF(OR(ES1="",NOT(ISNUMBER(ES37)),ES39=""),"",ROUND(ES37-ES39+ES40,1))</f>
        <v>-15</v>
      </c>
      <c r="ET38" s="50" t="n">
        <f aca="false">IF(OR(ET1="",NOT(ISNUMBER(ET37)),ET39=""),"",ROUND(ET37-ET39+ET40,1))</f>
        <v>-15</v>
      </c>
      <c r="EU38" s="50" t="str">
        <f aca="false">IF(OR(EU1="",NOT(ISNUMBER(EU37)),EU39=""),"",ROUND(EU37-EU39+EU40,1))</f>
        <v/>
      </c>
      <c r="EV38" s="50" t="str">
        <f aca="false">IF(OR(EV1="",NOT(ISNUMBER(EV37)),EV39=""),"",ROUND(EV37-EV39+EV40,1))</f>
        <v/>
      </c>
      <c r="EW38" s="50" t="str">
        <f aca="false">IF(OR(EW1="",NOT(ISNUMBER(EW37)),EW39=""),"",ROUND(EW37-EW39+EW40,1))</f>
        <v/>
      </c>
      <c r="EX38" s="50" t="str">
        <f aca="false">IF(OR(EX1="",NOT(ISNUMBER(EX37)),EX39=""),"",ROUND(EX37-EX39+EX40,1))</f>
        <v/>
      </c>
      <c r="EY38" s="50" t="str">
        <f aca="false">IF(OR(EY1="",NOT(ISNUMBER(EY37)),EY39=""),"",ROUND(EY37-EY39+EY40,1))</f>
        <v/>
      </c>
      <c r="EZ38" s="50" t="str">
        <f aca="false">IF(OR(EZ1="",NOT(ISNUMBER(EZ37)),EZ39=""),"",ROUND(EZ37-EZ39+EZ40,1))</f>
        <v/>
      </c>
      <c r="FA38" s="50" t="str">
        <f aca="false">IF(OR(FA1="",NOT(ISNUMBER(FA37)),FA39=""),"",ROUND(FA37-FA39+FA40,1))</f>
        <v/>
      </c>
      <c r="FB38" s="50" t="str">
        <f aca="false">IF(OR(FB1="",NOT(ISNUMBER(FB37)),FB39=""),"",ROUND(FB37-FB39+FB40,1))</f>
        <v/>
      </c>
      <c r="FC38" s="50" t="str">
        <f aca="false">IF(OR(FC1="",NOT(ISNUMBER(FC37)),FC39=""),"",ROUND(FC37-FC39+FC40,1))</f>
        <v/>
      </c>
      <c r="FD38" s="50" t="str">
        <f aca="false">IF(OR(FD1="",NOT(ISNUMBER(FD37)),FD39=""),"",ROUND(FD37-FD39+FD40,1))</f>
        <v/>
      </c>
      <c r="FE38" s="50" t="str">
        <f aca="false">IF(OR(FE1="",NOT(ISNUMBER(FE37)),FE39=""),"",ROUND(FE37-FE39+FE40,1))</f>
        <v/>
      </c>
      <c r="FF38" s="50" t="str">
        <f aca="false">IF(OR(FF1="",NOT(ISNUMBER(FF37)),FF39=""),"",ROUND(FF37-FF39+FF40,1))</f>
        <v/>
      </c>
      <c r="FG38" s="50" t="str">
        <f aca="false">IF(OR(FG1="",NOT(ISNUMBER(FG37)),FG39=""),"",ROUND(FG37-FG39+FG40,1))</f>
        <v/>
      </c>
      <c r="FH38" s="50" t="str">
        <f aca="false">IF(OR(FH1="",NOT(ISNUMBER(FH37)),FH39=""),"",ROUND(FH37-FH39+FH40,1))</f>
        <v/>
      </c>
      <c r="FI38" s="50" t="str">
        <f aca="false">IF(OR(FI1="",NOT(ISNUMBER(FI37)),FI39=""),"",ROUND(FI37-FI39+FI40,1))</f>
        <v/>
      </c>
      <c r="FJ38" s="50" t="str">
        <f aca="false">IF(OR(FJ1="",NOT(ISNUMBER(FJ37)),FJ39=""),"",ROUND(FJ37-FJ39+FJ40,1))</f>
        <v/>
      </c>
      <c r="FK38" s="50" t="str">
        <f aca="false">IF(OR(FK1="",NOT(ISNUMBER(FK37)),FK39=""),"",ROUND(FK37-FK39+FK40,1))</f>
        <v/>
      </c>
      <c r="FL38" s="50" t="str">
        <f aca="false">IF(OR(FL1="",NOT(ISNUMBER(FL37)),FL39=""),"",ROUND(FL37-FL39+FL40,1))</f>
        <v/>
      </c>
      <c r="FM38" s="50" t="str">
        <f aca="false">IF(OR(FM1="",NOT(ISNUMBER(FM37)),FM39=""),"",ROUND(FM37-FM39+FM40,1))</f>
        <v/>
      </c>
      <c r="FN38" s="50" t="str">
        <f aca="false">IF(OR(FN1="",NOT(ISNUMBER(FN37)),FN39=""),"",ROUND(FN37-FN39+FN40,1))</f>
        <v/>
      </c>
      <c r="FO38" s="50" t="str">
        <f aca="false">IF(OR(FO1="",NOT(ISNUMBER(FO37)),FO39=""),"",ROUND(FO37-FO39+FO40,1))</f>
        <v/>
      </c>
      <c r="FP38" s="50" t="str">
        <f aca="false">IF(OR(FP1="",NOT(ISNUMBER(FP37)),FP39=""),"",ROUND(FP37-FP39+FP40,1))</f>
        <v/>
      </c>
      <c r="FQ38" s="50" t="str">
        <f aca="false">IF(OR(FQ1="",NOT(ISNUMBER(FQ37)),FQ39=""),"",ROUND(FQ37-FQ39+FQ40,1))</f>
        <v/>
      </c>
    </row>
    <row r="39" customFormat="false" ht="15" hidden="false" customHeight="false" outlineLevel="0" collapsed="false">
      <c r="A39" s="33" t="s">
        <v>83</v>
      </c>
      <c r="B39" s="20" t="s">
        <v>413</v>
      </c>
      <c r="D39" s="50" t="n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>415</v>
      </c>
      <c r="E39" s="50" t="n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>415</v>
      </c>
      <c r="F39" s="50" t="n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>415</v>
      </c>
      <c r="G39" s="50" t="n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>415</v>
      </c>
      <c r="H39" s="50" t="n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>415</v>
      </c>
      <c r="I39" s="50" t="n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>415</v>
      </c>
      <c r="J39" s="50" t="n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>415</v>
      </c>
      <c r="K39" s="50" t="n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>415</v>
      </c>
      <c r="L39" s="50" t="n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>415</v>
      </c>
      <c r="M39" s="50" t="n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>415</v>
      </c>
      <c r="N39" s="50" t="n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>415</v>
      </c>
      <c r="O39" s="50" t="n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>415</v>
      </c>
      <c r="P39" s="50" t="n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>415</v>
      </c>
      <c r="Q39" s="50" t="n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>415</v>
      </c>
      <c r="R39" s="50" t="n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>415</v>
      </c>
      <c r="S39" s="50" t="n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>415</v>
      </c>
      <c r="T39" s="50" t="n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>415</v>
      </c>
      <c r="U39" s="50" t="n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>415</v>
      </c>
      <c r="V39" s="50" t="n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>415</v>
      </c>
      <c r="W39" s="50" t="n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>415</v>
      </c>
      <c r="X39" s="50" t="n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>415</v>
      </c>
      <c r="Y39" s="50" t="n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>415</v>
      </c>
      <c r="Z39" s="50" t="n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>415</v>
      </c>
      <c r="AA39" s="50" t="n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>415</v>
      </c>
      <c r="AB39" s="50" t="n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>415</v>
      </c>
      <c r="AC39" s="50" t="n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>415</v>
      </c>
      <c r="AD39" s="50" t="n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>415</v>
      </c>
      <c r="AE39" s="50" t="n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>415</v>
      </c>
      <c r="AF39" s="50" t="n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>415</v>
      </c>
      <c r="AG39" s="50" t="n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>415</v>
      </c>
      <c r="AH39" s="50" t="n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>415</v>
      </c>
      <c r="AI39" s="50" t="n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>415</v>
      </c>
      <c r="AJ39" s="50" t="n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>415</v>
      </c>
      <c r="AK39" s="50" t="n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>415</v>
      </c>
      <c r="AL39" s="50" t="n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>415</v>
      </c>
      <c r="AM39" s="50" t="n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>415</v>
      </c>
      <c r="AN39" s="50" t="n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>415</v>
      </c>
      <c r="AO39" s="50" t="n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>415</v>
      </c>
      <c r="AP39" s="50" t="n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>415</v>
      </c>
      <c r="AQ39" s="50" t="n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>415</v>
      </c>
      <c r="AR39" s="50" t="n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>415</v>
      </c>
      <c r="AS39" s="50" t="n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>415</v>
      </c>
      <c r="AT39" s="50" t="n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>415</v>
      </c>
      <c r="AU39" s="50" t="n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>415</v>
      </c>
      <c r="AV39" s="50" t="n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>415</v>
      </c>
      <c r="AW39" s="50" t="n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>415</v>
      </c>
      <c r="AX39" s="50" t="n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>415</v>
      </c>
      <c r="AY39" s="50" t="n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>415</v>
      </c>
      <c r="AZ39" s="50" t="n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>415</v>
      </c>
      <c r="BA39" s="50" t="n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>415</v>
      </c>
      <c r="BB39" s="50" t="n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>415</v>
      </c>
      <c r="BC39" s="50" t="n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>415</v>
      </c>
      <c r="BD39" s="50" t="n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>415</v>
      </c>
      <c r="BE39" s="50" t="n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>415</v>
      </c>
      <c r="BF39" s="50" t="n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>415</v>
      </c>
      <c r="BG39" s="50" t="n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>415</v>
      </c>
      <c r="BH39" s="50" t="n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>415</v>
      </c>
      <c r="BI39" s="50" t="n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>415</v>
      </c>
      <c r="BJ39" s="50" t="n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>415</v>
      </c>
      <c r="BK39" s="50" t="n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>415</v>
      </c>
      <c r="BL39" s="50" t="n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>415</v>
      </c>
      <c r="BM39" s="50" t="n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>415</v>
      </c>
      <c r="BN39" s="50" t="n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>415</v>
      </c>
      <c r="BO39" s="50" t="n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>415</v>
      </c>
      <c r="BP39" s="50" t="n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>415</v>
      </c>
      <c r="BQ39" s="50" t="n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>415</v>
      </c>
      <c r="BR39" s="50" t="n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>415</v>
      </c>
      <c r="BS39" s="50" t="n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>415</v>
      </c>
      <c r="BT39" s="50" t="n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>415</v>
      </c>
      <c r="BU39" s="50" t="n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>415</v>
      </c>
      <c r="BV39" s="50" t="n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>415</v>
      </c>
      <c r="BW39" s="50" t="n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>415</v>
      </c>
      <c r="BX39" s="50" t="n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>415</v>
      </c>
      <c r="BY39" s="50" t="n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>415</v>
      </c>
      <c r="BZ39" s="50" t="n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>415</v>
      </c>
      <c r="CA39" s="50" t="n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>415</v>
      </c>
      <c r="CB39" s="50" t="n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>415</v>
      </c>
      <c r="CC39" s="50" t="n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>415</v>
      </c>
      <c r="CD39" s="50" t="n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>415</v>
      </c>
      <c r="CE39" s="50" t="n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>415</v>
      </c>
      <c r="CF39" s="50" t="n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>415</v>
      </c>
      <c r="CG39" s="50" t="n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>415</v>
      </c>
      <c r="CH39" s="50" t="n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>415</v>
      </c>
      <c r="CI39" s="50" t="n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>415</v>
      </c>
      <c r="CJ39" s="50" t="n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>415</v>
      </c>
      <c r="CK39" s="50" t="n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>415</v>
      </c>
      <c r="CL39" s="50" t="n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>415</v>
      </c>
      <c r="CM39" s="50" t="n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>415</v>
      </c>
      <c r="CN39" s="50" t="n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>415</v>
      </c>
      <c r="CO39" s="50" t="n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>415</v>
      </c>
      <c r="CP39" s="50" t="n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>415</v>
      </c>
      <c r="CQ39" s="50" t="n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>415</v>
      </c>
      <c r="CR39" s="50" t="n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>415</v>
      </c>
      <c r="CS39" s="50" t="n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>415</v>
      </c>
      <c r="CT39" s="50" t="n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>415</v>
      </c>
      <c r="CU39" s="50" t="n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>415</v>
      </c>
      <c r="CV39" s="50" t="n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>415</v>
      </c>
      <c r="CW39" s="50" t="n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>415</v>
      </c>
      <c r="CX39" s="50" t="n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>415</v>
      </c>
      <c r="CY39" s="50" t="n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>415</v>
      </c>
      <c r="CZ39" s="50" t="n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>415</v>
      </c>
      <c r="DA39" s="50" t="n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>415</v>
      </c>
      <c r="DB39" s="50" t="n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>415</v>
      </c>
      <c r="DC39" s="50" t="n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>415</v>
      </c>
      <c r="DD39" s="50" t="n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>415</v>
      </c>
      <c r="DE39" s="50" t="n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>415</v>
      </c>
      <c r="DF39" s="50" t="n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>415</v>
      </c>
      <c r="DG39" s="50" t="n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>415</v>
      </c>
      <c r="DH39" s="50" t="n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>415</v>
      </c>
      <c r="DI39" s="50" t="n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>415</v>
      </c>
      <c r="DJ39" s="50" t="n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>415</v>
      </c>
      <c r="DK39" s="50" t="n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>415</v>
      </c>
      <c r="DL39" s="50" t="n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>415</v>
      </c>
      <c r="DM39" s="50" t="n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>415</v>
      </c>
      <c r="DN39" s="50" t="n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>415</v>
      </c>
      <c r="DO39" s="50" t="n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>415</v>
      </c>
      <c r="DP39" s="50" t="n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>415</v>
      </c>
      <c r="DQ39" s="50" t="n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>415</v>
      </c>
      <c r="DR39" s="50" t="n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>415</v>
      </c>
      <c r="DS39" s="50" t="n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>415</v>
      </c>
      <c r="DT39" s="50" t="n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>415</v>
      </c>
      <c r="DU39" s="50" t="n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>415</v>
      </c>
      <c r="DV39" s="50" t="n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>415</v>
      </c>
      <c r="DW39" s="50" t="n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>415</v>
      </c>
      <c r="DX39" s="50" t="n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>415</v>
      </c>
      <c r="DY39" s="50" t="n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>415</v>
      </c>
      <c r="DZ39" s="50" t="n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>415</v>
      </c>
      <c r="EA39" s="50" t="n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>415</v>
      </c>
      <c r="EB39" s="50" t="n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>415</v>
      </c>
      <c r="EC39" s="50" t="n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>415</v>
      </c>
      <c r="ED39" s="50" t="n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>415</v>
      </c>
      <c r="EE39" s="50" t="n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>415</v>
      </c>
      <c r="EF39" s="50" t="n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>415</v>
      </c>
      <c r="EG39" s="50" t="n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>415</v>
      </c>
      <c r="EH39" s="50" t="n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>415</v>
      </c>
      <c r="EI39" s="50" t="n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>415</v>
      </c>
      <c r="EJ39" s="50" t="n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>415</v>
      </c>
      <c r="EK39" s="50" t="n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>415</v>
      </c>
      <c r="EL39" s="50" t="n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>415</v>
      </c>
      <c r="EM39" s="50" t="n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>415</v>
      </c>
      <c r="EN39" s="50" t="n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>415</v>
      </c>
      <c r="EO39" s="50" t="n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>415</v>
      </c>
      <c r="EP39" s="50" t="n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>415</v>
      </c>
      <c r="EQ39" s="50" t="n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>415</v>
      </c>
      <c r="ER39" s="50" t="n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>415</v>
      </c>
      <c r="ES39" s="50" t="n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>415</v>
      </c>
      <c r="ET39" s="50" t="n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>415</v>
      </c>
      <c r="EU39" s="50" t="n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>415</v>
      </c>
      <c r="EV39" s="50" t="n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>415</v>
      </c>
      <c r="EW39" s="50" t="n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>415</v>
      </c>
      <c r="EX39" s="50" t="n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>415</v>
      </c>
      <c r="EY39" s="50" t="n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>415</v>
      </c>
      <c r="EZ39" s="50" t="n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>415</v>
      </c>
      <c r="FA39" s="50" t="n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>415</v>
      </c>
      <c r="FB39" s="50" t="n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>415</v>
      </c>
      <c r="FC39" s="50" t="n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>415</v>
      </c>
      <c r="FD39" s="50" t="n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>415</v>
      </c>
      <c r="FE39" s="50" t="n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>415</v>
      </c>
      <c r="FF39" s="50" t="n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>415</v>
      </c>
      <c r="FG39" s="50" t="n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>415</v>
      </c>
      <c r="FH39" s="50" t="n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>415</v>
      </c>
      <c r="FI39" s="50" t="n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>415</v>
      </c>
      <c r="FJ39" s="50" t="n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>415</v>
      </c>
      <c r="FK39" s="50" t="n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>415</v>
      </c>
      <c r="FL39" s="50" t="n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>415</v>
      </c>
      <c r="FM39" s="50" t="n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>415</v>
      </c>
      <c r="FN39" s="50" t="n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>415</v>
      </c>
      <c r="FO39" s="50" t="n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>415</v>
      </c>
      <c r="FP39" s="50" t="n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>415</v>
      </c>
      <c r="FQ39" s="50" t="n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>415</v>
      </c>
    </row>
    <row r="40" customFormat="false" ht="15" hidden="false" customHeight="false" outlineLevel="0" collapsed="false">
      <c r="A40" s="33" t="s">
        <v>83</v>
      </c>
      <c r="B40" s="20" t="s">
        <v>414</v>
      </c>
      <c r="D40" s="50" t="n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>16</v>
      </c>
      <c r="E40" s="50" t="n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>16</v>
      </c>
      <c r="F40" s="50" t="n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>16</v>
      </c>
      <c r="G40" s="50" t="n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>16</v>
      </c>
      <c r="H40" s="50" t="n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>16</v>
      </c>
      <c r="I40" s="50" t="n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>16</v>
      </c>
      <c r="J40" s="50" t="n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>16</v>
      </c>
      <c r="K40" s="50" t="n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>16</v>
      </c>
      <c r="L40" s="50" t="n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>16</v>
      </c>
      <c r="M40" s="50" t="n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>16</v>
      </c>
      <c r="N40" s="50" t="n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>16</v>
      </c>
      <c r="O40" s="50" t="n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>16</v>
      </c>
      <c r="P40" s="50" t="n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>16</v>
      </c>
      <c r="Q40" s="50" t="n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>16</v>
      </c>
      <c r="R40" s="50" t="n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>16</v>
      </c>
      <c r="S40" s="50" t="n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>16</v>
      </c>
      <c r="T40" s="50" t="n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>16</v>
      </c>
      <c r="U40" s="50" t="n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>16</v>
      </c>
      <c r="V40" s="50" t="n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>16</v>
      </c>
      <c r="W40" s="50" t="n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>16</v>
      </c>
      <c r="X40" s="50" t="n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>16</v>
      </c>
      <c r="Y40" s="50" t="n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>16</v>
      </c>
      <c r="Z40" s="50" t="n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>16</v>
      </c>
      <c r="AA40" s="50" t="n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>16</v>
      </c>
      <c r="AB40" s="50" t="n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>16</v>
      </c>
      <c r="AC40" s="50" t="n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>16</v>
      </c>
      <c r="AD40" s="50" t="n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>16</v>
      </c>
      <c r="AE40" s="50" t="n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>16</v>
      </c>
      <c r="AF40" s="50" t="n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>16</v>
      </c>
      <c r="AG40" s="50" t="n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>16</v>
      </c>
      <c r="AH40" s="50" t="n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>16</v>
      </c>
      <c r="AI40" s="50" t="n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>16</v>
      </c>
      <c r="AJ40" s="50" t="n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>16</v>
      </c>
      <c r="AK40" s="50" t="n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>16</v>
      </c>
      <c r="AL40" s="50" t="n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>16</v>
      </c>
      <c r="AM40" s="50" t="n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>16</v>
      </c>
      <c r="AN40" s="50" t="n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>16</v>
      </c>
      <c r="AO40" s="50" t="n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>16</v>
      </c>
      <c r="AP40" s="50" t="n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>16</v>
      </c>
      <c r="AQ40" s="50" t="n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>16</v>
      </c>
      <c r="AR40" s="50" t="n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>16</v>
      </c>
      <c r="AS40" s="50" t="n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>16</v>
      </c>
      <c r="AT40" s="50" t="n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>16</v>
      </c>
      <c r="AU40" s="50" t="n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>16</v>
      </c>
      <c r="AV40" s="50" t="n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>16</v>
      </c>
      <c r="AW40" s="50" t="n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>16</v>
      </c>
      <c r="AX40" s="50" t="n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>16</v>
      </c>
      <c r="AY40" s="50" t="n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>16</v>
      </c>
      <c r="AZ40" s="50" t="n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>16</v>
      </c>
      <c r="BA40" s="50" t="n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>16</v>
      </c>
      <c r="BB40" s="50" t="n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>16</v>
      </c>
      <c r="BC40" s="50" t="n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>16</v>
      </c>
      <c r="BD40" s="50" t="n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>16</v>
      </c>
      <c r="BE40" s="50" t="n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>16</v>
      </c>
      <c r="BF40" s="50" t="n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>16</v>
      </c>
      <c r="BG40" s="50" t="n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>16</v>
      </c>
      <c r="BH40" s="50" t="n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>16</v>
      </c>
      <c r="BI40" s="50" t="n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>16</v>
      </c>
      <c r="BJ40" s="50" t="n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>16</v>
      </c>
      <c r="BK40" s="50" t="n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>16</v>
      </c>
      <c r="BL40" s="50" t="n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>16</v>
      </c>
      <c r="BM40" s="50" t="n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>16</v>
      </c>
      <c r="BN40" s="50" t="n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>16</v>
      </c>
      <c r="BO40" s="50" t="n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>16</v>
      </c>
      <c r="BP40" s="50" t="n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>16</v>
      </c>
      <c r="BQ40" s="50" t="n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>16</v>
      </c>
      <c r="BR40" s="50" t="n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>16</v>
      </c>
      <c r="BS40" s="50" t="n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>16</v>
      </c>
      <c r="BT40" s="50" t="n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>16</v>
      </c>
      <c r="BU40" s="50" t="n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>16</v>
      </c>
      <c r="BV40" s="50" t="n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>16</v>
      </c>
      <c r="BW40" s="50" t="n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>16</v>
      </c>
      <c r="BX40" s="50" t="n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>16</v>
      </c>
      <c r="BY40" s="50" t="n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>16</v>
      </c>
      <c r="BZ40" s="50" t="n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>16</v>
      </c>
      <c r="CA40" s="50" t="n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>16</v>
      </c>
      <c r="CB40" s="50" t="n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>16</v>
      </c>
      <c r="CC40" s="50" t="n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>16</v>
      </c>
      <c r="CD40" s="50" t="n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>16</v>
      </c>
      <c r="CE40" s="50" t="n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>16</v>
      </c>
      <c r="CF40" s="50" t="n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>16</v>
      </c>
      <c r="CG40" s="50" t="n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>16</v>
      </c>
      <c r="CH40" s="50" t="n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>16</v>
      </c>
      <c r="CI40" s="50" t="n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>16</v>
      </c>
      <c r="CJ40" s="50" t="n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>16</v>
      </c>
      <c r="CK40" s="50" t="n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>15</v>
      </c>
      <c r="CL40" s="50" t="n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>15</v>
      </c>
      <c r="CM40" s="50" t="n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>15</v>
      </c>
      <c r="CN40" s="50" t="n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>15</v>
      </c>
      <c r="CO40" s="50" t="n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>15</v>
      </c>
      <c r="CP40" s="50" t="n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>15</v>
      </c>
      <c r="CQ40" s="50" t="n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>15</v>
      </c>
      <c r="CR40" s="50" t="n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>15</v>
      </c>
      <c r="CS40" s="50" t="n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>15</v>
      </c>
      <c r="CT40" s="50" t="n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>15</v>
      </c>
      <c r="CU40" s="50" t="n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>15</v>
      </c>
      <c r="CV40" s="50" t="n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>15</v>
      </c>
      <c r="CW40" s="50" t="n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>15</v>
      </c>
      <c r="CX40" s="50" t="n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>15</v>
      </c>
      <c r="CY40" s="50" t="n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>15</v>
      </c>
      <c r="CZ40" s="50" t="n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>15</v>
      </c>
      <c r="DA40" s="50" t="n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>15</v>
      </c>
      <c r="DB40" s="50" t="n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>15</v>
      </c>
      <c r="DC40" s="50" t="n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>15</v>
      </c>
      <c r="DD40" s="50" t="n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>15</v>
      </c>
      <c r="DE40" s="50" t="n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>15</v>
      </c>
      <c r="DF40" s="50" t="n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>15</v>
      </c>
      <c r="DG40" s="50" t="n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>15</v>
      </c>
      <c r="DH40" s="50" t="n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>15</v>
      </c>
      <c r="DI40" s="50" t="n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>15</v>
      </c>
      <c r="DJ40" s="50" t="n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>15</v>
      </c>
      <c r="DK40" s="50" t="n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>15</v>
      </c>
      <c r="DL40" s="50" t="n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>15</v>
      </c>
      <c r="DM40" s="50" t="n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>15</v>
      </c>
      <c r="DN40" s="50" t="n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>15</v>
      </c>
      <c r="DO40" s="50" t="n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>15</v>
      </c>
      <c r="DP40" s="50" t="n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>15</v>
      </c>
      <c r="DQ40" s="50" t="n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>15</v>
      </c>
      <c r="DR40" s="50" t="n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>15</v>
      </c>
      <c r="DS40" s="50" t="n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>15</v>
      </c>
      <c r="DT40" s="50" t="n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>15</v>
      </c>
      <c r="DU40" s="50" t="n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>15</v>
      </c>
      <c r="DV40" s="50" t="n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>15</v>
      </c>
      <c r="DW40" s="50" t="n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>15</v>
      </c>
      <c r="DX40" s="50" t="n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>15</v>
      </c>
      <c r="DY40" s="50" t="n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>15</v>
      </c>
      <c r="DZ40" s="50" t="n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>15</v>
      </c>
      <c r="EA40" s="50" t="n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>15</v>
      </c>
      <c r="EB40" s="50" t="n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>15</v>
      </c>
      <c r="EC40" s="50" t="n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>15</v>
      </c>
      <c r="ED40" s="50" t="n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>15</v>
      </c>
      <c r="EE40" s="50" t="n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>15</v>
      </c>
      <c r="EF40" s="50" t="n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>15</v>
      </c>
      <c r="EG40" s="50" t="n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>15</v>
      </c>
      <c r="EH40" s="50" t="n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>15</v>
      </c>
      <c r="EI40" s="50" t="n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>15</v>
      </c>
      <c r="EJ40" s="50" t="n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>15</v>
      </c>
      <c r="EK40" s="50" t="n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>15</v>
      </c>
      <c r="EL40" s="50" t="n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>15</v>
      </c>
      <c r="EM40" s="50" t="n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>15</v>
      </c>
      <c r="EN40" s="50" t="n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>15</v>
      </c>
      <c r="EO40" s="50" t="n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>15</v>
      </c>
      <c r="EP40" s="50" t="n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>15</v>
      </c>
      <c r="EQ40" s="50" t="n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>15</v>
      </c>
      <c r="ER40" s="50" t="n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>15</v>
      </c>
      <c r="ES40" s="50" t="n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>15</v>
      </c>
      <c r="ET40" s="50" t="n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>15</v>
      </c>
      <c r="EU40" s="50" t="n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>15</v>
      </c>
      <c r="EV40" s="50" t="n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>15</v>
      </c>
      <c r="EW40" s="50" t="n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>15</v>
      </c>
      <c r="EX40" s="50" t="n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>15</v>
      </c>
      <c r="EY40" s="50" t="n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>15</v>
      </c>
      <c r="EZ40" s="50" t="n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>15</v>
      </c>
      <c r="FA40" s="50" t="n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>15</v>
      </c>
      <c r="FB40" s="50" t="n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>15</v>
      </c>
      <c r="FC40" s="50" t="n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>15</v>
      </c>
      <c r="FD40" s="50" t="n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>15</v>
      </c>
      <c r="FE40" s="50" t="n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>15</v>
      </c>
      <c r="FF40" s="50" t="n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>15</v>
      </c>
      <c r="FG40" s="50" t="n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>15</v>
      </c>
      <c r="FH40" s="50" t="n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>15</v>
      </c>
      <c r="FI40" s="50" t="n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>15</v>
      </c>
      <c r="FJ40" s="50" t="n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>15</v>
      </c>
      <c r="FK40" s="50" t="n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>15</v>
      </c>
      <c r="FL40" s="50" t="n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>15</v>
      </c>
      <c r="FM40" s="50" t="n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>15</v>
      </c>
      <c r="FN40" s="50" t="n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>15</v>
      </c>
      <c r="FO40" s="50" t="n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>15</v>
      </c>
      <c r="FP40" s="50" t="n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>15</v>
      </c>
      <c r="FQ40" s="50" t="n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>15</v>
      </c>
    </row>
    <row r="41" customFormat="false" ht="15" hidden="false" customHeight="false" outlineLevel="0" collapsed="false">
      <c r="A41" s="33" t="s">
        <v>83</v>
      </c>
      <c r="B41" s="20" t="s">
        <v>415</v>
      </c>
      <c r="C41" s="27" t="str">
        <f aca="false">COUNT($D$46:$FQ$46)&amp;" irrig."</f>
        <v>15 irrig.</v>
      </c>
      <c r="D41" s="57" t="str">
        <f aca="false">IF(2_Daily_input!D18="","",2_Daily_input!D18)</f>
        <v/>
      </c>
      <c r="E41" s="57" t="str">
        <f aca="false">IF(2_Daily_input!E18="","",2_Daily_input!E18)</f>
        <v/>
      </c>
      <c r="F41" s="57" t="str">
        <f aca="false">IF(2_Daily_input!F18="","",2_Daily_input!F18)</f>
        <v/>
      </c>
      <c r="G41" s="57" t="str">
        <f aca="false">IF(2_Daily_input!G18="","",2_Daily_input!G18)</f>
        <v/>
      </c>
      <c r="H41" s="57" t="str">
        <f aca="false">IF(2_Daily_input!H18="","",2_Daily_input!H18)</f>
        <v/>
      </c>
      <c r="I41" s="57" t="str">
        <f aca="false">IF(2_Daily_input!I18="","",2_Daily_input!I18)</f>
        <v/>
      </c>
      <c r="J41" s="57" t="str">
        <f aca="false">IF(2_Daily_input!J18="","",2_Daily_input!J18)</f>
        <v/>
      </c>
      <c r="K41" s="57" t="str">
        <f aca="false">IF(2_Daily_input!K18="","",2_Daily_input!K18)</f>
        <v/>
      </c>
      <c r="L41" s="57" t="str">
        <f aca="false">IF(2_Daily_input!L18="","",2_Daily_input!L18)</f>
        <v/>
      </c>
      <c r="M41" s="57" t="str">
        <f aca="false">IF(2_Daily_input!M18="","",2_Daily_input!M18)</f>
        <v/>
      </c>
      <c r="N41" s="57" t="str">
        <f aca="false">IF(2_Daily_input!N18="","",2_Daily_input!N18)</f>
        <v/>
      </c>
      <c r="O41" s="57" t="str">
        <f aca="false">IF(2_Daily_input!O18="","",2_Daily_input!O18)</f>
        <v/>
      </c>
      <c r="P41" s="57" t="str">
        <f aca="false">IF(2_Daily_input!P18="","",2_Daily_input!P18)</f>
        <v/>
      </c>
      <c r="Q41" s="57" t="str">
        <f aca="false">IF(2_Daily_input!Q18="","",2_Daily_input!Q18)</f>
        <v/>
      </c>
      <c r="R41" s="57" t="str">
        <f aca="false">IF(2_Daily_input!R18="","",2_Daily_input!R18)</f>
        <v/>
      </c>
      <c r="S41" s="57" t="str">
        <f aca="false">IF(2_Daily_input!S18="","",2_Daily_input!S18)</f>
        <v/>
      </c>
      <c r="T41" s="57" t="str">
        <f aca="false">IF(2_Daily_input!T18="","",2_Daily_input!T18)</f>
        <v/>
      </c>
      <c r="U41" s="57" t="str">
        <f aca="false">IF(2_Daily_input!U18="","",2_Daily_input!U18)</f>
        <v/>
      </c>
      <c r="V41" s="57" t="str">
        <f aca="false">IF(2_Daily_input!V18="","",2_Daily_input!V18)</f>
        <v/>
      </c>
      <c r="W41" s="57" t="str">
        <f aca="false">IF(2_Daily_input!W18="","",2_Daily_input!W18)</f>
        <v/>
      </c>
      <c r="X41" s="57" t="str">
        <f aca="false">IF(2_Daily_input!X18="","",2_Daily_input!X18)</f>
        <v/>
      </c>
      <c r="Y41" s="57" t="str">
        <f aca="false">IF(2_Daily_input!Y18="","",2_Daily_input!Y18)</f>
        <v/>
      </c>
      <c r="Z41" s="57" t="str">
        <f aca="false">IF(2_Daily_input!Z18="","",2_Daily_input!Z18)</f>
        <v/>
      </c>
      <c r="AA41" s="57" t="str">
        <f aca="false">IF(2_Daily_input!AA18="","",2_Daily_input!AA18)</f>
        <v/>
      </c>
      <c r="AB41" s="57" t="str">
        <f aca="false">IF(2_Daily_input!AB18="","",2_Daily_input!AB18)</f>
        <v/>
      </c>
      <c r="AC41" s="57" t="str">
        <f aca="false">IF(2_Daily_input!AC18="","",2_Daily_input!AC18)</f>
        <v/>
      </c>
      <c r="AD41" s="57" t="str">
        <f aca="false">IF(2_Daily_input!AD18="","",2_Daily_input!AD18)</f>
        <v/>
      </c>
      <c r="AE41" s="57" t="str">
        <f aca="false">IF(2_Daily_input!AE18="","",2_Daily_input!AE18)</f>
        <v/>
      </c>
      <c r="AF41" s="57" t="str">
        <f aca="false">IF(2_Daily_input!AF18="","",2_Daily_input!AF18)</f>
        <v/>
      </c>
      <c r="AG41" s="57" t="str">
        <f aca="false">IF(2_Daily_input!AG18="","",2_Daily_input!AG18)</f>
        <v/>
      </c>
      <c r="AH41" s="57" t="str">
        <f aca="false">IF(2_Daily_input!AH18="","",2_Daily_input!AH18)</f>
        <v/>
      </c>
      <c r="AI41" s="57" t="str">
        <f aca="false">IF(2_Daily_input!AI18="","",2_Daily_input!AI18)</f>
        <v/>
      </c>
      <c r="AJ41" s="57" t="str">
        <f aca="false">IF(2_Daily_input!AJ18="","",2_Daily_input!AJ18)</f>
        <v/>
      </c>
      <c r="AK41" s="57" t="str">
        <f aca="false">IF(2_Daily_input!AK18="","",2_Daily_input!AK18)</f>
        <v/>
      </c>
      <c r="AL41" s="57" t="str">
        <f aca="false">IF(2_Daily_input!AL18="","",2_Daily_input!AL18)</f>
        <v/>
      </c>
      <c r="AM41" s="57" t="str">
        <f aca="false">IF(2_Daily_input!AM18="","",2_Daily_input!AM18)</f>
        <v/>
      </c>
      <c r="AN41" s="57" t="str">
        <f aca="false">IF(2_Daily_input!AN18="","",2_Daily_input!AN18)</f>
        <v/>
      </c>
      <c r="AO41" s="57" t="str">
        <f aca="false">IF(2_Daily_input!AO18="","",2_Daily_input!AO18)</f>
        <v/>
      </c>
      <c r="AP41" s="57" t="str">
        <f aca="false">IF(2_Daily_input!AP18="","",2_Daily_input!AP18)</f>
        <v/>
      </c>
      <c r="AQ41" s="57" t="str">
        <f aca="false">IF(2_Daily_input!AQ18="","",2_Daily_input!AQ18)</f>
        <v/>
      </c>
      <c r="AR41" s="57" t="str">
        <f aca="false">IF(2_Daily_input!AR18="","",2_Daily_input!AR18)</f>
        <v/>
      </c>
      <c r="AS41" s="57" t="str">
        <f aca="false">IF(2_Daily_input!AS18="","",2_Daily_input!AS18)</f>
        <v/>
      </c>
      <c r="AT41" s="57" t="str">
        <f aca="false">IF(2_Daily_input!AT18="","",2_Daily_input!AT18)</f>
        <v/>
      </c>
      <c r="AU41" s="57" t="str">
        <f aca="false">IF(2_Daily_input!AU18="","",2_Daily_input!AU18)</f>
        <v/>
      </c>
      <c r="AV41" s="57" t="str">
        <f aca="false">IF(2_Daily_input!AV18="","",2_Daily_input!AV18)</f>
        <v/>
      </c>
      <c r="AW41" s="57" t="str">
        <f aca="false">IF(2_Daily_input!AW18="","",2_Daily_input!AW18)</f>
        <v/>
      </c>
      <c r="AX41" s="57" t="str">
        <f aca="false">IF(2_Daily_input!AX18="","",2_Daily_input!AX18)</f>
        <v/>
      </c>
      <c r="AY41" s="57" t="str">
        <f aca="false">IF(2_Daily_input!AY18="","",2_Daily_input!AY18)</f>
        <v/>
      </c>
      <c r="AZ41" s="57" t="str">
        <f aca="false">IF(2_Daily_input!AZ18="","",2_Daily_input!AZ18)</f>
        <v/>
      </c>
      <c r="BA41" s="57" t="str">
        <f aca="false">IF(2_Daily_input!BA18="","",2_Daily_input!BA18)</f>
        <v/>
      </c>
      <c r="BB41" s="57" t="str">
        <f aca="false">IF(2_Daily_input!BB18="","",2_Daily_input!BB18)</f>
        <v/>
      </c>
      <c r="BC41" s="57" t="str">
        <f aca="false">IF(2_Daily_input!BC18="","",2_Daily_input!BC18)</f>
        <v/>
      </c>
      <c r="BD41" s="57" t="str">
        <f aca="false">IF(2_Daily_input!BD18="","",2_Daily_input!BD18)</f>
        <v/>
      </c>
      <c r="BE41" s="57" t="n">
        <f aca="false">IF(2_Daily_input!BE18="","",2_Daily_input!BE18)</f>
        <v>400</v>
      </c>
      <c r="BF41" s="57" t="str">
        <f aca="false">IF(2_Daily_input!BF18="","",2_Daily_input!BF18)</f>
        <v/>
      </c>
      <c r="BG41" s="57" t="n">
        <f aca="false">IF(2_Daily_input!BG18="","",2_Daily_input!BG18)</f>
        <v>400</v>
      </c>
      <c r="BH41" s="57" t="str">
        <f aca="false">IF(2_Daily_input!BH18="","",2_Daily_input!BH18)</f>
        <v/>
      </c>
      <c r="BI41" s="57" t="str">
        <f aca="false">IF(2_Daily_input!BI18="","",2_Daily_input!BI18)</f>
        <v/>
      </c>
      <c r="BJ41" s="57" t="str">
        <f aca="false">IF(2_Daily_input!BJ18="","",2_Daily_input!BJ18)</f>
        <v/>
      </c>
      <c r="BK41" s="57" t="n">
        <f aca="false">IF(2_Daily_input!BK18="","",2_Daily_input!BK18)</f>
        <v>400.5</v>
      </c>
      <c r="BL41" s="57" t="str">
        <f aca="false">IF(2_Daily_input!BL18="","",2_Daily_input!BL18)</f>
        <v/>
      </c>
      <c r="BM41" s="57" t="str">
        <f aca="false">IF(2_Daily_input!BM18="","",2_Daily_input!BM18)</f>
        <v/>
      </c>
      <c r="BN41" s="57" t="str">
        <f aca="false">IF(2_Daily_input!BN18="","",2_Daily_input!BN18)</f>
        <v/>
      </c>
      <c r="BO41" s="57" t="str">
        <f aca="false">IF(2_Daily_input!BO18="","",2_Daily_input!BO18)</f>
        <v/>
      </c>
      <c r="BP41" s="57" t="n">
        <f aca="false">IF(2_Daily_input!BP18="","",2_Daily_input!BP18)</f>
        <v>400.3</v>
      </c>
      <c r="BQ41" s="57" t="str">
        <f aca="false">IF(2_Daily_input!BQ18="","",2_Daily_input!BQ18)</f>
        <v/>
      </c>
      <c r="BR41" s="57" t="str">
        <f aca="false">IF(2_Daily_input!BR18="","",2_Daily_input!BR18)</f>
        <v/>
      </c>
      <c r="BS41" s="57" t="str">
        <f aca="false">IF(2_Daily_input!BS18="","",2_Daily_input!BS18)</f>
        <v/>
      </c>
      <c r="BT41" s="57" t="str">
        <f aca="false">IF(2_Daily_input!BT18="","",2_Daily_input!BT18)</f>
        <v/>
      </c>
      <c r="BU41" s="57" t="str">
        <f aca="false">IF(2_Daily_input!BU18="","",2_Daily_input!BU18)</f>
        <v/>
      </c>
      <c r="BV41" s="57" t="str">
        <f aca="false">IF(2_Daily_input!BV18="","",2_Daily_input!BV18)</f>
        <v/>
      </c>
      <c r="BW41" s="57" t="n">
        <f aca="false">IF(2_Daily_input!BW18="","",2_Daily_input!BW18)</f>
        <v>399.5</v>
      </c>
      <c r="BX41" s="57" t="str">
        <f aca="false">IF(2_Daily_input!BX18="","",2_Daily_input!BX18)</f>
        <v/>
      </c>
      <c r="BY41" s="57" t="str">
        <f aca="false">IF(2_Daily_input!BY18="","",2_Daily_input!BY18)</f>
        <v/>
      </c>
      <c r="BZ41" s="57" t="str">
        <f aca="false">IF(2_Daily_input!BZ18="","",2_Daily_input!BZ18)</f>
        <v/>
      </c>
      <c r="CA41" s="57" t="str">
        <f aca="false">IF(2_Daily_input!CA18="","",2_Daily_input!CA18)</f>
        <v/>
      </c>
      <c r="CB41" s="57" t="str">
        <f aca="false">IF(2_Daily_input!CB18="","",2_Daily_input!CB18)</f>
        <v/>
      </c>
      <c r="CC41" s="57" t="str">
        <f aca="false">IF(2_Daily_input!CC18="","",2_Daily_input!CC18)</f>
        <v/>
      </c>
      <c r="CD41" s="57" t="n">
        <f aca="false">IF(2_Daily_input!CD18="","",2_Daily_input!CD18)</f>
        <v>398.3</v>
      </c>
      <c r="CE41" s="57" t="str">
        <f aca="false">IF(2_Daily_input!CE18="","",2_Daily_input!CE18)</f>
        <v/>
      </c>
      <c r="CF41" s="57" t="str">
        <f aca="false">IF(2_Daily_input!CF18="","",2_Daily_input!CF18)</f>
        <v/>
      </c>
      <c r="CG41" s="57" t="str">
        <f aca="false">IF(2_Daily_input!CG18="","",2_Daily_input!CG18)</f>
        <v/>
      </c>
      <c r="CH41" s="57" t="n">
        <f aca="false">IF(2_Daily_input!CH18="","",2_Daily_input!CH18)</f>
        <v>400</v>
      </c>
      <c r="CI41" s="57" t="str">
        <f aca="false">IF(2_Daily_input!CI18="","",2_Daily_input!CI18)</f>
        <v/>
      </c>
      <c r="CJ41" s="57" t="str">
        <f aca="false">IF(2_Daily_input!CJ18="","",2_Daily_input!CJ18)</f>
        <v/>
      </c>
      <c r="CK41" s="57" t="str">
        <f aca="false">IF(2_Daily_input!CK18="","",2_Daily_input!CK18)</f>
        <v/>
      </c>
      <c r="CL41" s="57" t="str">
        <f aca="false">IF(2_Daily_input!CL18="","",2_Daily_input!CL18)</f>
        <v/>
      </c>
      <c r="CM41" s="57" t="str">
        <f aca="false">IF(2_Daily_input!CM18="","",2_Daily_input!CM18)</f>
        <v/>
      </c>
      <c r="CN41" s="57" t="str">
        <f aca="false">IF(2_Daily_input!CN18="","",2_Daily_input!CN18)</f>
        <v/>
      </c>
      <c r="CO41" s="57" t="str">
        <f aca="false">IF(2_Daily_input!CO18="","",2_Daily_input!CO18)</f>
        <v/>
      </c>
      <c r="CP41" s="57" t="str">
        <f aca="false">IF(2_Daily_input!CP18="","",2_Daily_input!CP18)</f>
        <v/>
      </c>
      <c r="CQ41" s="57" t="str">
        <f aca="false">IF(2_Daily_input!CQ18="","",2_Daily_input!CQ18)</f>
        <v/>
      </c>
      <c r="CR41" s="57" t="str">
        <f aca="false">IF(2_Daily_input!CR18="","",2_Daily_input!CR18)</f>
        <v/>
      </c>
      <c r="CS41" s="57" t="str">
        <f aca="false">IF(2_Daily_input!CS18="","",2_Daily_input!CS18)</f>
        <v/>
      </c>
      <c r="CT41" s="57" t="str">
        <f aca="false">IF(2_Daily_input!CT18="","",2_Daily_input!CT18)</f>
        <v/>
      </c>
      <c r="CU41" s="57" t="str">
        <f aca="false">IF(2_Daily_input!CU18="","",2_Daily_input!CU18)</f>
        <v/>
      </c>
      <c r="CV41" s="57" t="str">
        <f aca="false">IF(2_Daily_input!CV18="","",2_Daily_input!CV18)</f>
        <v/>
      </c>
      <c r="CW41" s="57" t="n">
        <f aca="false">IF(2_Daily_input!CW18="","",2_Daily_input!CW18)</f>
        <v>385</v>
      </c>
      <c r="CX41" s="57" t="str">
        <f aca="false">IF(2_Daily_input!CX18="","",2_Daily_input!CX18)</f>
        <v/>
      </c>
      <c r="CY41" s="57" t="str">
        <f aca="false">IF(2_Daily_input!CY18="","",2_Daily_input!CY18)</f>
        <v/>
      </c>
      <c r="CZ41" s="57" t="n">
        <f aca="false">IF(2_Daily_input!CZ18="","",2_Daily_input!CZ18)</f>
        <v>400.2</v>
      </c>
      <c r="DA41" s="57" t="str">
        <f aca="false">IF(2_Daily_input!DA18="","",2_Daily_input!DA18)</f>
        <v/>
      </c>
      <c r="DB41" s="57" t="str">
        <f aca="false">IF(2_Daily_input!DB18="","",2_Daily_input!DB18)</f>
        <v/>
      </c>
      <c r="DC41" s="57" t="n">
        <f aca="false">IF(2_Daily_input!DC18="","",2_Daily_input!DC18)</f>
        <v>400.5</v>
      </c>
      <c r="DD41" s="57" t="str">
        <f aca="false">IF(2_Daily_input!DD18="","",2_Daily_input!DD18)</f>
        <v/>
      </c>
      <c r="DE41" s="57" t="str">
        <f aca="false">IF(2_Daily_input!DE18="","",2_Daily_input!DE18)</f>
        <v/>
      </c>
      <c r="DF41" s="57" t="str">
        <f aca="false">IF(2_Daily_input!DF18="","",2_Daily_input!DF18)</f>
        <v/>
      </c>
      <c r="DG41" s="57" t="n">
        <f aca="false">IF(2_Daily_input!DG18="","",2_Daily_input!DG18)</f>
        <v>400.3</v>
      </c>
      <c r="DH41" s="57" t="str">
        <f aca="false">IF(2_Daily_input!DH18="","",2_Daily_input!DH18)</f>
        <v/>
      </c>
      <c r="DI41" s="57" t="str">
        <f aca="false">IF(2_Daily_input!DI18="","",2_Daily_input!DI18)</f>
        <v/>
      </c>
      <c r="DJ41" s="57" t="str">
        <f aca="false">IF(2_Daily_input!DJ18="","",2_Daily_input!DJ18)</f>
        <v/>
      </c>
      <c r="DK41" s="57" t="str">
        <f aca="false">IF(2_Daily_input!DK18="","",2_Daily_input!DK18)</f>
        <v/>
      </c>
      <c r="DL41" s="57" t="str">
        <f aca="false">IF(2_Daily_input!DL18="","",2_Daily_input!DL18)</f>
        <v/>
      </c>
      <c r="DM41" s="57" t="str">
        <f aca="false">IF(2_Daily_input!DM18="","",2_Daily_input!DM18)</f>
        <v/>
      </c>
      <c r="DN41" s="57" t="n">
        <f aca="false">IF(2_Daily_input!DN18="","",2_Daily_input!DN18)</f>
        <v>388</v>
      </c>
      <c r="DO41" s="57" t="str">
        <f aca="false">IF(2_Daily_input!DO18="","",2_Daily_input!DO18)</f>
        <v/>
      </c>
      <c r="DP41" s="57" t="str">
        <f aca="false">IF(2_Daily_input!DP18="","",2_Daily_input!DP18)</f>
        <v/>
      </c>
      <c r="DQ41" s="57" t="str">
        <f aca="false">IF(2_Daily_input!DQ18="","",2_Daily_input!DQ18)</f>
        <v/>
      </c>
      <c r="DR41" s="57" t="str">
        <f aca="false">IF(2_Daily_input!DR18="","",2_Daily_input!DR18)</f>
        <v/>
      </c>
      <c r="DS41" s="57" t="str">
        <f aca="false">IF(2_Daily_input!DS18="","",2_Daily_input!DS18)</f>
        <v/>
      </c>
      <c r="DT41" s="57" t="str">
        <f aca="false">IF(2_Daily_input!DT18="","",2_Daily_input!DT18)</f>
        <v/>
      </c>
      <c r="DU41" s="57" t="n">
        <f aca="false">IF(2_Daily_input!DU18="","",2_Daily_input!DU18)</f>
        <v>385</v>
      </c>
      <c r="DV41" s="57" t="str">
        <f aca="false">IF(2_Daily_input!DV18="","",2_Daily_input!DV18)</f>
        <v/>
      </c>
      <c r="DW41" s="57" t="str">
        <f aca="false">IF(2_Daily_input!DW18="","",2_Daily_input!DW18)</f>
        <v/>
      </c>
      <c r="DX41" s="57" t="str">
        <f aca="false">IF(2_Daily_input!DX18="","",2_Daily_input!DX18)</f>
        <v/>
      </c>
      <c r="DY41" s="57" t="str">
        <f aca="false">IF(2_Daily_input!DY18="","",2_Daily_input!DY18)</f>
        <v/>
      </c>
      <c r="DZ41" s="57" t="str">
        <f aca="false">IF(2_Daily_input!DZ18="","",2_Daily_input!DZ18)</f>
        <v/>
      </c>
      <c r="EA41" s="57" t="str">
        <f aca="false">IF(2_Daily_input!EA18="","",2_Daily_input!EA18)</f>
        <v/>
      </c>
      <c r="EB41" s="57" t="n">
        <f aca="false">IF(2_Daily_input!EB18="","",2_Daily_input!EB18)</f>
        <v>385</v>
      </c>
      <c r="EC41" s="57" t="str">
        <f aca="false">IF(2_Daily_input!EC18="","",2_Daily_input!EC18)</f>
        <v/>
      </c>
      <c r="ED41" s="57" t="str">
        <f aca="false">IF(2_Daily_input!ED18="","",2_Daily_input!ED18)</f>
        <v/>
      </c>
      <c r="EE41" s="57" t="str">
        <f aca="false">IF(2_Daily_input!EE18="","",2_Daily_input!EE18)</f>
        <v/>
      </c>
      <c r="EF41" s="57" t="str">
        <f aca="false">IF(2_Daily_input!EF18="","",2_Daily_input!EF18)</f>
        <v/>
      </c>
      <c r="EG41" s="57" t="str">
        <f aca="false">IF(2_Daily_input!EG18="","",2_Daily_input!EG18)</f>
        <v/>
      </c>
      <c r="EH41" s="57" t="str">
        <f aca="false">IF(2_Daily_input!EH18="","",2_Daily_input!EH18)</f>
        <v/>
      </c>
      <c r="EI41" s="57" t="str">
        <f aca="false">IF(2_Daily_input!EI18="","",2_Daily_input!EI18)</f>
        <v/>
      </c>
      <c r="EJ41" s="57" t="n">
        <f aca="false">IF(2_Daily_input!EJ18="","",2_Daily_input!EJ18)</f>
        <v>385</v>
      </c>
      <c r="EK41" s="57" t="str">
        <f aca="false">IF(2_Daily_input!EK18="","",2_Daily_input!EK18)</f>
        <v/>
      </c>
      <c r="EL41" s="57" t="str">
        <f aca="false">IF(2_Daily_input!EL18="","",2_Daily_input!EL18)</f>
        <v/>
      </c>
      <c r="EM41" s="57" t="str">
        <f aca="false">IF(2_Daily_input!EM18="","",2_Daily_input!EM18)</f>
        <v/>
      </c>
      <c r="EN41" s="57" t="str">
        <f aca="false">IF(2_Daily_input!EN18="","",2_Daily_input!EN18)</f>
        <v/>
      </c>
      <c r="EO41" s="57" t="str">
        <f aca="false">IF(2_Daily_input!EO18="","",2_Daily_input!EO18)</f>
        <v/>
      </c>
      <c r="EP41" s="57" t="str">
        <f aca="false">IF(2_Daily_input!EP18="","",2_Daily_input!EP18)</f>
        <v/>
      </c>
      <c r="EQ41" s="57" t="str">
        <f aca="false">IF(2_Daily_input!EQ18="","",2_Daily_input!EQ18)</f>
        <v/>
      </c>
      <c r="ER41" s="57" t="str">
        <f aca="false">IF(2_Daily_input!ER18="","",2_Daily_input!ER18)</f>
        <v/>
      </c>
      <c r="ES41" s="57" t="str">
        <f aca="false">IF(2_Daily_input!ES18="","",2_Daily_input!ES18)</f>
        <v/>
      </c>
      <c r="ET41" s="57" t="str">
        <f aca="false">IF(2_Daily_input!ET18="","",2_Daily_input!ET18)</f>
        <v/>
      </c>
      <c r="EU41" s="57" t="str">
        <f aca="false">IF(2_Daily_input!EU18="","",2_Daily_input!EU18)</f>
        <v/>
      </c>
      <c r="EV41" s="57" t="str">
        <f aca="false">IF(2_Daily_input!EV18="","",2_Daily_input!EV18)</f>
        <v/>
      </c>
      <c r="EW41" s="57" t="str">
        <f aca="false">IF(2_Daily_input!EW18="","",2_Daily_input!EW18)</f>
        <v/>
      </c>
      <c r="EX41" s="57" t="str">
        <f aca="false">IF(2_Daily_input!EX18="","",2_Daily_input!EX18)</f>
        <v/>
      </c>
      <c r="EY41" s="57" t="str">
        <f aca="false">IF(2_Daily_input!EY18="","",2_Daily_input!EY18)</f>
        <v/>
      </c>
      <c r="EZ41" s="57" t="str">
        <f aca="false">IF(2_Daily_input!EZ18="","",2_Daily_input!EZ18)</f>
        <v/>
      </c>
      <c r="FA41" s="57" t="str">
        <f aca="false">IF(2_Daily_input!FA18="","",2_Daily_input!FA18)</f>
        <v/>
      </c>
      <c r="FB41" s="57" t="str">
        <f aca="false">IF(2_Daily_input!FB18="","",2_Daily_input!FB18)</f>
        <v/>
      </c>
      <c r="FC41" s="57" t="str">
        <f aca="false">IF(2_Daily_input!FC18="","",2_Daily_input!FC18)</f>
        <v/>
      </c>
      <c r="FD41" s="57" t="str">
        <f aca="false">IF(2_Daily_input!FD18="","",2_Daily_input!FD18)</f>
        <v/>
      </c>
      <c r="FE41" s="57" t="str">
        <f aca="false">IF(2_Daily_input!FE18="","",2_Daily_input!FE18)</f>
        <v/>
      </c>
      <c r="FF41" s="57" t="str">
        <f aca="false">IF(2_Daily_input!FF18="","",2_Daily_input!FF18)</f>
        <v/>
      </c>
      <c r="FG41" s="57" t="str">
        <f aca="false">IF(2_Daily_input!FG18="","",2_Daily_input!FG18)</f>
        <v/>
      </c>
      <c r="FH41" s="57" t="str">
        <f aca="false">IF(2_Daily_input!FH18="","",2_Daily_input!FH18)</f>
        <v/>
      </c>
      <c r="FI41" s="57" t="str">
        <f aca="false">IF(2_Daily_input!FI18="","",2_Daily_input!FI18)</f>
        <v/>
      </c>
      <c r="FJ41" s="57" t="str">
        <f aca="false">IF(2_Daily_input!FJ18="","",2_Daily_input!FJ18)</f>
        <v/>
      </c>
      <c r="FK41" s="57" t="str">
        <f aca="false">IF(2_Daily_input!FK18="","",2_Daily_input!FK18)</f>
        <v/>
      </c>
      <c r="FL41" s="57" t="str">
        <f aca="false">IF(2_Daily_input!FL18="","",2_Daily_input!FL18)</f>
        <v/>
      </c>
      <c r="FM41" s="57" t="str">
        <f aca="false">IF(2_Daily_input!FM18="","",2_Daily_input!FM18)</f>
        <v/>
      </c>
      <c r="FN41" s="57" t="str">
        <f aca="false">IF(2_Daily_input!FN18="","",2_Daily_input!FN18)</f>
        <v/>
      </c>
      <c r="FO41" s="57" t="str">
        <f aca="false">IF(2_Daily_input!FO18="","",2_Daily_input!FO18)</f>
        <v/>
      </c>
      <c r="FP41" s="57" t="str">
        <f aca="false">IF(2_Daily_input!FP18="","",2_Daily_input!FP18)</f>
        <v/>
      </c>
      <c r="FQ41" s="57" t="str">
        <f aca="false">IF(2_Daily_input!FQ18="","",2_Daily_input!FQ18)</f>
        <v/>
      </c>
    </row>
    <row r="42" customFormat="false" ht="15" hidden="false" customHeight="false" outlineLevel="0" collapsed="false">
      <c r="A42" s="33" t="s">
        <v>83</v>
      </c>
      <c r="B42" s="20" t="s">
        <v>416</v>
      </c>
      <c r="D42" s="57" t="str">
        <f aca="false">IF(2_Daily_input!D19="","",2_Daily_input!D19)</f>
        <v/>
      </c>
      <c r="E42" s="57" t="str">
        <f aca="false">IF(2_Daily_input!E19="","",2_Daily_input!E19)</f>
        <v/>
      </c>
      <c r="F42" s="57" t="str">
        <f aca="false">IF(2_Daily_input!F19="","",2_Daily_input!F19)</f>
        <v/>
      </c>
      <c r="G42" s="57" t="str">
        <f aca="false">IF(2_Daily_input!G19="","",2_Daily_input!G19)</f>
        <v/>
      </c>
      <c r="H42" s="57" t="str">
        <f aca="false">IF(2_Daily_input!H19="","",2_Daily_input!H19)</f>
        <v/>
      </c>
      <c r="I42" s="57" t="str">
        <f aca="false">IF(2_Daily_input!I19="","",2_Daily_input!I19)</f>
        <v/>
      </c>
      <c r="J42" s="57" t="str">
        <f aca="false">IF(2_Daily_input!J19="","",2_Daily_input!J19)</f>
        <v/>
      </c>
      <c r="K42" s="57" t="str">
        <f aca="false">IF(2_Daily_input!K19="","",2_Daily_input!K19)</f>
        <v/>
      </c>
      <c r="L42" s="57" t="str">
        <f aca="false">IF(2_Daily_input!L19="","",2_Daily_input!L19)</f>
        <v/>
      </c>
      <c r="M42" s="57" t="str">
        <f aca="false">IF(2_Daily_input!M19="","",2_Daily_input!M19)</f>
        <v/>
      </c>
      <c r="N42" s="57" t="str">
        <f aca="false">IF(2_Daily_input!N19="","",2_Daily_input!N19)</f>
        <v/>
      </c>
      <c r="O42" s="57" t="str">
        <f aca="false">IF(2_Daily_input!O19="","",2_Daily_input!O19)</f>
        <v/>
      </c>
      <c r="P42" s="57" t="str">
        <f aca="false">IF(2_Daily_input!P19="","",2_Daily_input!P19)</f>
        <v/>
      </c>
      <c r="Q42" s="57" t="str">
        <f aca="false">IF(2_Daily_input!Q19="","",2_Daily_input!Q19)</f>
        <v/>
      </c>
      <c r="R42" s="57" t="str">
        <f aca="false">IF(2_Daily_input!R19="","",2_Daily_input!R19)</f>
        <v/>
      </c>
      <c r="S42" s="57" t="str">
        <f aca="false">IF(2_Daily_input!S19="","",2_Daily_input!S19)</f>
        <v/>
      </c>
      <c r="T42" s="57" t="str">
        <f aca="false">IF(2_Daily_input!T19="","",2_Daily_input!T19)</f>
        <v/>
      </c>
      <c r="U42" s="57" t="str">
        <f aca="false">IF(2_Daily_input!U19="","",2_Daily_input!U19)</f>
        <v/>
      </c>
      <c r="V42" s="57" t="str">
        <f aca="false">IF(2_Daily_input!V19="","",2_Daily_input!V19)</f>
        <v/>
      </c>
      <c r="W42" s="57" t="str">
        <f aca="false">IF(2_Daily_input!W19="","",2_Daily_input!W19)</f>
        <v/>
      </c>
      <c r="X42" s="57" t="str">
        <f aca="false">IF(2_Daily_input!X19="","",2_Daily_input!X19)</f>
        <v/>
      </c>
      <c r="Y42" s="57" t="str">
        <f aca="false">IF(2_Daily_input!Y19="","",2_Daily_input!Y19)</f>
        <v/>
      </c>
      <c r="Z42" s="57" t="str">
        <f aca="false">IF(2_Daily_input!Z19="","",2_Daily_input!Z19)</f>
        <v/>
      </c>
      <c r="AA42" s="57" t="str">
        <f aca="false">IF(2_Daily_input!AA19="","",2_Daily_input!AA19)</f>
        <v/>
      </c>
      <c r="AB42" s="57" t="str">
        <f aca="false">IF(2_Daily_input!AB19="","",2_Daily_input!AB19)</f>
        <v/>
      </c>
      <c r="AC42" s="57" t="str">
        <f aca="false">IF(2_Daily_input!AC19="","",2_Daily_input!AC19)</f>
        <v/>
      </c>
      <c r="AD42" s="57" t="str">
        <f aca="false">IF(2_Daily_input!AD19="","",2_Daily_input!AD19)</f>
        <v/>
      </c>
      <c r="AE42" s="57" t="str">
        <f aca="false">IF(2_Daily_input!AE19="","",2_Daily_input!AE19)</f>
        <v/>
      </c>
      <c r="AF42" s="57" t="str">
        <f aca="false">IF(2_Daily_input!AF19="","",2_Daily_input!AF19)</f>
        <v/>
      </c>
      <c r="AG42" s="57" t="str">
        <f aca="false">IF(2_Daily_input!AG19="","",2_Daily_input!AG19)</f>
        <v/>
      </c>
      <c r="AH42" s="57" t="str">
        <f aca="false">IF(2_Daily_input!AH19="","",2_Daily_input!AH19)</f>
        <v/>
      </c>
      <c r="AI42" s="57" t="str">
        <f aca="false">IF(2_Daily_input!AI19="","",2_Daily_input!AI19)</f>
        <v/>
      </c>
      <c r="AJ42" s="57" t="str">
        <f aca="false">IF(2_Daily_input!AJ19="","",2_Daily_input!AJ19)</f>
        <v/>
      </c>
      <c r="AK42" s="57" t="str">
        <f aca="false">IF(2_Daily_input!AK19="","",2_Daily_input!AK19)</f>
        <v/>
      </c>
      <c r="AL42" s="57" t="str">
        <f aca="false">IF(2_Daily_input!AL19="","",2_Daily_input!AL19)</f>
        <v/>
      </c>
      <c r="AM42" s="57" t="str">
        <f aca="false">IF(2_Daily_input!AM19="","",2_Daily_input!AM19)</f>
        <v/>
      </c>
      <c r="AN42" s="57" t="str">
        <f aca="false">IF(2_Daily_input!AN19="","",2_Daily_input!AN19)</f>
        <v/>
      </c>
      <c r="AO42" s="57" t="str">
        <f aca="false">IF(2_Daily_input!AO19="","",2_Daily_input!AO19)</f>
        <v/>
      </c>
      <c r="AP42" s="57" t="str">
        <f aca="false">IF(2_Daily_input!AP19="","",2_Daily_input!AP19)</f>
        <v/>
      </c>
      <c r="AQ42" s="57" t="str">
        <f aca="false">IF(2_Daily_input!AQ19="","",2_Daily_input!AQ19)</f>
        <v/>
      </c>
      <c r="AR42" s="57" t="str">
        <f aca="false">IF(2_Daily_input!AR19="","",2_Daily_input!AR19)</f>
        <v/>
      </c>
      <c r="AS42" s="57" t="str">
        <f aca="false">IF(2_Daily_input!AS19="","",2_Daily_input!AS19)</f>
        <v/>
      </c>
      <c r="AT42" s="57" t="str">
        <f aca="false">IF(2_Daily_input!AT19="","",2_Daily_input!AT19)</f>
        <v/>
      </c>
      <c r="AU42" s="57" t="str">
        <f aca="false">IF(2_Daily_input!AU19="","",2_Daily_input!AU19)</f>
        <v/>
      </c>
      <c r="AV42" s="57" t="str">
        <f aca="false">IF(2_Daily_input!AV19="","",2_Daily_input!AV19)</f>
        <v/>
      </c>
      <c r="AW42" s="57" t="str">
        <f aca="false">IF(2_Daily_input!AW19="","",2_Daily_input!AW19)</f>
        <v/>
      </c>
      <c r="AX42" s="57" t="str">
        <f aca="false">IF(2_Daily_input!AX19="","",2_Daily_input!AX19)</f>
        <v/>
      </c>
      <c r="AY42" s="57" t="str">
        <f aca="false">IF(2_Daily_input!AY19="","",2_Daily_input!AY19)</f>
        <v/>
      </c>
      <c r="AZ42" s="57" t="str">
        <f aca="false">IF(2_Daily_input!AZ19="","",2_Daily_input!AZ19)</f>
        <v/>
      </c>
      <c r="BA42" s="57" t="str">
        <f aca="false">IF(2_Daily_input!BA19="","",2_Daily_input!BA19)</f>
        <v/>
      </c>
      <c r="BB42" s="57" t="str">
        <f aca="false">IF(2_Daily_input!BB19="","",2_Daily_input!BB19)</f>
        <v/>
      </c>
      <c r="BC42" s="57" t="str">
        <f aca="false">IF(2_Daily_input!BC19="","",2_Daily_input!BC19)</f>
        <v/>
      </c>
      <c r="BD42" s="57" t="str">
        <f aca="false">IF(2_Daily_input!BD19="","",2_Daily_input!BD19)</f>
        <v/>
      </c>
      <c r="BE42" s="57" t="n">
        <f aca="false">IF(2_Daily_input!BE19="","",2_Daily_input!BE19)</f>
        <v>400.5</v>
      </c>
      <c r="BF42" s="57" t="str">
        <f aca="false">IF(2_Daily_input!BF19="","",2_Daily_input!BF19)</f>
        <v/>
      </c>
      <c r="BG42" s="57" t="n">
        <f aca="false">IF(2_Daily_input!BG19="","",2_Daily_input!BG19)</f>
        <v>402.4</v>
      </c>
      <c r="BH42" s="57" t="str">
        <f aca="false">IF(2_Daily_input!BH19="","",2_Daily_input!BH19)</f>
        <v/>
      </c>
      <c r="BI42" s="57" t="str">
        <f aca="false">IF(2_Daily_input!BI19="","",2_Daily_input!BI19)</f>
        <v/>
      </c>
      <c r="BJ42" s="57" t="str">
        <f aca="false">IF(2_Daily_input!BJ19="","",2_Daily_input!BJ19)</f>
        <v/>
      </c>
      <c r="BK42" s="57" t="n">
        <f aca="false">IF(2_Daily_input!BK19="","",2_Daily_input!BK19)</f>
        <v>402.3</v>
      </c>
      <c r="BL42" s="57" t="str">
        <f aca="false">IF(2_Daily_input!BL19="","",2_Daily_input!BL19)</f>
        <v/>
      </c>
      <c r="BM42" s="57" t="str">
        <f aca="false">IF(2_Daily_input!BM19="","",2_Daily_input!BM19)</f>
        <v/>
      </c>
      <c r="BN42" s="57" t="str">
        <f aca="false">IF(2_Daily_input!BN19="","",2_Daily_input!BN19)</f>
        <v/>
      </c>
      <c r="BO42" s="57" t="str">
        <f aca="false">IF(2_Daily_input!BO19="","",2_Daily_input!BO19)</f>
        <v/>
      </c>
      <c r="BP42" s="57" t="n">
        <f aca="false">IF(2_Daily_input!BP19="","",2_Daily_input!BP19)</f>
        <v>401.9</v>
      </c>
      <c r="BQ42" s="57" t="str">
        <f aca="false">IF(2_Daily_input!BQ19="","",2_Daily_input!BQ19)</f>
        <v/>
      </c>
      <c r="BR42" s="57" t="str">
        <f aca="false">IF(2_Daily_input!BR19="","",2_Daily_input!BR19)</f>
        <v/>
      </c>
      <c r="BS42" s="57" t="str">
        <f aca="false">IF(2_Daily_input!BS19="","",2_Daily_input!BS19)</f>
        <v/>
      </c>
      <c r="BT42" s="57" t="str">
        <f aca="false">IF(2_Daily_input!BT19="","",2_Daily_input!BT19)</f>
        <v/>
      </c>
      <c r="BU42" s="57" t="str">
        <f aca="false">IF(2_Daily_input!BU19="","",2_Daily_input!BU19)</f>
        <v/>
      </c>
      <c r="BV42" s="57" t="str">
        <f aca="false">IF(2_Daily_input!BV19="","",2_Daily_input!BV19)</f>
        <v/>
      </c>
      <c r="BW42" s="57" t="n">
        <f aca="false">IF(2_Daily_input!BW19="","",2_Daily_input!BW19)</f>
        <v>401.4</v>
      </c>
      <c r="BX42" s="57" t="str">
        <f aca="false">IF(2_Daily_input!BX19="","",2_Daily_input!BX19)</f>
        <v/>
      </c>
      <c r="BY42" s="57" t="str">
        <f aca="false">IF(2_Daily_input!BY19="","",2_Daily_input!BY19)</f>
        <v/>
      </c>
      <c r="BZ42" s="57" t="str">
        <f aca="false">IF(2_Daily_input!BZ19="","",2_Daily_input!BZ19)</f>
        <v/>
      </c>
      <c r="CA42" s="57" t="str">
        <f aca="false">IF(2_Daily_input!CA19="","",2_Daily_input!CA19)</f>
        <v/>
      </c>
      <c r="CB42" s="57" t="str">
        <f aca="false">IF(2_Daily_input!CB19="","",2_Daily_input!CB19)</f>
        <v/>
      </c>
      <c r="CC42" s="57" t="str">
        <f aca="false">IF(2_Daily_input!CC19="","",2_Daily_input!CC19)</f>
        <v/>
      </c>
      <c r="CD42" s="57" t="n">
        <f aca="false">IF(2_Daily_input!CD19="","",2_Daily_input!CD19)</f>
        <v>401.2</v>
      </c>
      <c r="CE42" s="57" t="str">
        <f aca="false">IF(2_Daily_input!CE19="","",2_Daily_input!CE19)</f>
        <v/>
      </c>
      <c r="CF42" s="57" t="str">
        <f aca="false">IF(2_Daily_input!CF19="","",2_Daily_input!CF19)</f>
        <v/>
      </c>
      <c r="CG42" s="57" t="str">
        <f aca="false">IF(2_Daily_input!CG19="","",2_Daily_input!CG19)</f>
        <v/>
      </c>
      <c r="CH42" s="57" t="n">
        <f aca="false">IF(2_Daily_input!CH19="","",2_Daily_input!CH19)</f>
        <v>402.9</v>
      </c>
      <c r="CI42" s="57" t="str">
        <f aca="false">IF(2_Daily_input!CI19="","",2_Daily_input!CI19)</f>
        <v/>
      </c>
      <c r="CJ42" s="57" t="str">
        <f aca="false">IF(2_Daily_input!CJ19="","",2_Daily_input!CJ19)</f>
        <v/>
      </c>
      <c r="CK42" s="57" t="str">
        <f aca="false">IF(2_Daily_input!CK19="","",2_Daily_input!CK19)</f>
        <v/>
      </c>
      <c r="CL42" s="57" t="str">
        <f aca="false">IF(2_Daily_input!CL19="","",2_Daily_input!CL19)</f>
        <v/>
      </c>
      <c r="CM42" s="57" t="str">
        <f aca="false">IF(2_Daily_input!CM19="","",2_Daily_input!CM19)</f>
        <v/>
      </c>
      <c r="CN42" s="57" t="str">
        <f aca="false">IF(2_Daily_input!CN19="","",2_Daily_input!CN19)</f>
        <v/>
      </c>
      <c r="CO42" s="57" t="str">
        <f aca="false">IF(2_Daily_input!CO19="","",2_Daily_input!CO19)</f>
        <v/>
      </c>
      <c r="CP42" s="57" t="str">
        <f aca="false">IF(2_Daily_input!CP19="","",2_Daily_input!CP19)</f>
        <v/>
      </c>
      <c r="CQ42" s="57" t="str">
        <f aca="false">IF(2_Daily_input!CQ19="","",2_Daily_input!CQ19)</f>
        <v/>
      </c>
      <c r="CR42" s="57" t="str">
        <f aca="false">IF(2_Daily_input!CR19="","",2_Daily_input!CR19)</f>
        <v/>
      </c>
      <c r="CS42" s="57" t="str">
        <f aca="false">IF(2_Daily_input!CS19="","",2_Daily_input!CS19)</f>
        <v/>
      </c>
      <c r="CT42" s="57" t="str">
        <f aca="false">IF(2_Daily_input!CT19="","",2_Daily_input!CT19)</f>
        <v/>
      </c>
      <c r="CU42" s="57" t="str">
        <f aca="false">IF(2_Daily_input!CU19="","",2_Daily_input!CU19)</f>
        <v/>
      </c>
      <c r="CV42" s="57" t="str">
        <f aca="false">IF(2_Daily_input!CV19="","",2_Daily_input!CV19)</f>
        <v/>
      </c>
      <c r="CW42" s="57" t="n">
        <f aca="false">IF(2_Daily_input!CW19="","",2_Daily_input!CW19)</f>
        <v>401</v>
      </c>
      <c r="CX42" s="57" t="str">
        <f aca="false">IF(2_Daily_input!CX19="","",2_Daily_input!CX19)</f>
        <v/>
      </c>
      <c r="CY42" s="57" t="str">
        <f aca="false">IF(2_Daily_input!CY19="","",2_Daily_input!CY19)</f>
        <v/>
      </c>
      <c r="CZ42" s="57" t="n">
        <f aca="false">IF(2_Daily_input!CZ19="","",2_Daily_input!CZ19)</f>
        <v>401.9</v>
      </c>
      <c r="DA42" s="57" t="str">
        <f aca="false">IF(2_Daily_input!DA19="","",2_Daily_input!DA19)</f>
        <v/>
      </c>
      <c r="DB42" s="57" t="str">
        <f aca="false">IF(2_Daily_input!DB19="","",2_Daily_input!DB19)</f>
        <v/>
      </c>
      <c r="DC42" s="57" t="n">
        <f aca="false">IF(2_Daily_input!DC19="","",2_Daily_input!DC19)</f>
        <v>402.6</v>
      </c>
      <c r="DD42" s="57" t="str">
        <f aca="false">IF(2_Daily_input!DD19="","",2_Daily_input!DD19)</f>
        <v/>
      </c>
      <c r="DE42" s="57" t="str">
        <f aca="false">IF(2_Daily_input!DE19="","",2_Daily_input!DE19)</f>
        <v/>
      </c>
      <c r="DF42" s="57" t="str">
        <f aca="false">IF(2_Daily_input!DF19="","",2_Daily_input!DF19)</f>
        <v/>
      </c>
      <c r="DG42" s="57" t="n">
        <f aca="false">IF(2_Daily_input!DG19="","",2_Daily_input!DG19)</f>
        <v>401.3</v>
      </c>
      <c r="DH42" s="57" t="str">
        <f aca="false">IF(2_Daily_input!DH19="","",2_Daily_input!DH19)</f>
        <v/>
      </c>
      <c r="DI42" s="57" t="str">
        <f aca="false">IF(2_Daily_input!DI19="","",2_Daily_input!DI19)</f>
        <v/>
      </c>
      <c r="DJ42" s="57" t="str">
        <f aca="false">IF(2_Daily_input!DJ19="","",2_Daily_input!DJ19)</f>
        <v/>
      </c>
      <c r="DK42" s="57" t="str">
        <f aca="false">IF(2_Daily_input!DK19="","",2_Daily_input!DK19)</f>
        <v/>
      </c>
      <c r="DL42" s="57" t="str">
        <f aca="false">IF(2_Daily_input!DL19="","",2_Daily_input!DL19)</f>
        <v/>
      </c>
      <c r="DM42" s="57" t="str">
        <f aca="false">IF(2_Daily_input!DM19="","",2_Daily_input!DM19)</f>
        <v/>
      </c>
      <c r="DN42" s="57" t="n">
        <f aca="false">IF(2_Daily_input!DN19="","",2_Daily_input!DN19)</f>
        <v>401.1</v>
      </c>
      <c r="DO42" s="57" t="str">
        <f aca="false">IF(2_Daily_input!DO19="","",2_Daily_input!DO19)</f>
        <v/>
      </c>
      <c r="DP42" s="57" t="str">
        <f aca="false">IF(2_Daily_input!DP19="","",2_Daily_input!DP19)</f>
        <v/>
      </c>
      <c r="DQ42" s="57" t="str">
        <f aca="false">IF(2_Daily_input!DQ19="","",2_Daily_input!DQ19)</f>
        <v/>
      </c>
      <c r="DR42" s="57" t="str">
        <f aca="false">IF(2_Daily_input!DR19="","",2_Daily_input!DR19)</f>
        <v/>
      </c>
      <c r="DS42" s="57" t="str">
        <f aca="false">IF(2_Daily_input!DS19="","",2_Daily_input!DS19)</f>
        <v/>
      </c>
      <c r="DT42" s="57" t="str">
        <f aca="false">IF(2_Daily_input!DT19="","",2_Daily_input!DT19)</f>
        <v/>
      </c>
      <c r="DU42" s="57" t="n">
        <f aca="false">IF(2_Daily_input!DU19="","",2_Daily_input!DU19)</f>
        <v>401.5</v>
      </c>
      <c r="DV42" s="57" t="str">
        <f aca="false">IF(2_Daily_input!DV19="","",2_Daily_input!DV19)</f>
        <v/>
      </c>
      <c r="DW42" s="57" t="str">
        <f aca="false">IF(2_Daily_input!DW19="","",2_Daily_input!DW19)</f>
        <v/>
      </c>
      <c r="DX42" s="57" t="str">
        <f aca="false">IF(2_Daily_input!DX19="","",2_Daily_input!DX19)</f>
        <v/>
      </c>
      <c r="DY42" s="57" t="str">
        <f aca="false">IF(2_Daily_input!DY19="","",2_Daily_input!DY19)</f>
        <v/>
      </c>
      <c r="DZ42" s="57" t="str">
        <f aca="false">IF(2_Daily_input!DZ19="","",2_Daily_input!DZ19)</f>
        <v/>
      </c>
      <c r="EA42" s="57" t="str">
        <f aca="false">IF(2_Daily_input!EA19="","",2_Daily_input!EA19)</f>
        <v/>
      </c>
      <c r="EB42" s="57" t="n">
        <f aca="false">IF(2_Daily_input!EB19="","",2_Daily_input!EB19)</f>
        <v>401.5</v>
      </c>
      <c r="EC42" s="57" t="str">
        <f aca="false">IF(2_Daily_input!EC19="","",2_Daily_input!EC19)</f>
        <v/>
      </c>
      <c r="ED42" s="57" t="str">
        <f aca="false">IF(2_Daily_input!ED19="","",2_Daily_input!ED19)</f>
        <v/>
      </c>
      <c r="EE42" s="57" t="str">
        <f aca="false">IF(2_Daily_input!EE19="","",2_Daily_input!EE19)</f>
        <v/>
      </c>
      <c r="EF42" s="57" t="str">
        <f aca="false">IF(2_Daily_input!EF19="","",2_Daily_input!EF19)</f>
        <v/>
      </c>
      <c r="EG42" s="57" t="str">
        <f aca="false">IF(2_Daily_input!EG19="","",2_Daily_input!EG19)</f>
        <v/>
      </c>
      <c r="EH42" s="57" t="str">
        <f aca="false">IF(2_Daily_input!EH19="","",2_Daily_input!EH19)</f>
        <v/>
      </c>
      <c r="EI42" s="57" t="str">
        <f aca="false">IF(2_Daily_input!EI19="","",2_Daily_input!EI19)</f>
        <v/>
      </c>
      <c r="EJ42" s="57" t="n">
        <f aca="false">IF(2_Daily_input!EJ19="","",2_Daily_input!EJ19)</f>
        <v>403.9</v>
      </c>
      <c r="EK42" s="57" t="str">
        <f aca="false">IF(2_Daily_input!EK19="","",2_Daily_input!EK19)</f>
        <v/>
      </c>
      <c r="EL42" s="57" t="str">
        <f aca="false">IF(2_Daily_input!EL19="","",2_Daily_input!EL19)</f>
        <v/>
      </c>
      <c r="EM42" s="57" t="str">
        <f aca="false">IF(2_Daily_input!EM19="","",2_Daily_input!EM19)</f>
        <v/>
      </c>
      <c r="EN42" s="57" t="str">
        <f aca="false">IF(2_Daily_input!EN19="","",2_Daily_input!EN19)</f>
        <v/>
      </c>
      <c r="EO42" s="57" t="str">
        <f aca="false">IF(2_Daily_input!EO19="","",2_Daily_input!EO19)</f>
        <v/>
      </c>
      <c r="EP42" s="57" t="str">
        <f aca="false">IF(2_Daily_input!EP19="","",2_Daily_input!EP19)</f>
        <v/>
      </c>
      <c r="EQ42" s="57" t="str">
        <f aca="false">IF(2_Daily_input!EQ19="","",2_Daily_input!EQ19)</f>
        <v/>
      </c>
      <c r="ER42" s="57" t="str">
        <f aca="false">IF(2_Daily_input!ER19="","",2_Daily_input!ER19)</f>
        <v/>
      </c>
      <c r="ES42" s="57" t="str">
        <f aca="false">IF(2_Daily_input!ES19="","",2_Daily_input!ES19)</f>
        <v/>
      </c>
      <c r="ET42" s="57" t="str">
        <f aca="false">IF(2_Daily_input!ET19="","",2_Daily_input!ET19)</f>
        <v/>
      </c>
      <c r="EU42" s="57" t="str">
        <f aca="false">IF(2_Daily_input!EU19="","",2_Daily_input!EU19)</f>
        <v/>
      </c>
      <c r="EV42" s="57" t="str">
        <f aca="false">IF(2_Daily_input!EV19="","",2_Daily_input!EV19)</f>
        <v/>
      </c>
      <c r="EW42" s="57" t="str">
        <f aca="false">IF(2_Daily_input!EW19="","",2_Daily_input!EW19)</f>
        <v/>
      </c>
      <c r="EX42" s="57" t="str">
        <f aca="false">IF(2_Daily_input!EX19="","",2_Daily_input!EX19)</f>
        <v/>
      </c>
      <c r="EY42" s="57" t="str">
        <f aca="false">IF(2_Daily_input!EY19="","",2_Daily_input!EY19)</f>
        <v/>
      </c>
      <c r="EZ42" s="57" t="str">
        <f aca="false">IF(2_Daily_input!EZ19="","",2_Daily_input!EZ19)</f>
        <v/>
      </c>
      <c r="FA42" s="57" t="str">
        <f aca="false">IF(2_Daily_input!FA19="","",2_Daily_input!FA19)</f>
        <v/>
      </c>
      <c r="FB42" s="57" t="str">
        <f aca="false">IF(2_Daily_input!FB19="","",2_Daily_input!FB19)</f>
        <v/>
      </c>
      <c r="FC42" s="57" t="str">
        <f aca="false">IF(2_Daily_input!FC19="","",2_Daily_input!FC19)</f>
        <v/>
      </c>
      <c r="FD42" s="57" t="str">
        <f aca="false">IF(2_Daily_input!FD19="","",2_Daily_input!FD19)</f>
        <v/>
      </c>
      <c r="FE42" s="57" t="str">
        <f aca="false">IF(2_Daily_input!FE19="","",2_Daily_input!FE19)</f>
        <v/>
      </c>
      <c r="FF42" s="57" t="str">
        <f aca="false">IF(2_Daily_input!FF19="","",2_Daily_input!FF19)</f>
        <v/>
      </c>
      <c r="FG42" s="57" t="str">
        <f aca="false">IF(2_Daily_input!FG19="","",2_Daily_input!FG19)</f>
        <v/>
      </c>
      <c r="FH42" s="57" t="str">
        <f aca="false">IF(2_Daily_input!FH19="","",2_Daily_input!FH19)</f>
        <v/>
      </c>
      <c r="FI42" s="57" t="str">
        <f aca="false">IF(2_Daily_input!FI19="","",2_Daily_input!FI19)</f>
        <v/>
      </c>
      <c r="FJ42" s="57" t="str">
        <f aca="false">IF(2_Daily_input!FJ19="","",2_Daily_input!FJ19)</f>
        <v/>
      </c>
      <c r="FK42" s="57" t="str">
        <f aca="false">IF(2_Daily_input!FK19="","",2_Daily_input!FK19)</f>
        <v/>
      </c>
      <c r="FL42" s="57" t="str">
        <f aca="false">IF(2_Daily_input!FL19="","",2_Daily_input!FL19)</f>
        <v/>
      </c>
      <c r="FM42" s="57" t="str">
        <f aca="false">IF(2_Daily_input!FM19="","",2_Daily_input!FM19)</f>
        <v/>
      </c>
      <c r="FN42" s="57" t="str">
        <f aca="false">IF(2_Daily_input!FN19="","",2_Daily_input!FN19)</f>
        <v/>
      </c>
      <c r="FO42" s="57" t="str">
        <f aca="false">IF(2_Daily_input!FO19="","",2_Daily_input!FO19)</f>
        <v/>
      </c>
      <c r="FP42" s="57" t="str">
        <f aca="false">IF(2_Daily_input!FP19="","",2_Daily_input!FP19)</f>
        <v/>
      </c>
      <c r="FQ42" s="57" t="str">
        <f aca="false">IF(2_Daily_input!FQ19="","",2_Daily_input!FQ19)</f>
        <v/>
      </c>
    </row>
    <row r="43" customFormat="false" ht="15" hidden="false" customHeight="false" outlineLevel="0" collapsed="false">
      <c r="A43" s="33" t="s">
        <v>83</v>
      </c>
      <c r="B43" s="20" t="s">
        <v>417</v>
      </c>
      <c r="D43" s="57" t="str">
        <f aca="false">IF(2_Daily_input!D20="","",2_Daily_input!D20)</f>
        <v/>
      </c>
      <c r="E43" s="57" t="str">
        <f aca="false">IF(2_Daily_input!E20="","",2_Daily_input!E20)</f>
        <v/>
      </c>
      <c r="F43" s="57" t="str">
        <f aca="false">IF(2_Daily_input!F20="","",2_Daily_input!F20)</f>
        <v/>
      </c>
      <c r="G43" s="57" t="str">
        <f aca="false">IF(2_Daily_input!G20="","",2_Daily_input!G20)</f>
        <v/>
      </c>
      <c r="H43" s="57" t="str">
        <f aca="false">IF(2_Daily_input!H20="","",2_Daily_input!H20)</f>
        <v/>
      </c>
      <c r="I43" s="57" t="str">
        <f aca="false">IF(2_Daily_input!I20="","",2_Daily_input!I20)</f>
        <v/>
      </c>
      <c r="J43" s="57" t="str">
        <f aca="false">IF(2_Daily_input!J20="","",2_Daily_input!J20)</f>
        <v/>
      </c>
      <c r="K43" s="57" t="str">
        <f aca="false">IF(2_Daily_input!K20="","",2_Daily_input!K20)</f>
        <v/>
      </c>
      <c r="L43" s="57" t="str">
        <f aca="false">IF(2_Daily_input!L20="","",2_Daily_input!L20)</f>
        <v/>
      </c>
      <c r="M43" s="57" t="str">
        <f aca="false">IF(2_Daily_input!M20="","",2_Daily_input!M20)</f>
        <v/>
      </c>
      <c r="N43" s="57" t="str">
        <f aca="false">IF(2_Daily_input!N20="","",2_Daily_input!N20)</f>
        <v/>
      </c>
      <c r="O43" s="57" t="str">
        <f aca="false">IF(2_Daily_input!O20="","",2_Daily_input!O20)</f>
        <v/>
      </c>
      <c r="P43" s="57" t="str">
        <f aca="false">IF(2_Daily_input!P20="","",2_Daily_input!P20)</f>
        <v/>
      </c>
      <c r="Q43" s="57" t="str">
        <f aca="false">IF(2_Daily_input!Q20="","",2_Daily_input!Q20)</f>
        <v/>
      </c>
      <c r="R43" s="57" t="str">
        <f aca="false">IF(2_Daily_input!R20="","",2_Daily_input!R20)</f>
        <v/>
      </c>
      <c r="S43" s="57" t="str">
        <f aca="false">IF(2_Daily_input!S20="","",2_Daily_input!S20)</f>
        <v/>
      </c>
      <c r="T43" s="57" t="str">
        <f aca="false">IF(2_Daily_input!T20="","",2_Daily_input!T20)</f>
        <v/>
      </c>
      <c r="U43" s="57" t="str">
        <f aca="false">IF(2_Daily_input!U20="","",2_Daily_input!U20)</f>
        <v/>
      </c>
      <c r="V43" s="57" t="str">
        <f aca="false">IF(2_Daily_input!V20="","",2_Daily_input!V20)</f>
        <v/>
      </c>
      <c r="W43" s="57" t="str">
        <f aca="false">IF(2_Daily_input!W20="","",2_Daily_input!W20)</f>
        <v/>
      </c>
      <c r="X43" s="57" t="str">
        <f aca="false">IF(2_Daily_input!X20="","",2_Daily_input!X20)</f>
        <v/>
      </c>
      <c r="Y43" s="57" t="str">
        <f aca="false">IF(2_Daily_input!Y20="","",2_Daily_input!Y20)</f>
        <v/>
      </c>
      <c r="Z43" s="57" t="str">
        <f aca="false">IF(2_Daily_input!Z20="","",2_Daily_input!Z20)</f>
        <v/>
      </c>
      <c r="AA43" s="57" t="str">
        <f aca="false">IF(2_Daily_input!AA20="","",2_Daily_input!AA20)</f>
        <v/>
      </c>
      <c r="AB43" s="57" t="str">
        <f aca="false">IF(2_Daily_input!AB20="","",2_Daily_input!AB20)</f>
        <v/>
      </c>
      <c r="AC43" s="57" t="str">
        <f aca="false">IF(2_Daily_input!AC20="","",2_Daily_input!AC20)</f>
        <v/>
      </c>
      <c r="AD43" s="57" t="str">
        <f aca="false">IF(2_Daily_input!AD20="","",2_Daily_input!AD20)</f>
        <v/>
      </c>
      <c r="AE43" s="57" t="str">
        <f aca="false">IF(2_Daily_input!AE20="","",2_Daily_input!AE20)</f>
        <v/>
      </c>
      <c r="AF43" s="57" t="str">
        <f aca="false">IF(2_Daily_input!AF20="","",2_Daily_input!AF20)</f>
        <v/>
      </c>
      <c r="AG43" s="57" t="str">
        <f aca="false">IF(2_Daily_input!AG20="","",2_Daily_input!AG20)</f>
        <v/>
      </c>
      <c r="AH43" s="57" t="str">
        <f aca="false">IF(2_Daily_input!AH20="","",2_Daily_input!AH20)</f>
        <v/>
      </c>
      <c r="AI43" s="57" t="str">
        <f aca="false">IF(2_Daily_input!AI20="","",2_Daily_input!AI20)</f>
        <v/>
      </c>
      <c r="AJ43" s="57" t="str">
        <f aca="false">IF(2_Daily_input!AJ20="","",2_Daily_input!AJ20)</f>
        <v/>
      </c>
      <c r="AK43" s="57" t="str">
        <f aca="false">IF(2_Daily_input!AK20="","",2_Daily_input!AK20)</f>
        <v/>
      </c>
      <c r="AL43" s="57" t="str">
        <f aca="false">IF(2_Daily_input!AL20="","",2_Daily_input!AL20)</f>
        <v/>
      </c>
      <c r="AM43" s="57" t="str">
        <f aca="false">IF(2_Daily_input!AM20="","",2_Daily_input!AM20)</f>
        <v/>
      </c>
      <c r="AN43" s="57" t="str">
        <f aca="false">IF(2_Daily_input!AN20="","",2_Daily_input!AN20)</f>
        <v/>
      </c>
      <c r="AO43" s="57" t="str">
        <f aca="false">IF(2_Daily_input!AO20="","",2_Daily_input!AO20)</f>
        <v/>
      </c>
      <c r="AP43" s="57" t="str">
        <f aca="false">IF(2_Daily_input!AP20="","",2_Daily_input!AP20)</f>
        <v/>
      </c>
      <c r="AQ43" s="57" t="str">
        <f aca="false">IF(2_Daily_input!AQ20="","",2_Daily_input!AQ20)</f>
        <v/>
      </c>
      <c r="AR43" s="57" t="str">
        <f aca="false">IF(2_Daily_input!AR20="","",2_Daily_input!AR20)</f>
        <v/>
      </c>
      <c r="AS43" s="57" t="str">
        <f aca="false">IF(2_Daily_input!AS20="","",2_Daily_input!AS20)</f>
        <v/>
      </c>
      <c r="AT43" s="57" t="str">
        <f aca="false">IF(2_Daily_input!AT20="","",2_Daily_input!AT20)</f>
        <v/>
      </c>
      <c r="AU43" s="57" t="str">
        <f aca="false">IF(2_Daily_input!AU20="","",2_Daily_input!AU20)</f>
        <v/>
      </c>
      <c r="AV43" s="57" t="str">
        <f aca="false">IF(2_Daily_input!AV20="","",2_Daily_input!AV20)</f>
        <v/>
      </c>
      <c r="AW43" s="57" t="str">
        <f aca="false">IF(2_Daily_input!AW20="","",2_Daily_input!AW20)</f>
        <v/>
      </c>
      <c r="AX43" s="57" t="str">
        <f aca="false">IF(2_Daily_input!AX20="","",2_Daily_input!AX20)</f>
        <v/>
      </c>
      <c r="AY43" s="57" t="str">
        <f aca="false">IF(2_Daily_input!AY20="","",2_Daily_input!AY20)</f>
        <v/>
      </c>
      <c r="AZ43" s="57" t="str">
        <f aca="false">IF(2_Daily_input!AZ20="","",2_Daily_input!AZ20)</f>
        <v/>
      </c>
      <c r="BA43" s="57" t="str">
        <f aca="false">IF(2_Daily_input!BA20="","",2_Daily_input!BA20)</f>
        <v/>
      </c>
      <c r="BB43" s="57" t="str">
        <f aca="false">IF(2_Daily_input!BB20="","",2_Daily_input!BB20)</f>
        <v/>
      </c>
      <c r="BC43" s="57" t="str">
        <f aca="false">IF(2_Daily_input!BC20="","",2_Daily_input!BC20)</f>
        <v/>
      </c>
      <c r="BD43" s="57" t="str">
        <f aca="false">IF(2_Daily_input!BD20="","",2_Daily_input!BD20)</f>
        <v/>
      </c>
      <c r="BE43" s="57" t="str">
        <f aca="false">IF(2_Daily_input!BE20="","",2_Daily_input!BE20)</f>
        <v>15:00</v>
      </c>
      <c r="BF43" s="57" t="str">
        <f aca="false">IF(2_Daily_input!BF20="","",2_Daily_input!BF20)</f>
        <v/>
      </c>
      <c r="BG43" s="57" t="str">
        <f aca="false">IF(2_Daily_input!BG20="","",2_Daily_input!BG20)</f>
        <v>40:00</v>
      </c>
      <c r="BH43" s="57" t="str">
        <f aca="false">IF(2_Daily_input!BH20="","",2_Daily_input!BH20)</f>
        <v/>
      </c>
      <c r="BI43" s="57" t="str">
        <f aca="false">IF(2_Daily_input!BI20="","",2_Daily_input!BI20)</f>
        <v/>
      </c>
      <c r="BJ43" s="57" t="str">
        <f aca="false">IF(2_Daily_input!BJ20="","",2_Daily_input!BJ20)</f>
        <v/>
      </c>
      <c r="BK43" s="57" t="str">
        <f aca="false">IF(2_Daily_input!BK20="","",2_Daily_input!BK20)</f>
        <v>40:00</v>
      </c>
      <c r="BL43" s="57" t="str">
        <f aca="false">IF(2_Daily_input!BL20="","",2_Daily_input!BL20)</f>
        <v/>
      </c>
      <c r="BM43" s="57" t="str">
        <f aca="false">IF(2_Daily_input!BM20="","",2_Daily_input!BM20)</f>
        <v/>
      </c>
      <c r="BN43" s="57" t="str">
        <f aca="false">IF(2_Daily_input!BN20="","",2_Daily_input!BN20)</f>
        <v/>
      </c>
      <c r="BO43" s="57" t="str">
        <f aca="false">IF(2_Daily_input!BO20="","",2_Daily_input!BO20)</f>
        <v/>
      </c>
      <c r="BP43" s="57" t="str">
        <f aca="false">IF(2_Daily_input!BP20="","",2_Daily_input!BP20)</f>
        <v>30:00</v>
      </c>
      <c r="BQ43" s="57" t="str">
        <f aca="false">IF(2_Daily_input!BQ20="","",2_Daily_input!BQ20)</f>
        <v/>
      </c>
      <c r="BR43" s="57" t="str">
        <f aca="false">IF(2_Daily_input!BR20="","",2_Daily_input!BR20)</f>
        <v/>
      </c>
      <c r="BS43" s="57" t="str">
        <f aca="false">IF(2_Daily_input!BS20="","",2_Daily_input!BS20)</f>
        <v/>
      </c>
      <c r="BT43" s="57" t="str">
        <f aca="false">IF(2_Daily_input!BT20="","",2_Daily_input!BT20)</f>
        <v/>
      </c>
      <c r="BU43" s="57" t="str">
        <f aca="false">IF(2_Daily_input!BU20="","",2_Daily_input!BU20)</f>
        <v/>
      </c>
      <c r="BV43" s="57" t="str">
        <f aca="false">IF(2_Daily_input!BV20="","",2_Daily_input!BV20)</f>
        <v/>
      </c>
      <c r="BW43" s="57" t="str">
        <f aca="false">IF(2_Daily_input!BW20="","",2_Daily_input!BW20)</f>
        <v>20:00</v>
      </c>
      <c r="BX43" s="57" t="str">
        <f aca="false">IF(2_Daily_input!BX20="","",2_Daily_input!BX20)</f>
        <v/>
      </c>
      <c r="BY43" s="57" t="str">
        <f aca="false">IF(2_Daily_input!BY20="","",2_Daily_input!BY20)</f>
        <v/>
      </c>
      <c r="BZ43" s="57" t="str">
        <f aca="false">IF(2_Daily_input!BZ20="","",2_Daily_input!BZ20)</f>
        <v/>
      </c>
      <c r="CA43" s="57" t="str">
        <f aca="false">IF(2_Daily_input!CA20="","",2_Daily_input!CA20)</f>
        <v/>
      </c>
      <c r="CB43" s="57" t="str">
        <f aca="false">IF(2_Daily_input!CB20="","",2_Daily_input!CB20)</f>
        <v/>
      </c>
      <c r="CC43" s="57" t="str">
        <f aca="false">IF(2_Daily_input!CC20="","",2_Daily_input!CC20)</f>
        <v/>
      </c>
      <c r="CD43" s="57" t="str">
        <f aca="false">IF(2_Daily_input!CD20="","",2_Daily_input!CD20)</f>
        <v>25:00</v>
      </c>
      <c r="CE43" s="57" t="str">
        <f aca="false">IF(2_Daily_input!CE20="","",2_Daily_input!CE20)</f>
        <v/>
      </c>
      <c r="CF43" s="57" t="str">
        <f aca="false">IF(2_Daily_input!CF20="","",2_Daily_input!CF20)</f>
        <v/>
      </c>
      <c r="CG43" s="57" t="str">
        <f aca="false">IF(2_Daily_input!CG20="","",2_Daily_input!CG20)</f>
        <v/>
      </c>
      <c r="CH43" s="57" t="str">
        <f aca="false">IF(2_Daily_input!CH20="","",2_Daily_input!CH20)</f>
        <v>40:00</v>
      </c>
      <c r="CI43" s="57" t="str">
        <f aca="false">IF(2_Daily_input!CI20="","",2_Daily_input!CI20)</f>
        <v/>
      </c>
      <c r="CJ43" s="57" t="str">
        <f aca="false">IF(2_Daily_input!CJ20="","",2_Daily_input!CJ20)</f>
        <v/>
      </c>
      <c r="CK43" s="57" t="str">
        <f aca="false">IF(2_Daily_input!CK20="","",2_Daily_input!CK20)</f>
        <v/>
      </c>
      <c r="CL43" s="57" t="str">
        <f aca="false">IF(2_Daily_input!CL20="","",2_Daily_input!CL20)</f>
        <v/>
      </c>
      <c r="CM43" s="57" t="str">
        <f aca="false">IF(2_Daily_input!CM20="","",2_Daily_input!CM20)</f>
        <v/>
      </c>
      <c r="CN43" s="57" t="str">
        <f aca="false">IF(2_Daily_input!CN20="","",2_Daily_input!CN20)</f>
        <v/>
      </c>
      <c r="CO43" s="57" t="str">
        <f aca="false">IF(2_Daily_input!CO20="","",2_Daily_input!CO20)</f>
        <v/>
      </c>
      <c r="CP43" s="57" t="str">
        <f aca="false">IF(2_Daily_input!CP20="","",2_Daily_input!CP20)</f>
        <v/>
      </c>
      <c r="CQ43" s="57" t="str">
        <f aca="false">IF(2_Daily_input!CQ20="","",2_Daily_input!CQ20)</f>
        <v/>
      </c>
      <c r="CR43" s="57" t="str">
        <f aca="false">IF(2_Daily_input!CR20="","",2_Daily_input!CR20)</f>
        <v/>
      </c>
      <c r="CS43" s="57" t="str">
        <f aca="false">IF(2_Daily_input!CS20="","",2_Daily_input!CS20)</f>
        <v/>
      </c>
      <c r="CT43" s="57" t="str">
        <f aca="false">IF(2_Daily_input!CT20="","",2_Daily_input!CT20)</f>
        <v/>
      </c>
      <c r="CU43" s="57" t="str">
        <f aca="false">IF(2_Daily_input!CU20="","",2_Daily_input!CU20)</f>
        <v/>
      </c>
      <c r="CV43" s="57" t="str">
        <f aca="false">IF(2_Daily_input!CV20="","",2_Daily_input!CV20)</f>
        <v/>
      </c>
      <c r="CW43" s="57" t="str">
        <f aca="false">IF(2_Daily_input!CW20="","",2_Daily_input!CW20)</f>
        <v>30:00</v>
      </c>
      <c r="CX43" s="57" t="str">
        <f aca="false">IF(2_Daily_input!CX20="","",2_Daily_input!CX20)</f>
        <v/>
      </c>
      <c r="CY43" s="57" t="str">
        <f aca="false">IF(2_Daily_input!CY20="","",2_Daily_input!CY20)</f>
        <v/>
      </c>
      <c r="CZ43" s="57" t="str">
        <f aca="false">IF(2_Daily_input!CZ20="","",2_Daily_input!CZ20)</f>
        <v>30:00</v>
      </c>
      <c r="DA43" s="57" t="str">
        <f aca="false">IF(2_Daily_input!DA20="","",2_Daily_input!DA20)</f>
        <v/>
      </c>
      <c r="DB43" s="57" t="str">
        <f aca="false">IF(2_Daily_input!DB20="","",2_Daily_input!DB20)</f>
        <v/>
      </c>
      <c r="DC43" s="57" t="str">
        <f aca="false">IF(2_Daily_input!DC20="","",2_Daily_input!DC20)</f>
        <v>40:00</v>
      </c>
      <c r="DD43" s="57" t="str">
        <f aca="false">IF(2_Daily_input!DD20="","",2_Daily_input!DD20)</f>
        <v/>
      </c>
      <c r="DE43" s="57" t="str">
        <f aca="false">IF(2_Daily_input!DE20="","",2_Daily_input!DE20)</f>
        <v/>
      </c>
      <c r="DF43" s="57" t="str">
        <f aca="false">IF(2_Daily_input!DF20="","",2_Daily_input!DF20)</f>
        <v/>
      </c>
      <c r="DG43" s="57" t="str">
        <f aca="false">IF(2_Daily_input!DG20="","",2_Daily_input!DG20)</f>
        <v>20:00</v>
      </c>
      <c r="DH43" s="57" t="str">
        <f aca="false">IF(2_Daily_input!DH20="","",2_Daily_input!DH20)</f>
        <v/>
      </c>
      <c r="DI43" s="57" t="str">
        <f aca="false">IF(2_Daily_input!DI20="","",2_Daily_input!DI20)</f>
        <v/>
      </c>
      <c r="DJ43" s="57" t="str">
        <f aca="false">IF(2_Daily_input!DJ20="","",2_Daily_input!DJ20)</f>
        <v/>
      </c>
      <c r="DK43" s="57" t="str">
        <f aca="false">IF(2_Daily_input!DK20="","",2_Daily_input!DK20)</f>
        <v/>
      </c>
      <c r="DL43" s="57" t="str">
        <f aca="false">IF(2_Daily_input!DL20="","",2_Daily_input!DL20)</f>
        <v/>
      </c>
      <c r="DM43" s="57" t="str">
        <f aca="false">IF(2_Daily_input!DM20="","",2_Daily_input!DM20)</f>
        <v/>
      </c>
      <c r="DN43" s="57" t="str">
        <f aca="false">IF(2_Daily_input!DN20="","",2_Daily_input!DN20)</f>
        <v>20:00</v>
      </c>
      <c r="DO43" s="57" t="str">
        <f aca="false">IF(2_Daily_input!DO20="","",2_Daily_input!DO20)</f>
        <v/>
      </c>
      <c r="DP43" s="57" t="str">
        <f aca="false">IF(2_Daily_input!DP20="","",2_Daily_input!DP20)</f>
        <v/>
      </c>
      <c r="DQ43" s="57" t="str">
        <f aca="false">IF(2_Daily_input!DQ20="","",2_Daily_input!DQ20)</f>
        <v/>
      </c>
      <c r="DR43" s="57" t="str">
        <f aca="false">IF(2_Daily_input!DR20="","",2_Daily_input!DR20)</f>
        <v/>
      </c>
      <c r="DS43" s="57" t="str">
        <f aca="false">IF(2_Daily_input!DS20="","",2_Daily_input!DS20)</f>
        <v/>
      </c>
      <c r="DT43" s="57" t="str">
        <f aca="false">IF(2_Daily_input!DT20="","",2_Daily_input!DT20)</f>
        <v/>
      </c>
      <c r="DU43" s="57" t="str">
        <f aca="false">IF(2_Daily_input!DU20="","",2_Daily_input!DU20)</f>
        <v>30:00</v>
      </c>
      <c r="DV43" s="57" t="str">
        <f aca="false">IF(2_Daily_input!DV20="","",2_Daily_input!DV20)</f>
        <v/>
      </c>
      <c r="DW43" s="57" t="str">
        <f aca="false">IF(2_Daily_input!DW20="","",2_Daily_input!DW20)</f>
        <v/>
      </c>
      <c r="DX43" s="57" t="str">
        <f aca="false">IF(2_Daily_input!DX20="","",2_Daily_input!DX20)</f>
        <v/>
      </c>
      <c r="DY43" s="57" t="str">
        <f aca="false">IF(2_Daily_input!DY20="","",2_Daily_input!DY20)</f>
        <v/>
      </c>
      <c r="DZ43" s="57" t="str">
        <f aca="false">IF(2_Daily_input!DZ20="","",2_Daily_input!DZ20)</f>
        <v/>
      </c>
      <c r="EA43" s="57" t="str">
        <f aca="false">IF(2_Daily_input!EA20="","",2_Daily_input!EA20)</f>
        <v/>
      </c>
      <c r="EB43" s="57" t="str">
        <f aca="false">IF(2_Daily_input!EB20="","",2_Daily_input!EB20)</f>
        <v>30:00</v>
      </c>
      <c r="EC43" s="57" t="str">
        <f aca="false">IF(2_Daily_input!EC20="","",2_Daily_input!EC20)</f>
        <v/>
      </c>
      <c r="ED43" s="57" t="str">
        <f aca="false">IF(2_Daily_input!ED20="","",2_Daily_input!ED20)</f>
        <v/>
      </c>
      <c r="EE43" s="57" t="str">
        <f aca="false">IF(2_Daily_input!EE20="","",2_Daily_input!EE20)</f>
        <v/>
      </c>
      <c r="EF43" s="57" t="str">
        <f aca="false">IF(2_Daily_input!EF20="","",2_Daily_input!EF20)</f>
        <v/>
      </c>
      <c r="EG43" s="57" t="str">
        <f aca="false">IF(2_Daily_input!EG20="","",2_Daily_input!EG20)</f>
        <v/>
      </c>
      <c r="EH43" s="57" t="str">
        <f aca="false">IF(2_Daily_input!EH20="","",2_Daily_input!EH20)</f>
        <v/>
      </c>
      <c r="EI43" s="57" t="str">
        <f aca="false">IF(2_Daily_input!EI20="","",2_Daily_input!EI20)</f>
        <v/>
      </c>
      <c r="EJ43" s="57" t="str">
        <f aca="false">IF(2_Daily_input!EJ20="","",2_Daily_input!EJ20)</f>
        <v>35:00</v>
      </c>
      <c r="EK43" s="57" t="str">
        <f aca="false">IF(2_Daily_input!EK20="","",2_Daily_input!EK20)</f>
        <v/>
      </c>
      <c r="EL43" s="57" t="str">
        <f aca="false">IF(2_Daily_input!EL20="","",2_Daily_input!EL20)</f>
        <v/>
      </c>
      <c r="EM43" s="57" t="str">
        <f aca="false">IF(2_Daily_input!EM20="","",2_Daily_input!EM20)</f>
        <v/>
      </c>
      <c r="EN43" s="57" t="str">
        <f aca="false">IF(2_Daily_input!EN20="","",2_Daily_input!EN20)</f>
        <v/>
      </c>
      <c r="EO43" s="57" t="str">
        <f aca="false">IF(2_Daily_input!EO20="","",2_Daily_input!EO20)</f>
        <v/>
      </c>
      <c r="EP43" s="57" t="str">
        <f aca="false">IF(2_Daily_input!EP20="","",2_Daily_input!EP20)</f>
        <v/>
      </c>
      <c r="EQ43" s="57" t="str">
        <f aca="false">IF(2_Daily_input!EQ20="","",2_Daily_input!EQ20)</f>
        <v/>
      </c>
      <c r="ER43" s="57" t="str">
        <f aca="false">IF(2_Daily_input!ER20="","",2_Daily_input!ER20)</f>
        <v/>
      </c>
      <c r="ES43" s="57" t="str">
        <f aca="false">IF(2_Daily_input!ES20="","",2_Daily_input!ES20)</f>
        <v/>
      </c>
      <c r="ET43" s="57" t="str">
        <f aca="false">IF(2_Daily_input!ET20="","",2_Daily_input!ET20)</f>
        <v/>
      </c>
      <c r="EU43" s="57" t="str">
        <f aca="false">IF(2_Daily_input!EU20="","",2_Daily_input!EU20)</f>
        <v/>
      </c>
      <c r="EV43" s="57" t="str">
        <f aca="false">IF(2_Daily_input!EV20="","",2_Daily_input!EV20)</f>
        <v/>
      </c>
      <c r="EW43" s="57" t="str">
        <f aca="false">IF(2_Daily_input!EW20="","",2_Daily_input!EW20)</f>
        <v/>
      </c>
      <c r="EX43" s="57" t="str">
        <f aca="false">IF(2_Daily_input!EX20="","",2_Daily_input!EX20)</f>
        <v/>
      </c>
      <c r="EY43" s="57" t="str">
        <f aca="false">IF(2_Daily_input!EY20="","",2_Daily_input!EY20)</f>
        <v/>
      </c>
      <c r="EZ43" s="57" t="str">
        <f aca="false">IF(2_Daily_input!EZ20="","",2_Daily_input!EZ20)</f>
        <v/>
      </c>
      <c r="FA43" s="57" t="str">
        <f aca="false">IF(2_Daily_input!FA20="","",2_Daily_input!FA20)</f>
        <v/>
      </c>
      <c r="FB43" s="57" t="str">
        <f aca="false">IF(2_Daily_input!FB20="","",2_Daily_input!FB20)</f>
        <v/>
      </c>
      <c r="FC43" s="57" t="str">
        <f aca="false">IF(2_Daily_input!FC20="","",2_Daily_input!FC20)</f>
        <v/>
      </c>
      <c r="FD43" s="57" t="str">
        <f aca="false">IF(2_Daily_input!FD20="","",2_Daily_input!FD20)</f>
        <v/>
      </c>
      <c r="FE43" s="57" t="str">
        <f aca="false">IF(2_Daily_input!FE20="","",2_Daily_input!FE20)</f>
        <v/>
      </c>
      <c r="FF43" s="57" t="str">
        <f aca="false">IF(2_Daily_input!FF20="","",2_Daily_input!FF20)</f>
        <v/>
      </c>
      <c r="FG43" s="57" t="str">
        <f aca="false">IF(2_Daily_input!FG20="","",2_Daily_input!FG20)</f>
        <v/>
      </c>
      <c r="FH43" s="57" t="str">
        <f aca="false">IF(2_Daily_input!FH20="","",2_Daily_input!FH20)</f>
        <v/>
      </c>
      <c r="FI43" s="57" t="str">
        <f aca="false">IF(2_Daily_input!FI20="","",2_Daily_input!FI20)</f>
        <v/>
      </c>
      <c r="FJ43" s="57" t="str">
        <f aca="false">IF(2_Daily_input!FJ20="","",2_Daily_input!FJ20)</f>
        <v/>
      </c>
      <c r="FK43" s="57" t="str">
        <f aca="false">IF(2_Daily_input!FK20="","",2_Daily_input!FK20)</f>
        <v/>
      </c>
      <c r="FL43" s="57" t="str">
        <f aca="false">IF(2_Daily_input!FL20="","",2_Daily_input!FL20)</f>
        <v/>
      </c>
      <c r="FM43" s="57" t="str">
        <f aca="false">IF(2_Daily_input!FM20="","",2_Daily_input!FM20)</f>
        <v/>
      </c>
      <c r="FN43" s="57" t="str">
        <f aca="false">IF(2_Daily_input!FN20="","",2_Daily_input!FN20)</f>
        <v/>
      </c>
      <c r="FO43" s="57" t="str">
        <f aca="false">IF(2_Daily_input!FO20="","",2_Daily_input!FO20)</f>
        <v/>
      </c>
      <c r="FP43" s="57" t="str">
        <f aca="false">IF(2_Daily_input!FP20="","",2_Daily_input!FP20)</f>
        <v/>
      </c>
      <c r="FQ43" s="57" t="str">
        <f aca="false">IF(2_Daily_input!FQ20="","",2_Daily_input!FQ20)</f>
        <v/>
      </c>
    </row>
    <row r="44" customFormat="false" ht="15" hidden="false" customHeight="false" outlineLevel="0" collapsed="false">
      <c r="A44" s="33" t="s">
        <v>83</v>
      </c>
      <c r="B44" s="20" t="s">
        <v>418</v>
      </c>
      <c r="D44" s="50" t="str">
        <f aca="false">IF(AND(ISNUMBER(D41),ISNUMBER(D42),D39&lt;&gt;""),ROUND(D41-D39+D40,1),"")</f>
        <v/>
      </c>
      <c r="E44" s="50" t="str">
        <f aca="false">IF(AND(ISNUMBER(E41),ISNUMBER(E42),E39&lt;&gt;""),ROUND(E41-E39+E40,1),"")</f>
        <v/>
      </c>
      <c r="F44" s="50" t="str">
        <f aca="false">IF(AND(ISNUMBER(F41),ISNUMBER(F42),F39&lt;&gt;""),ROUND(F41-F39+F40,1),"")</f>
        <v/>
      </c>
      <c r="G44" s="50" t="str">
        <f aca="false">IF(AND(ISNUMBER(G41),ISNUMBER(G42),G39&lt;&gt;""),ROUND(G41-G39+G40,1),"")</f>
        <v/>
      </c>
      <c r="H44" s="50" t="str">
        <f aca="false">IF(AND(ISNUMBER(H41),ISNUMBER(H42),H39&lt;&gt;""),ROUND(H41-H39+H40,1),"")</f>
        <v/>
      </c>
      <c r="I44" s="50" t="str">
        <f aca="false">IF(AND(ISNUMBER(I41),ISNUMBER(I42),I39&lt;&gt;""),ROUND(I41-I39+I40,1),"")</f>
        <v/>
      </c>
      <c r="J44" s="50" t="str">
        <f aca="false">IF(AND(ISNUMBER(J41),ISNUMBER(J42),J39&lt;&gt;""),ROUND(J41-J39+J40,1),"")</f>
        <v/>
      </c>
      <c r="K44" s="50" t="str">
        <f aca="false">IF(AND(ISNUMBER(K41),ISNUMBER(K42),K39&lt;&gt;""),ROUND(K41-K39+K40,1),"")</f>
        <v/>
      </c>
      <c r="L44" s="50" t="str">
        <f aca="false">IF(AND(ISNUMBER(L41),ISNUMBER(L42),L39&lt;&gt;""),ROUND(L41-L39+L40,1),"")</f>
        <v/>
      </c>
      <c r="M44" s="50" t="str">
        <f aca="false">IF(AND(ISNUMBER(M41),ISNUMBER(M42),M39&lt;&gt;""),ROUND(M41-M39+M40,1),"")</f>
        <v/>
      </c>
      <c r="N44" s="50" t="str">
        <f aca="false">IF(AND(ISNUMBER(N41),ISNUMBER(N42),N39&lt;&gt;""),ROUND(N41-N39+N40,1),"")</f>
        <v/>
      </c>
      <c r="O44" s="50" t="str">
        <f aca="false">IF(AND(ISNUMBER(O41),ISNUMBER(O42),O39&lt;&gt;""),ROUND(O41-O39+O40,1),"")</f>
        <v/>
      </c>
      <c r="P44" s="50" t="str">
        <f aca="false">IF(AND(ISNUMBER(P41),ISNUMBER(P42),P39&lt;&gt;""),ROUND(P41-P39+P40,1),"")</f>
        <v/>
      </c>
      <c r="Q44" s="50" t="str">
        <f aca="false">IF(AND(ISNUMBER(Q41),ISNUMBER(Q42),Q39&lt;&gt;""),ROUND(Q41-Q39+Q40,1),"")</f>
        <v/>
      </c>
      <c r="R44" s="50" t="str">
        <f aca="false">IF(AND(ISNUMBER(R41),ISNUMBER(R42),R39&lt;&gt;""),ROUND(R41-R39+R40,1),"")</f>
        <v/>
      </c>
      <c r="S44" s="50" t="str">
        <f aca="false">IF(AND(ISNUMBER(S41),ISNUMBER(S42),S39&lt;&gt;""),ROUND(S41-S39+S40,1),"")</f>
        <v/>
      </c>
      <c r="T44" s="50" t="str">
        <f aca="false">IF(AND(ISNUMBER(T41),ISNUMBER(T42),T39&lt;&gt;""),ROUND(T41-T39+T40,1),"")</f>
        <v/>
      </c>
      <c r="U44" s="50" t="str">
        <f aca="false">IF(AND(ISNUMBER(U41),ISNUMBER(U42),U39&lt;&gt;""),ROUND(U41-U39+U40,1),"")</f>
        <v/>
      </c>
      <c r="V44" s="50" t="str">
        <f aca="false">IF(AND(ISNUMBER(V41),ISNUMBER(V42),V39&lt;&gt;""),ROUND(V41-V39+V40,1),"")</f>
        <v/>
      </c>
      <c r="W44" s="50" t="str">
        <f aca="false">IF(AND(ISNUMBER(W41),ISNUMBER(W42),W39&lt;&gt;""),ROUND(W41-W39+W40,1),"")</f>
        <v/>
      </c>
      <c r="X44" s="50" t="str">
        <f aca="false">IF(AND(ISNUMBER(X41),ISNUMBER(X42),X39&lt;&gt;""),ROUND(X41-X39+X40,1),"")</f>
        <v/>
      </c>
      <c r="Y44" s="50" t="str">
        <f aca="false">IF(AND(ISNUMBER(Y41),ISNUMBER(Y42),Y39&lt;&gt;""),ROUND(Y41-Y39+Y40,1),"")</f>
        <v/>
      </c>
      <c r="Z44" s="50" t="str">
        <f aca="false">IF(AND(ISNUMBER(Z41),ISNUMBER(Z42),Z39&lt;&gt;""),ROUND(Z41-Z39+Z40,1),"")</f>
        <v/>
      </c>
      <c r="AA44" s="50" t="str">
        <f aca="false">IF(AND(ISNUMBER(AA41),ISNUMBER(AA42),AA39&lt;&gt;""),ROUND(AA41-AA39+AA40,1),"")</f>
        <v/>
      </c>
      <c r="AB44" s="50" t="str">
        <f aca="false">IF(AND(ISNUMBER(AB41),ISNUMBER(AB42),AB39&lt;&gt;""),ROUND(AB41-AB39+AB40,1),"")</f>
        <v/>
      </c>
      <c r="AC44" s="50" t="str">
        <f aca="false">IF(AND(ISNUMBER(AC41),ISNUMBER(AC42),AC39&lt;&gt;""),ROUND(AC41-AC39+AC40,1),"")</f>
        <v/>
      </c>
      <c r="AD44" s="50" t="str">
        <f aca="false">IF(AND(ISNUMBER(AD41),ISNUMBER(AD42),AD39&lt;&gt;""),ROUND(AD41-AD39+AD40,1),"")</f>
        <v/>
      </c>
      <c r="AE44" s="50" t="str">
        <f aca="false">IF(AND(ISNUMBER(AE41),ISNUMBER(AE42),AE39&lt;&gt;""),ROUND(AE41-AE39+AE40,1),"")</f>
        <v/>
      </c>
      <c r="AF44" s="50" t="str">
        <f aca="false">IF(AND(ISNUMBER(AF41),ISNUMBER(AF42),AF39&lt;&gt;""),ROUND(AF41-AF39+AF40,1),"")</f>
        <v/>
      </c>
      <c r="AG44" s="50" t="str">
        <f aca="false">IF(AND(ISNUMBER(AG41),ISNUMBER(AG42),AG39&lt;&gt;""),ROUND(AG41-AG39+AG40,1),"")</f>
        <v/>
      </c>
      <c r="AH44" s="50" t="str">
        <f aca="false">IF(AND(ISNUMBER(AH41),ISNUMBER(AH42),AH39&lt;&gt;""),ROUND(AH41-AH39+AH40,1),"")</f>
        <v/>
      </c>
      <c r="AI44" s="50" t="str">
        <f aca="false">IF(AND(ISNUMBER(AI41),ISNUMBER(AI42),AI39&lt;&gt;""),ROUND(AI41-AI39+AI40,1),"")</f>
        <v/>
      </c>
      <c r="AJ44" s="50" t="str">
        <f aca="false">IF(AND(ISNUMBER(AJ41),ISNUMBER(AJ42),AJ39&lt;&gt;""),ROUND(AJ41-AJ39+AJ40,1),"")</f>
        <v/>
      </c>
      <c r="AK44" s="50" t="str">
        <f aca="false">IF(AND(ISNUMBER(AK41),ISNUMBER(AK42),AK39&lt;&gt;""),ROUND(AK41-AK39+AK40,1),"")</f>
        <v/>
      </c>
      <c r="AL44" s="50" t="str">
        <f aca="false">IF(AND(ISNUMBER(AL41),ISNUMBER(AL42),AL39&lt;&gt;""),ROUND(AL41-AL39+AL40,1),"")</f>
        <v/>
      </c>
      <c r="AM44" s="50" t="str">
        <f aca="false">IF(AND(ISNUMBER(AM41),ISNUMBER(AM42),AM39&lt;&gt;""),ROUND(AM41-AM39+AM40,1),"")</f>
        <v/>
      </c>
      <c r="AN44" s="50" t="str">
        <f aca="false">IF(AND(ISNUMBER(AN41),ISNUMBER(AN42),AN39&lt;&gt;""),ROUND(AN41-AN39+AN40,1),"")</f>
        <v/>
      </c>
      <c r="AO44" s="50" t="str">
        <f aca="false">IF(AND(ISNUMBER(AO41),ISNUMBER(AO42),AO39&lt;&gt;""),ROUND(AO41-AO39+AO40,1),"")</f>
        <v/>
      </c>
      <c r="AP44" s="50" t="str">
        <f aca="false">IF(AND(ISNUMBER(AP41),ISNUMBER(AP42),AP39&lt;&gt;""),ROUND(AP41-AP39+AP40,1),"")</f>
        <v/>
      </c>
      <c r="AQ44" s="50" t="str">
        <f aca="false">IF(AND(ISNUMBER(AQ41),ISNUMBER(AQ42),AQ39&lt;&gt;""),ROUND(AQ41-AQ39+AQ40,1),"")</f>
        <v/>
      </c>
      <c r="AR44" s="50" t="str">
        <f aca="false">IF(AND(ISNUMBER(AR41),ISNUMBER(AR42),AR39&lt;&gt;""),ROUND(AR41-AR39+AR40,1),"")</f>
        <v/>
      </c>
      <c r="AS44" s="50" t="str">
        <f aca="false">IF(AND(ISNUMBER(AS41),ISNUMBER(AS42),AS39&lt;&gt;""),ROUND(AS41-AS39+AS40,1),"")</f>
        <v/>
      </c>
      <c r="AT44" s="50" t="str">
        <f aca="false">IF(AND(ISNUMBER(AT41),ISNUMBER(AT42),AT39&lt;&gt;""),ROUND(AT41-AT39+AT40,1),"")</f>
        <v/>
      </c>
      <c r="AU44" s="50" t="str">
        <f aca="false">IF(AND(ISNUMBER(AU41),ISNUMBER(AU42),AU39&lt;&gt;""),ROUND(AU41-AU39+AU40,1),"")</f>
        <v/>
      </c>
      <c r="AV44" s="50" t="str">
        <f aca="false">IF(AND(ISNUMBER(AV41),ISNUMBER(AV42),AV39&lt;&gt;""),ROUND(AV41-AV39+AV40,1),"")</f>
        <v/>
      </c>
      <c r="AW44" s="50" t="str">
        <f aca="false">IF(AND(ISNUMBER(AW41),ISNUMBER(AW42),AW39&lt;&gt;""),ROUND(AW41-AW39+AW40,1),"")</f>
        <v/>
      </c>
      <c r="AX44" s="50" t="str">
        <f aca="false">IF(AND(ISNUMBER(AX41),ISNUMBER(AX42),AX39&lt;&gt;""),ROUND(AX41-AX39+AX40,1),"")</f>
        <v/>
      </c>
      <c r="AY44" s="50" t="str">
        <f aca="false">IF(AND(ISNUMBER(AY41),ISNUMBER(AY42),AY39&lt;&gt;""),ROUND(AY41-AY39+AY40,1),"")</f>
        <v/>
      </c>
      <c r="AZ44" s="50" t="str">
        <f aca="false">IF(AND(ISNUMBER(AZ41),ISNUMBER(AZ42),AZ39&lt;&gt;""),ROUND(AZ41-AZ39+AZ40,1),"")</f>
        <v/>
      </c>
      <c r="BA44" s="50" t="str">
        <f aca="false">IF(AND(ISNUMBER(BA41),ISNUMBER(BA42),BA39&lt;&gt;""),ROUND(BA41-BA39+BA40,1),"")</f>
        <v/>
      </c>
      <c r="BB44" s="50" t="str">
        <f aca="false">IF(AND(ISNUMBER(BB41),ISNUMBER(BB42),BB39&lt;&gt;""),ROUND(BB41-BB39+BB40,1),"")</f>
        <v/>
      </c>
      <c r="BC44" s="50" t="str">
        <f aca="false">IF(AND(ISNUMBER(BC41),ISNUMBER(BC42),BC39&lt;&gt;""),ROUND(BC41-BC39+BC40,1),"")</f>
        <v/>
      </c>
      <c r="BD44" s="50" t="str">
        <f aca="false">IF(AND(ISNUMBER(BD41),ISNUMBER(BD42),BD39&lt;&gt;""),ROUND(BD41-BD39+BD40,1),"")</f>
        <v/>
      </c>
      <c r="BE44" s="50" t="n">
        <f aca="false">IF(AND(ISNUMBER(BE41),ISNUMBER(BE42),BE39&lt;&gt;""),ROUND(BE41-BE39+BE40,1),"")</f>
        <v>1</v>
      </c>
      <c r="BF44" s="50" t="str">
        <f aca="false">IF(AND(ISNUMBER(BF41),ISNUMBER(BF42),BF39&lt;&gt;""),ROUND(BF41-BF39+BF40,1),"")</f>
        <v/>
      </c>
      <c r="BG44" s="50" t="n">
        <f aca="false">IF(AND(ISNUMBER(BG41),ISNUMBER(BG42),BG39&lt;&gt;""),ROUND(BG41-BG39+BG40,1),"")</f>
        <v>1</v>
      </c>
      <c r="BH44" s="50" t="str">
        <f aca="false">IF(AND(ISNUMBER(BH41),ISNUMBER(BH42),BH39&lt;&gt;""),ROUND(BH41-BH39+BH40,1),"")</f>
        <v/>
      </c>
      <c r="BI44" s="50" t="str">
        <f aca="false">IF(AND(ISNUMBER(BI41),ISNUMBER(BI42),BI39&lt;&gt;""),ROUND(BI41-BI39+BI40,1),"")</f>
        <v/>
      </c>
      <c r="BJ44" s="50" t="str">
        <f aca="false">IF(AND(ISNUMBER(BJ41),ISNUMBER(BJ42),BJ39&lt;&gt;""),ROUND(BJ41-BJ39+BJ40,1),"")</f>
        <v/>
      </c>
      <c r="BK44" s="50" t="n">
        <f aca="false">IF(AND(ISNUMBER(BK41),ISNUMBER(BK42),BK39&lt;&gt;""),ROUND(BK41-BK39+BK40,1),"")</f>
        <v>1.5</v>
      </c>
      <c r="BL44" s="50" t="str">
        <f aca="false">IF(AND(ISNUMBER(BL41),ISNUMBER(BL42),BL39&lt;&gt;""),ROUND(BL41-BL39+BL40,1),"")</f>
        <v/>
      </c>
      <c r="BM44" s="50" t="str">
        <f aca="false">IF(AND(ISNUMBER(BM41),ISNUMBER(BM42),BM39&lt;&gt;""),ROUND(BM41-BM39+BM40,1),"")</f>
        <v/>
      </c>
      <c r="BN44" s="50" t="str">
        <f aca="false">IF(AND(ISNUMBER(BN41),ISNUMBER(BN42),BN39&lt;&gt;""),ROUND(BN41-BN39+BN40,1),"")</f>
        <v/>
      </c>
      <c r="BO44" s="50" t="str">
        <f aca="false">IF(AND(ISNUMBER(BO41),ISNUMBER(BO42),BO39&lt;&gt;""),ROUND(BO41-BO39+BO40,1),"")</f>
        <v/>
      </c>
      <c r="BP44" s="50" t="n">
        <f aca="false">IF(AND(ISNUMBER(BP41),ISNUMBER(BP42),BP39&lt;&gt;""),ROUND(BP41-BP39+BP40,1),"")</f>
        <v>1.3</v>
      </c>
      <c r="BQ44" s="50" t="str">
        <f aca="false">IF(AND(ISNUMBER(BQ41),ISNUMBER(BQ42),BQ39&lt;&gt;""),ROUND(BQ41-BQ39+BQ40,1),"")</f>
        <v/>
      </c>
      <c r="BR44" s="50" t="str">
        <f aca="false">IF(AND(ISNUMBER(BR41),ISNUMBER(BR42),BR39&lt;&gt;""),ROUND(BR41-BR39+BR40,1),"")</f>
        <v/>
      </c>
      <c r="BS44" s="50" t="str">
        <f aca="false">IF(AND(ISNUMBER(BS41),ISNUMBER(BS42),BS39&lt;&gt;""),ROUND(BS41-BS39+BS40,1),"")</f>
        <v/>
      </c>
      <c r="BT44" s="50" t="str">
        <f aca="false">IF(AND(ISNUMBER(BT41),ISNUMBER(BT42),BT39&lt;&gt;""),ROUND(BT41-BT39+BT40,1),"")</f>
        <v/>
      </c>
      <c r="BU44" s="50" t="str">
        <f aca="false">IF(AND(ISNUMBER(BU41),ISNUMBER(BU42),BU39&lt;&gt;""),ROUND(BU41-BU39+BU40,1),"")</f>
        <v/>
      </c>
      <c r="BV44" s="50" t="str">
        <f aca="false">IF(AND(ISNUMBER(BV41),ISNUMBER(BV42),BV39&lt;&gt;""),ROUND(BV41-BV39+BV40,1),"")</f>
        <v/>
      </c>
      <c r="BW44" s="50" t="n">
        <f aca="false">IF(AND(ISNUMBER(BW41),ISNUMBER(BW42),BW39&lt;&gt;""),ROUND(BW41-BW39+BW40,1),"")</f>
        <v>0.5</v>
      </c>
      <c r="BX44" s="50" t="str">
        <f aca="false">IF(AND(ISNUMBER(BX41),ISNUMBER(BX42),BX39&lt;&gt;""),ROUND(BX41-BX39+BX40,1),"")</f>
        <v/>
      </c>
      <c r="BY44" s="50" t="str">
        <f aca="false">IF(AND(ISNUMBER(BY41),ISNUMBER(BY42),BY39&lt;&gt;""),ROUND(BY41-BY39+BY40,1),"")</f>
        <v/>
      </c>
      <c r="BZ44" s="50" t="str">
        <f aca="false">IF(AND(ISNUMBER(BZ41),ISNUMBER(BZ42),BZ39&lt;&gt;""),ROUND(BZ41-BZ39+BZ40,1),"")</f>
        <v/>
      </c>
      <c r="CA44" s="50" t="str">
        <f aca="false">IF(AND(ISNUMBER(CA41),ISNUMBER(CA42),CA39&lt;&gt;""),ROUND(CA41-CA39+CA40,1),"")</f>
        <v/>
      </c>
      <c r="CB44" s="50" t="str">
        <f aca="false">IF(AND(ISNUMBER(CB41),ISNUMBER(CB42),CB39&lt;&gt;""),ROUND(CB41-CB39+CB40,1),"")</f>
        <v/>
      </c>
      <c r="CC44" s="50" t="str">
        <f aca="false">IF(AND(ISNUMBER(CC41),ISNUMBER(CC42),CC39&lt;&gt;""),ROUND(CC41-CC39+CC40,1),"")</f>
        <v/>
      </c>
      <c r="CD44" s="50" t="n">
        <f aca="false">IF(AND(ISNUMBER(CD41),ISNUMBER(CD42),CD39&lt;&gt;""),ROUND(CD41-CD39+CD40,1),"")</f>
        <v>-0.7</v>
      </c>
      <c r="CE44" s="50" t="str">
        <f aca="false">IF(AND(ISNUMBER(CE41),ISNUMBER(CE42),CE39&lt;&gt;""),ROUND(CE41-CE39+CE40,1),"")</f>
        <v/>
      </c>
      <c r="CF44" s="50" t="str">
        <f aca="false">IF(AND(ISNUMBER(CF41),ISNUMBER(CF42),CF39&lt;&gt;""),ROUND(CF41-CF39+CF40,1),"")</f>
        <v/>
      </c>
      <c r="CG44" s="50" t="str">
        <f aca="false">IF(AND(ISNUMBER(CG41),ISNUMBER(CG42),CG39&lt;&gt;""),ROUND(CG41-CG39+CG40,1),"")</f>
        <v/>
      </c>
      <c r="CH44" s="50" t="n">
        <f aca="false">IF(AND(ISNUMBER(CH41),ISNUMBER(CH42),CH39&lt;&gt;""),ROUND(CH41-CH39+CH40,1),"")</f>
        <v>1</v>
      </c>
      <c r="CI44" s="50" t="str">
        <f aca="false">IF(AND(ISNUMBER(CI41),ISNUMBER(CI42),CI39&lt;&gt;""),ROUND(CI41-CI39+CI40,1),"")</f>
        <v/>
      </c>
      <c r="CJ44" s="50" t="str">
        <f aca="false">IF(AND(ISNUMBER(CJ41),ISNUMBER(CJ42),CJ39&lt;&gt;""),ROUND(CJ41-CJ39+CJ40,1),"")</f>
        <v/>
      </c>
      <c r="CK44" s="50" t="str">
        <f aca="false">IF(AND(ISNUMBER(CK41),ISNUMBER(CK42),CK39&lt;&gt;""),ROUND(CK41-CK39+CK40,1),"")</f>
        <v/>
      </c>
      <c r="CL44" s="50" t="str">
        <f aca="false">IF(AND(ISNUMBER(CL41),ISNUMBER(CL42),CL39&lt;&gt;""),ROUND(CL41-CL39+CL40,1),"")</f>
        <v/>
      </c>
      <c r="CM44" s="50" t="str">
        <f aca="false">IF(AND(ISNUMBER(CM41),ISNUMBER(CM42),CM39&lt;&gt;""),ROUND(CM41-CM39+CM40,1),"")</f>
        <v/>
      </c>
      <c r="CN44" s="50" t="str">
        <f aca="false">IF(AND(ISNUMBER(CN41),ISNUMBER(CN42),CN39&lt;&gt;""),ROUND(CN41-CN39+CN40,1),"")</f>
        <v/>
      </c>
      <c r="CO44" s="50" t="str">
        <f aca="false">IF(AND(ISNUMBER(CO41),ISNUMBER(CO42),CO39&lt;&gt;""),ROUND(CO41-CO39+CO40,1),"")</f>
        <v/>
      </c>
      <c r="CP44" s="50" t="str">
        <f aca="false">IF(AND(ISNUMBER(CP41),ISNUMBER(CP42),CP39&lt;&gt;""),ROUND(CP41-CP39+CP40,1),"")</f>
        <v/>
      </c>
      <c r="CQ44" s="50" t="str">
        <f aca="false">IF(AND(ISNUMBER(CQ41),ISNUMBER(CQ42),CQ39&lt;&gt;""),ROUND(CQ41-CQ39+CQ40,1),"")</f>
        <v/>
      </c>
      <c r="CR44" s="50" t="str">
        <f aca="false">IF(AND(ISNUMBER(CR41),ISNUMBER(CR42),CR39&lt;&gt;""),ROUND(CR41-CR39+CR40,1),"")</f>
        <v/>
      </c>
      <c r="CS44" s="50" t="str">
        <f aca="false">IF(AND(ISNUMBER(CS41),ISNUMBER(CS42),CS39&lt;&gt;""),ROUND(CS41-CS39+CS40,1),"")</f>
        <v/>
      </c>
      <c r="CT44" s="50" t="str">
        <f aca="false">IF(AND(ISNUMBER(CT41),ISNUMBER(CT42),CT39&lt;&gt;""),ROUND(CT41-CT39+CT40,1),"")</f>
        <v/>
      </c>
      <c r="CU44" s="50" t="str">
        <f aca="false">IF(AND(ISNUMBER(CU41),ISNUMBER(CU42),CU39&lt;&gt;""),ROUND(CU41-CU39+CU40,1),"")</f>
        <v/>
      </c>
      <c r="CV44" s="50" t="str">
        <f aca="false">IF(AND(ISNUMBER(CV41),ISNUMBER(CV42),CV39&lt;&gt;""),ROUND(CV41-CV39+CV40,1),"")</f>
        <v/>
      </c>
      <c r="CW44" s="50" t="n">
        <f aca="false">IF(AND(ISNUMBER(CW41),ISNUMBER(CW42),CW39&lt;&gt;""),ROUND(CW41-CW39+CW40,1),"")</f>
        <v>-15</v>
      </c>
      <c r="CX44" s="50" t="str">
        <f aca="false">IF(AND(ISNUMBER(CX41),ISNUMBER(CX42),CX39&lt;&gt;""),ROUND(CX41-CX39+CX40,1),"")</f>
        <v/>
      </c>
      <c r="CY44" s="50" t="str">
        <f aca="false">IF(AND(ISNUMBER(CY41),ISNUMBER(CY42),CY39&lt;&gt;""),ROUND(CY41-CY39+CY40,1),"")</f>
        <v/>
      </c>
      <c r="CZ44" s="50" t="n">
        <f aca="false">IF(AND(ISNUMBER(CZ41),ISNUMBER(CZ42),CZ39&lt;&gt;""),ROUND(CZ41-CZ39+CZ40,1),"")</f>
        <v>0.2</v>
      </c>
      <c r="DA44" s="50" t="str">
        <f aca="false">IF(AND(ISNUMBER(DA41),ISNUMBER(DA42),DA39&lt;&gt;""),ROUND(DA41-DA39+DA40,1),"")</f>
        <v/>
      </c>
      <c r="DB44" s="50" t="str">
        <f aca="false">IF(AND(ISNUMBER(DB41),ISNUMBER(DB42),DB39&lt;&gt;""),ROUND(DB41-DB39+DB40,1),"")</f>
        <v/>
      </c>
      <c r="DC44" s="50" t="n">
        <f aca="false">IF(AND(ISNUMBER(DC41),ISNUMBER(DC42),DC39&lt;&gt;""),ROUND(DC41-DC39+DC40,1),"")</f>
        <v>0.5</v>
      </c>
      <c r="DD44" s="50" t="str">
        <f aca="false">IF(AND(ISNUMBER(DD41),ISNUMBER(DD42),DD39&lt;&gt;""),ROUND(DD41-DD39+DD40,1),"")</f>
        <v/>
      </c>
      <c r="DE44" s="50" t="str">
        <f aca="false">IF(AND(ISNUMBER(DE41),ISNUMBER(DE42),DE39&lt;&gt;""),ROUND(DE41-DE39+DE40,1),"")</f>
        <v/>
      </c>
      <c r="DF44" s="50" t="str">
        <f aca="false">IF(AND(ISNUMBER(DF41),ISNUMBER(DF42),DF39&lt;&gt;""),ROUND(DF41-DF39+DF40,1),"")</f>
        <v/>
      </c>
      <c r="DG44" s="50" t="n">
        <f aca="false">IF(AND(ISNUMBER(DG41),ISNUMBER(DG42),DG39&lt;&gt;""),ROUND(DG41-DG39+DG40,1),"")</f>
        <v>0.3</v>
      </c>
      <c r="DH44" s="50" t="str">
        <f aca="false">IF(AND(ISNUMBER(DH41),ISNUMBER(DH42),DH39&lt;&gt;""),ROUND(DH41-DH39+DH40,1),"")</f>
        <v/>
      </c>
      <c r="DI44" s="50" t="str">
        <f aca="false">IF(AND(ISNUMBER(DI41),ISNUMBER(DI42),DI39&lt;&gt;""),ROUND(DI41-DI39+DI40,1),"")</f>
        <v/>
      </c>
      <c r="DJ44" s="50" t="str">
        <f aca="false">IF(AND(ISNUMBER(DJ41),ISNUMBER(DJ42),DJ39&lt;&gt;""),ROUND(DJ41-DJ39+DJ40,1),"")</f>
        <v/>
      </c>
      <c r="DK44" s="50" t="str">
        <f aca="false">IF(AND(ISNUMBER(DK41),ISNUMBER(DK42),DK39&lt;&gt;""),ROUND(DK41-DK39+DK40,1),"")</f>
        <v/>
      </c>
      <c r="DL44" s="50" t="str">
        <f aca="false">IF(AND(ISNUMBER(DL41),ISNUMBER(DL42),DL39&lt;&gt;""),ROUND(DL41-DL39+DL40,1),"")</f>
        <v/>
      </c>
      <c r="DM44" s="50" t="str">
        <f aca="false">IF(AND(ISNUMBER(DM41),ISNUMBER(DM42),DM39&lt;&gt;""),ROUND(DM41-DM39+DM40,1),"")</f>
        <v/>
      </c>
      <c r="DN44" s="50" t="n">
        <f aca="false">IF(AND(ISNUMBER(DN41),ISNUMBER(DN42),DN39&lt;&gt;""),ROUND(DN41-DN39+DN40,1),"")</f>
        <v>-12</v>
      </c>
      <c r="DO44" s="50" t="str">
        <f aca="false">IF(AND(ISNUMBER(DO41),ISNUMBER(DO42),DO39&lt;&gt;""),ROUND(DO41-DO39+DO40,1),"")</f>
        <v/>
      </c>
      <c r="DP44" s="50" t="str">
        <f aca="false">IF(AND(ISNUMBER(DP41),ISNUMBER(DP42),DP39&lt;&gt;""),ROUND(DP41-DP39+DP40,1),"")</f>
        <v/>
      </c>
      <c r="DQ44" s="50" t="str">
        <f aca="false">IF(AND(ISNUMBER(DQ41),ISNUMBER(DQ42),DQ39&lt;&gt;""),ROUND(DQ41-DQ39+DQ40,1),"")</f>
        <v/>
      </c>
      <c r="DR44" s="50" t="str">
        <f aca="false">IF(AND(ISNUMBER(DR41),ISNUMBER(DR42),DR39&lt;&gt;""),ROUND(DR41-DR39+DR40,1),"")</f>
        <v/>
      </c>
      <c r="DS44" s="50" t="str">
        <f aca="false">IF(AND(ISNUMBER(DS41),ISNUMBER(DS42),DS39&lt;&gt;""),ROUND(DS41-DS39+DS40,1),"")</f>
        <v/>
      </c>
      <c r="DT44" s="50" t="str">
        <f aca="false">IF(AND(ISNUMBER(DT41),ISNUMBER(DT42),DT39&lt;&gt;""),ROUND(DT41-DT39+DT40,1),"")</f>
        <v/>
      </c>
      <c r="DU44" s="50" t="n">
        <f aca="false">IF(AND(ISNUMBER(DU41),ISNUMBER(DU42),DU39&lt;&gt;""),ROUND(DU41-DU39+DU40,1),"")</f>
        <v>-15</v>
      </c>
      <c r="DV44" s="50" t="str">
        <f aca="false">IF(AND(ISNUMBER(DV41),ISNUMBER(DV42),DV39&lt;&gt;""),ROUND(DV41-DV39+DV40,1),"")</f>
        <v/>
      </c>
      <c r="DW44" s="50" t="str">
        <f aca="false">IF(AND(ISNUMBER(DW41),ISNUMBER(DW42),DW39&lt;&gt;""),ROUND(DW41-DW39+DW40,1),"")</f>
        <v/>
      </c>
      <c r="DX44" s="50" t="str">
        <f aca="false">IF(AND(ISNUMBER(DX41),ISNUMBER(DX42),DX39&lt;&gt;""),ROUND(DX41-DX39+DX40,1),"")</f>
        <v/>
      </c>
      <c r="DY44" s="50" t="str">
        <f aca="false">IF(AND(ISNUMBER(DY41),ISNUMBER(DY42),DY39&lt;&gt;""),ROUND(DY41-DY39+DY40,1),"")</f>
        <v/>
      </c>
      <c r="DZ44" s="50" t="str">
        <f aca="false">IF(AND(ISNUMBER(DZ41),ISNUMBER(DZ42),DZ39&lt;&gt;""),ROUND(DZ41-DZ39+DZ40,1),"")</f>
        <v/>
      </c>
      <c r="EA44" s="50" t="str">
        <f aca="false">IF(AND(ISNUMBER(EA41),ISNUMBER(EA42),EA39&lt;&gt;""),ROUND(EA41-EA39+EA40,1),"")</f>
        <v/>
      </c>
      <c r="EB44" s="50" t="n">
        <f aca="false">IF(AND(ISNUMBER(EB41),ISNUMBER(EB42),EB39&lt;&gt;""),ROUND(EB41-EB39+EB40,1),"")</f>
        <v>-15</v>
      </c>
      <c r="EC44" s="50" t="str">
        <f aca="false">IF(AND(ISNUMBER(EC41),ISNUMBER(EC42),EC39&lt;&gt;""),ROUND(EC41-EC39+EC40,1),"")</f>
        <v/>
      </c>
      <c r="ED44" s="50" t="str">
        <f aca="false">IF(AND(ISNUMBER(ED41),ISNUMBER(ED42),ED39&lt;&gt;""),ROUND(ED41-ED39+ED40,1),"")</f>
        <v/>
      </c>
      <c r="EE44" s="50" t="str">
        <f aca="false">IF(AND(ISNUMBER(EE41),ISNUMBER(EE42),EE39&lt;&gt;""),ROUND(EE41-EE39+EE40,1),"")</f>
        <v/>
      </c>
      <c r="EF44" s="50" t="str">
        <f aca="false">IF(AND(ISNUMBER(EF41),ISNUMBER(EF42),EF39&lt;&gt;""),ROUND(EF41-EF39+EF40,1),"")</f>
        <v/>
      </c>
      <c r="EG44" s="50" t="str">
        <f aca="false">IF(AND(ISNUMBER(EG41),ISNUMBER(EG42),EG39&lt;&gt;""),ROUND(EG41-EG39+EG40,1),"")</f>
        <v/>
      </c>
      <c r="EH44" s="50" t="str">
        <f aca="false">IF(AND(ISNUMBER(EH41),ISNUMBER(EH42),EH39&lt;&gt;""),ROUND(EH41-EH39+EH40,1),"")</f>
        <v/>
      </c>
      <c r="EI44" s="50" t="str">
        <f aca="false">IF(AND(ISNUMBER(EI41),ISNUMBER(EI42),EI39&lt;&gt;""),ROUND(EI41-EI39+EI40,1),"")</f>
        <v/>
      </c>
      <c r="EJ44" s="50" t="n">
        <f aca="false">IF(AND(ISNUMBER(EJ41),ISNUMBER(EJ42),EJ39&lt;&gt;""),ROUND(EJ41-EJ39+EJ40,1),"")</f>
        <v>-15</v>
      </c>
      <c r="EK44" s="50" t="str">
        <f aca="false">IF(AND(ISNUMBER(EK41),ISNUMBER(EK42),EK39&lt;&gt;""),ROUND(EK41-EK39+EK40,1),"")</f>
        <v/>
      </c>
      <c r="EL44" s="50" t="str">
        <f aca="false">IF(AND(ISNUMBER(EL41),ISNUMBER(EL42),EL39&lt;&gt;""),ROUND(EL41-EL39+EL40,1),"")</f>
        <v/>
      </c>
      <c r="EM44" s="50" t="str">
        <f aca="false">IF(AND(ISNUMBER(EM41),ISNUMBER(EM42),EM39&lt;&gt;""),ROUND(EM41-EM39+EM40,1),"")</f>
        <v/>
      </c>
      <c r="EN44" s="50" t="str">
        <f aca="false">IF(AND(ISNUMBER(EN41),ISNUMBER(EN42),EN39&lt;&gt;""),ROUND(EN41-EN39+EN40,1),"")</f>
        <v/>
      </c>
      <c r="EO44" s="50" t="str">
        <f aca="false">IF(AND(ISNUMBER(EO41),ISNUMBER(EO42),EO39&lt;&gt;""),ROUND(EO41-EO39+EO40,1),"")</f>
        <v/>
      </c>
      <c r="EP44" s="50" t="str">
        <f aca="false">IF(AND(ISNUMBER(EP41),ISNUMBER(EP42),EP39&lt;&gt;""),ROUND(EP41-EP39+EP40,1),"")</f>
        <v/>
      </c>
      <c r="EQ44" s="50" t="str">
        <f aca="false">IF(AND(ISNUMBER(EQ41),ISNUMBER(EQ42),EQ39&lt;&gt;""),ROUND(EQ41-EQ39+EQ40,1),"")</f>
        <v/>
      </c>
      <c r="ER44" s="50" t="str">
        <f aca="false">IF(AND(ISNUMBER(ER41),ISNUMBER(ER42),ER39&lt;&gt;""),ROUND(ER41-ER39+ER40,1),"")</f>
        <v/>
      </c>
      <c r="ES44" s="50" t="str">
        <f aca="false">IF(AND(ISNUMBER(ES41),ISNUMBER(ES42),ES39&lt;&gt;""),ROUND(ES41-ES39+ES40,1),"")</f>
        <v/>
      </c>
      <c r="ET44" s="50" t="str">
        <f aca="false">IF(AND(ISNUMBER(ET41),ISNUMBER(ET42),ET39&lt;&gt;""),ROUND(ET41-ET39+ET40,1),"")</f>
        <v/>
      </c>
      <c r="EU44" s="50" t="str">
        <f aca="false">IF(AND(ISNUMBER(EU41),ISNUMBER(EU42),EU39&lt;&gt;""),ROUND(EU41-EU39+EU40,1),"")</f>
        <v/>
      </c>
      <c r="EV44" s="50" t="str">
        <f aca="false">IF(AND(ISNUMBER(EV41),ISNUMBER(EV42),EV39&lt;&gt;""),ROUND(EV41-EV39+EV40,1),"")</f>
        <v/>
      </c>
      <c r="EW44" s="50" t="str">
        <f aca="false">IF(AND(ISNUMBER(EW41),ISNUMBER(EW42),EW39&lt;&gt;""),ROUND(EW41-EW39+EW40,1),"")</f>
        <v/>
      </c>
      <c r="EX44" s="50" t="str">
        <f aca="false">IF(AND(ISNUMBER(EX41),ISNUMBER(EX42),EX39&lt;&gt;""),ROUND(EX41-EX39+EX40,1),"")</f>
        <v/>
      </c>
      <c r="EY44" s="50" t="str">
        <f aca="false">IF(AND(ISNUMBER(EY41),ISNUMBER(EY42),EY39&lt;&gt;""),ROUND(EY41-EY39+EY40,1),"")</f>
        <v/>
      </c>
      <c r="EZ44" s="50" t="str">
        <f aca="false">IF(AND(ISNUMBER(EZ41),ISNUMBER(EZ42),EZ39&lt;&gt;""),ROUND(EZ41-EZ39+EZ40,1),"")</f>
        <v/>
      </c>
      <c r="FA44" s="50" t="str">
        <f aca="false">IF(AND(ISNUMBER(FA41),ISNUMBER(FA42),FA39&lt;&gt;""),ROUND(FA41-FA39+FA40,1),"")</f>
        <v/>
      </c>
      <c r="FB44" s="50" t="str">
        <f aca="false">IF(AND(ISNUMBER(FB41),ISNUMBER(FB42),FB39&lt;&gt;""),ROUND(FB41-FB39+FB40,1),"")</f>
        <v/>
      </c>
      <c r="FC44" s="50" t="str">
        <f aca="false">IF(AND(ISNUMBER(FC41),ISNUMBER(FC42),FC39&lt;&gt;""),ROUND(FC41-FC39+FC40,1),"")</f>
        <v/>
      </c>
      <c r="FD44" s="50" t="str">
        <f aca="false">IF(AND(ISNUMBER(FD41),ISNUMBER(FD42),FD39&lt;&gt;""),ROUND(FD41-FD39+FD40,1),"")</f>
        <v/>
      </c>
      <c r="FE44" s="50" t="str">
        <f aca="false">IF(AND(ISNUMBER(FE41),ISNUMBER(FE42),FE39&lt;&gt;""),ROUND(FE41-FE39+FE40,1),"")</f>
        <v/>
      </c>
      <c r="FF44" s="50" t="str">
        <f aca="false">IF(AND(ISNUMBER(FF41),ISNUMBER(FF42),FF39&lt;&gt;""),ROUND(FF41-FF39+FF40,1),"")</f>
        <v/>
      </c>
      <c r="FG44" s="50" t="str">
        <f aca="false">IF(AND(ISNUMBER(FG41),ISNUMBER(FG42),FG39&lt;&gt;""),ROUND(FG41-FG39+FG40,1),"")</f>
        <v/>
      </c>
      <c r="FH44" s="50" t="str">
        <f aca="false">IF(AND(ISNUMBER(FH41),ISNUMBER(FH42),FH39&lt;&gt;""),ROUND(FH41-FH39+FH40,1),"")</f>
        <v/>
      </c>
      <c r="FI44" s="50" t="str">
        <f aca="false">IF(AND(ISNUMBER(FI41),ISNUMBER(FI42),FI39&lt;&gt;""),ROUND(FI41-FI39+FI40,1),"")</f>
        <v/>
      </c>
      <c r="FJ44" s="50" t="str">
        <f aca="false">IF(AND(ISNUMBER(FJ41),ISNUMBER(FJ42),FJ39&lt;&gt;""),ROUND(FJ41-FJ39+FJ40,1),"")</f>
        <v/>
      </c>
      <c r="FK44" s="50" t="str">
        <f aca="false">IF(AND(ISNUMBER(FK41),ISNUMBER(FK42),FK39&lt;&gt;""),ROUND(FK41-FK39+FK40,1),"")</f>
        <v/>
      </c>
      <c r="FL44" s="50" t="str">
        <f aca="false">IF(AND(ISNUMBER(FL41),ISNUMBER(FL42),FL39&lt;&gt;""),ROUND(FL41-FL39+FL40,1),"")</f>
        <v/>
      </c>
      <c r="FM44" s="50" t="str">
        <f aca="false">IF(AND(ISNUMBER(FM41),ISNUMBER(FM42),FM39&lt;&gt;""),ROUND(FM41-FM39+FM40,1),"")</f>
        <v/>
      </c>
      <c r="FN44" s="50" t="str">
        <f aca="false">IF(AND(ISNUMBER(FN41),ISNUMBER(FN42),FN39&lt;&gt;""),ROUND(FN41-FN39+FN40,1),"")</f>
        <v/>
      </c>
      <c r="FO44" s="50" t="str">
        <f aca="false">IF(AND(ISNUMBER(FO41),ISNUMBER(FO42),FO39&lt;&gt;""),ROUND(FO41-FO39+FO40,1),"")</f>
        <v/>
      </c>
      <c r="FP44" s="50" t="str">
        <f aca="false">IF(AND(ISNUMBER(FP41),ISNUMBER(FP42),FP39&lt;&gt;""),ROUND(FP41-FP39+FP40,1),"")</f>
        <v/>
      </c>
      <c r="FQ44" s="50" t="str">
        <f aca="false">IF(AND(ISNUMBER(FQ41),ISNUMBER(FQ42),FQ39&lt;&gt;""),ROUND(FQ41-FQ39+FQ40,1),"")</f>
        <v/>
      </c>
    </row>
    <row r="45" customFormat="false" ht="15" hidden="false" customHeight="false" outlineLevel="0" collapsed="false">
      <c r="A45" s="33" t="s">
        <v>83</v>
      </c>
      <c r="B45" s="20" t="s">
        <v>419</v>
      </c>
      <c r="D45" s="50" t="str">
        <f aca="false">IF(AND(ISNUMBER(D41),ISNUMBER(D42),D39&lt;&gt;""),ROUND(D42-D39+D40,1),"")</f>
        <v/>
      </c>
      <c r="E45" s="50" t="str">
        <f aca="false">IF(AND(ISNUMBER(E41),ISNUMBER(E42),E39&lt;&gt;""),ROUND(E42-E39+E40,1),"")</f>
        <v/>
      </c>
      <c r="F45" s="50" t="str">
        <f aca="false">IF(AND(ISNUMBER(F41),ISNUMBER(F42),F39&lt;&gt;""),ROUND(F42-F39+F40,1),"")</f>
        <v/>
      </c>
      <c r="G45" s="50" t="str">
        <f aca="false">IF(AND(ISNUMBER(G41),ISNUMBER(G42),G39&lt;&gt;""),ROUND(G42-G39+G40,1),"")</f>
        <v/>
      </c>
      <c r="H45" s="50" t="str">
        <f aca="false">IF(AND(ISNUMBER(H41),ISNUMBER(H42),H39&lt;&gt;""),ROUND(H42-H39+H40,1),"")</f>
        <v/>
      </c>
      <c r="I45" s="50" t="str">
        <f aca="false">IF(AND(ISNUMBER(I41),ISNUMBER(I42),I39&lt;&gt;""),ROUND(I42-I39+I40,1),"")</f>
        <v/>
      </c>
      <c r="J45" s="50" t="str">
        <f aca="false">IF(AND(ISNUMBER(J41),ISNUMBER(J42),J39&lt;&gt;""),ROUND(J42-J39+J40,1),"")</f>
        <v/>
      </c>
      <c r="K45" s="50" t="str">
        <f aca="false">IF(AND(ISNUMBER(K41),ISNUMBER(K42),K39&lt;&gt;""),ROUND(K42-K39+K40,1),"")</f>
        <v/>
      </c>
      <c r="L45" s="50" t="str">
        <f aca="false">IF(AND(ISNUMBER(L41),ISNUMBER(L42),L39&lt;&gt;""),ROUND(L42-L39+L40,1),"")</f>
        <v/>
      </c>
      <c r="M45" s="50" t="str">
        <f aca="false">IF(AND(ISNUMBER(M41),ISNUMBER(M42),M39&lt;&gt;""),ROUND(M42-M39+M40,1),"")</f>
        <v/>
      </c>
      <c r="N45" s="50" t="str">
        <f aca="false">IF(AND(ISNUMBER(N41),ISNUMBER(N42),N39&lt;&gt;""),ROUND(N42-N39+N40,1),"")</f>
        <v/>
      </c>
      <c r="O45" s="50" t="str">
        <f aca="false">IF(AND(ISNUMBER(O41),ISNUMBER(O42),O39&lt;&gt;""),ROUND(O42-O39+O40,1),"")</f>
        <v/>
      </c>
      <c r="P45" s="50" t="str">
        <f aca="false">IF(AND(ISNUMBER(P41),ISNUMBER(P42),P39&lt;&gt;""),ROUND(P42-P39+P40,1),"")</f>
        <v/>
      </c>
      <c r="Q45" s="50" t="str">
        <f aca="false">IF(AND(ISNUMBER(Q41),ISNUMBER(Q42),Q39&lt;&gt;""),ROUND(Q42-Q39+Q40,1),"")</f>
        <v/>
      </c>
      <c r="R45" s="50" t="str">
        <f aca="false">IF(AND(ISNUMBER(R41),ISNUMBER(R42),R39&lt;&gt;""),ROUND(R42-R39+R40,1),"")</f>
        <v/>
      </c>
      <c r="S45" s="50" t="str">
        <f aca="false">IF(AND(ISNUMBER(S41),ISNUMBER(S42),S39&lt;&gt;""),ROUND(S42-S39+S40,1),"")</f>
        <v/>
      </c>
      <c r="T45" s="50" t="str">
        <f aca="false">IF(AND(ISNUMBER(T41),ISNUMBER(T42),T39&lt;&gt;""),ROUND(T42-T39+T40,1),"")</f>
        <v/>
      </c>
      <c r="U45" s="50" t="str">
        <f aca="false">IF(AND(ISNUMBER(U41),ISNUMBER(U42),U39&lt;&gt;""),ROUND(U42-U39+U40,1),"")</f>
        <v/>
      </c>
      <c r="V45" s="50" t="str">
        <f aca="false">IF(AND(ISNUMBER(V41),ISNUMBER(V42),V39&lt;&gt;""),ROUND(V42-V39+V40,1),"")</f>
        <v/>
      </c>
      <c r="W45" s="50" t="str">
        <f aca="false">IF(AND(ISNUMBER(W41),ISNUMBER(W42),W39&lt;&gt;""),ROUND(W42-W39+W40,1),"")</f>
        <v/>
      </c>
      <c r="X45" s="50" t="str">
        <f aca="false">IF(AND(ISNUMBER(X41),ISNUMBER(X42),X39&lt;&gt;""),ROUND(X42-X39+X40,1),"")</f>
        <v/>
      </c>
      <c r="Y45" s="50" t="str">
        <f aca="false">IF(AND(ISNUMBER(Y41),ISNUMBER(Y42),Y39&lt;&gt;""),ROUND(Y42-Y39+Y40,1),"")</f>
        <v/>
      </c>
      <c r="Z45" s="50" t="str">
        <f aca="false">IF(AND(ISNUMBER(Z41),ISNUMBER(Z42),Z39&lt;&gt;""),ROUND(Z42-Z39+Z40,1),"")</f>
        <v/>
      </c>
      <c r="AA45" s="50" t="str">
        <f aca="false">IF(AND(ISNUMBER(AA41),ISNUMBER(AA42),AA39&lt;&gt;""),ROUND(AA42-AA39+AA40,1),"")</f>
        <v/>
      </c>
      <c r="AB45" s="50" t="str">
        <f aca="false">IF(AND(ISNUMBER(AB41),ISNUMBER(AB42),AB39&lt;&gt;""),ROUND(AB42-AB39+AB40,1),"")</f>
        <v/>
      </c>
      <c r="AC45" s="50" t="str">
        <f aca="false">IF(AND(ISNUMBER(AC41),ISNUMBER(AC42),AC39&lt;&gt;""),ROUND(AC42-AC39+AC40,1),"")</f>
        <v/>
      </c>
      <c r="AD45" s="50" t="str">
        <f aca="false">IF(AND(ISNUMBER(AD41),ISNUMBER(AD42),AD39&lt;&gt;""),ROUND(AD42-AD39+AD40,1),"")</f>
        <v/>
      </c>
      <c r="AE45" s="50" t="str">
        <f aca="false">IF(AND(ISNUMBER(AE41),ISNUMBER(AE42),AE39&lt;&gt;""),ROUND(AE42-AE39+AE40,1),"")</f>
        <v/>
      </c>
      <c r="AF45" s="50" t="str">
        <f aca="false">IF(AND(ISNUMBER(AF41),ISNUMBER(AF42),AF39&lt;&gt;""),ROUND(AF42-AF39+AF40,1),"")</f>
        <v/>
      </c>
      <c r="AG45" s="50" t="str">
        <f aca="false">IF(AND(ISNUMBER(AG41),ISNUMBER(AG42),AG39&lt;&gt;""),ROUND(AG42-AG39+AG40,1),"")</f>
        <v/>
      </c>
      <c r="AH45" s="50" t="str">
        <f aca="false">IF(AND(ISNUMBER(AH41),ISNUMBER(AH42),AH39&lt;&gt;""),ROUND(AH42-AH39+AH40,1),"")</f>
        <v/>
      </c>
      <c r="AI45" s="50" t="str">
        <f aca="false">IF(AND(ISNUMBER(AI41),ISNUMBER(AI42),AI39&lt;&gt;""),ROUND(AI42-AI39+AI40,1),"")</f>
        <v/>
      </c>
      <c r="AJ45" s="50" t="str">
        <f aca="false">IF(AND(ISNUMBER(AJ41),ISNUMBER(AJ42),AJ39&lt;&gt;""),ROUND(AJ42-AJ39+AJ40,1),"")</f>
        <v/>
      </c>
      <c r="AK45" s="50" t="str">
        <f aca="false">IF(AND(ISNUMBER(AK41),ISNUMBER(AK42),AK39&lt;&gt;""),ROUND(AK42-AK39+AK40,1),"")</f>
        <v/>
      </c>
      <c r="AL45" s="50" t="str">
        <f aca="false">IF(AND(ISNUMBER(AL41),ISNUMBER(AL42),AL39&lt;&gt;""),ROUND(AL42-AL39+AL40,1),"")</f>
        <v/>
      </c>
      <c r="AM45" s="50" t="str">
        <f aca="false">IF(AND(ISNUMBER(AM41),ISNUMBER(AM42),AM39&lt;&gt;""),ROUND(AM42-AM39+AM40,1),"")</f>
        <v/>
      </c>
      <c r="AN45" s="50" t="str">
        <f aca="false">IF(AND(ISNUMBER(AN41),ISNUMBER(AN42),AN39&lt;&gt;""),ROUND(AN42-AN39+AN40,1),"")</f>
        <v/>
      </c>
      <c r="AO45" s="50" t="str">
        <f aca="false">IF(AND(ISNUMBER(AO41),ISNUMBER(AO42),AO39&lt;&gt;""),ROUND(AO42-AO39+AO40,1),"")</f>
        <v/>
      </c>
      <c r="AP45" s="50" t="str">
        <f aca="false">IF(AND(ISNUMBER(AP41),ISNUMBER(AP42),AP39&lt;&gt;""),ROUND(AP42-AP39+AP40,1),"")</f>
        <v/>
      </c>
      <c r="AQ45" s="50" t="str">
        <f aca="false">IF(AND(ISNUMBER(AQ41),ISNUMBER(AQ42),AQ39&lt;&gt;""),ROUND(AQ42-AQ39+AQ40,1),"")</f>
        <v/>
      </c>
      <c r="AR45" s="50" t="str">
        <f aca="false">IF(AND(ISNUMBER(AR41),ISNUMBER(AR42),AR39&lt;&gt;""),ROUND(AR42-AR39+AR40,1),"")</f>
        <v/>
      </c>
      <c r="AS45" s="50" t="str">
        <f aca="false">IF(AND(ISNUMBER(AS41),ISNUMBER(AS42),AS39&lt;&gt;""),ROUND(AS42-AS39+AS40,1),"")</f>
        <v/>
      </c>
      <c r="AT45" s="50" t="str">
        <f aca="false">IF(AND(ISNUMBER(AT41),ISNUMBER(AT42),AT39&lt;&gt;""),ROUND(AT42-AT39+AT40,1),"")</f>
        <v/>
      </c>
      <c r="AU45" s="50" t="str">
        <f aca="false">IF(AND(ISNUMBER(AU41),ISNUMBER(AU42),AU39&lt;&gt;""),ROUND(AU42-AU39+AU40,1),"")</f>
        <v/>
      </c>
      <c r="AV45" s="50" t="str">
        <f aca="false">IF(AND(ISNUMBER(AV41),ISNUMBER(AV42),AV39&lt;&gt;""),ROUND(AV42-AV39+AV40,1),"")</f>
        <v/>
      </c>
      <c r="AW45" s="50" t="str">
        <f aca="false">IF(AND(ISNUMBER(AW41),ISNUMBER(AW42),AW39&lt;&gt;""),ROUND(AW42-AW39+AW40,1),"")</f>
        <v/>
      </c>
      <c r="AX45" s="50" t="str">
        <f aca="false">IF(AND(ISNUMBER(AX41),ISNUMBER(AX42),AX39&lt;&gt;""),ROUND(AX42-AX39+AX40,1),"")</f>
        <v/>
      </c>
      <c r="AY45" s="50" t="str">
        <f aca="false">IF(AND(ISNUMBER(AY41),ISNUMBER(AY42),AY39&lt;&gt;""),ROUND(AY42-AY39+AY40,1),"")</f>
        <v/>
      </c>
      <c r="AZ45" s="50" t="str">
        <f aca="false">IF(AND(ISNUMBER(AZ41),ISNUMBER(AZ42),AZ39&lt;&gt;""),ROUND(AZ42-AZ39+AZ40,1),"")</f>
        <v/>
      </c>
      <c r="BA45" s="50" t="str">
        <f aca="false">IF(AND(ISNUMBER(BA41),ISNUMBER(BA42),BA39&lt;&gt;""),ROUND(BA42-BA39+BA40,1),"")</f>
        <v/>
      </c>
      <c r="BB45" s="50" t="str">
        <f aca="false">IF(AND(ISNUMBER(BB41),ISNUMBER(BB42),BB39&lt;&gt;""),ROUND(BB42-BB39+BB40,1),"")</f>
        <v/>
      </c>
      <c r="BC45" s="50" t="str">
        <f aca="false">IF(AND(ISNUMBER(BC41),ISNUMBER(BC42),BC39&lt;&gt;""),ROUND(BC42-BC39+BC40,1),"")</f>
        <v/>
      </c>
      <c r="BD45" s="50" t="str">
        <f aca="false">IF(AND(ISNUMBER(BD41),ISNUMBER(BD42),BD39&lt;&gt;""),ROUND(BD42-BD39+BD40,1),"")</f>
        <v/>
      </c>
      <c r="BE45" s="50" t="n">
        <f aca="false">IF(AND(ISNUMBER(BE41),ISNUMBER(BE42),BE39&lt;&gt;""),ROUND(BE42-BE39+BE40,1),"")</f>
        <v>1.5</v>
      </c>
      <c r="BF45" s="50" t="str">
        <f aca="false">IF(AND(ISNUMBER(BF41),ISNUMBER(BF42),BF39&lt;&gt;""),ROUND(BF42-BF39+BF40,1),"")</f>
        <v/>
      </c>
      <c r="BG45" s="50" t="n">
        <f aca="false">IF(AND(ISNUMBER(BG41),ISNUMBER(BG42),BG39&lt;&gt;""),ROUND(BG42-BG39+BG40,1),"")</f>
        <v>3.4</v>
      </c>
      <c r="BH45" s="50" t="str">
        <f aca="false">IF(AND(ISNUMBER(BH41),ISNUMBER(BH42),BH39&lt;&gt;""),ROUND(BH42-BH39+BH40,1),"")</f>
        <v/>
      </c>
      <c r="BI45" s="50" t="str">
        <f aca="false">IF(AND(ISNUMBER(BI41),ISNUMBER(BI42),BI39&lt;&gt;""),ROUND(BI42-BI39+BI40,1),"")</f>
        <v/>
      </c>
      <c r="BJ45" s="50" t="str">
        <f aca="false">IF(AND(ISNUMBER(BJ41),ISNUMBER(BJ42),BJ39&lt;&gt;""),ROUND(BJ42-BJ39+BJ40,1),"")</f>
        <v/>
      </c>
      <c r="BK45" s="50" t="n">
        <f aca="false">IF(AND(ISNUMBER(BK41),ISNUMBER(BK42),BK39&lt;&gt;""),ROUND(BK42-BK39+BK40,1),"")</f>
        <v>3.3</v>
      </c>
      <c r="BL45" s="50" t="str">
        <f aca="false">IF(AND(ISNUMBER(BL41),ISNUMBER(BL42),BL39&lt;&gt;""),ROUND(BL42-BL39+BL40,1),"")</f>
        <v/>
      </c>
      <c r="BM45" s="50" t="str">
        <f aca="false">IF(AND(ISNUMBER(BM41),ISNUMBER(BM42),BM39&lt;&gt;""),ROUND(BM42-BM39+BM40,1),"")</f>
        <v/>
      </c>
      <c r="BN45" s="50" t="str">
        <f aca="false">IF(AND(ISNUMBER(BN41),ISNUMBER(BN42),BN39&lt;&gt;""),ROUND(BN42-BN39+BN40,1),"")</f>
        <v/>
      </c>
      <c r="BO45" s="50" t="str">
        <f aca="false">IF(AND(ISNUMBER(BO41),ISNUMBER(BO42),BO39&lt;&gt;""),ROUND(BO42-BO39+BO40,1),"")</f>
        <v/>
      </c>
      <c r="BP45" s="50" t="n">
        <f aca="false">IF(AND(ISNUMBER(BP41),ISNUMBER(BP42),BP39&lt;&gt;""),ROUND(BP42-BP39+BP40,1),"")</f>
        <v>2.9</v>
      </c>
      <c r="BQ45" s="50" t="str">
        <f aca="false">IF(AND(ISNUMBER(BQ41),ISNUMBER(BQ42),BQ39&lt;&gt;""),ROUND(BQ42-BQ39+BQ40,1),"")</f>
        <v/>
      </c>
      <c r="BR45" s="50" t="str">
        <f aca="false">IF(AND(ISNUMBER(BR41),ISNUMBER(BR42),BR39&lt;&gt;""),ROUND(BR42-BR39+BR40,1),"")</f>
        <v/>
      </c>
      <c r="BS45" s="50" t="str">
        <f aca="false">IF(AND(ISNUMBER(BS41),ISNUMBER(BS42),BS39&lt;&gt;""),ROUND(BS42-BS39+BS40,1),"")</f>
        <v/>
      </c>
      <c r="BT45" s="50" t="str">
        <f aca="false">IF(AND(ISNUMBER(BT41),ISNUMBER(BT42),BT39&lt;&gt;""),ROUND(BT42-BT39+BT40,1),"")</f>
        <v/>
      </c>
      <c r="BU45" s="50" t="str">
        <f aca="false">IF(AND(ISNUMBER(BU41),ISNUMBER(BU42),BU39&lt;&gt;""),ROUND(BU42-BU39+BU40,1),"")</f>
        <v/>
      </c>
      <c r="BV45" s="50" t="str">
        <f aca="false">IF(AND(ISNUMBER(BV41),ISNUMBER(BV42),BV39&lt;&gt;""),ROUND(BV42-BV39+BV40,1),"")</f>
        <v/>
      </c>
      <c r="BW45" s="50" t="n">
        <f aca="false">IF(AND(ISNUMBER(BW41),ISNUMBER(BW42),BW39&lt;&gt;""),ROUND(BW42-BW39+BW40,1),"")</f>
        <v>2.4</v>
      </c>
      <c r="BX45" s="50" t="str">
        <f aca="false">IF(AND(ISNUMBER(BX41),ISNUMBER(BX42),BX39&lt;&gt;""),ROUND(BX42-BX39+BX40,1),"")</f>
        <v/>
      </c>
      <c r="BY45" s="50" t="str">
        <f aca="false">IF(AND(ISNUMBER(BY41),ISNUMBER(BY42),BY39&lt;&gt;""),ROUND(BY42-BY39+BY40,1),"")</f>
        <v/>
      </c>
      <c r="BZ45" s="50" t="str">
        <f aca="false">IF(AND(ISNUMBER(BZ41),ISNUMBER(BZ42),BZ39&lt;&gt;""),ROUND(BZ42-BZ39+BZ40,1),"")</f>
        <v/>
      </c>
      <c r="CA45" s="50" t="str">
        <f aca="false">IF(AND(ISNUMBER(CA41),ISNUMBER(CA42),CA39&lt;&gt;""),ROUND(CA42-CA39+CA40,1),"")</f>
        <v/>
      </c>
      <c r="CB45" s="50" t="str">
        <f aca="false">IF(AND(ISNUMBER(CB41),ISNUMBER(CB42),CB39&lt;&gt;""),ROUND(CB42-CB39+CB40,1),"")</f>
        <v/>
      </c>
      <c r="CC45" s="50" t="str">
        <f aca="false">IF(AND(ISNUMBER(CC41),ISNUMBER(CC42),CC39&lt;&gt;""),ROUND(CC42-CC39+CC40,1),"")</f>
        <v/>
      </c>
      <c r="CD45" s="50" t="n">
        <f aca="false">IF(AND(ISNUMBER(CD41),ISNUMBER(CD42),CD39&lt;&gt;""),ROUND(CD42-CD39+CD40,1),"")</f>
        <v>2.2</v>
      </c>
      <c r="CE45" s="50" t="str">
        <f aca="false">IF(AND(ISNUMBER(CE41),ISNUMBER(CE42),CE39&lt;&gt;""),ROUND(CE42-CE39+CE40,1),"")</f>
        <v/>
      </c>
      <c r="CF45" s="50" t="str">
        <f aca="false">IF(AND(ISNUMBER(CF41),ISNUMBER(CF42),CF39&lt;&gt;""),ROUND(CF42-CF39+CF40,1),"")</f>
        <v/>
      </c>
      <c r="CG45" s="50" t="str">
        <f aca="false">IF(AND(ISNUMBER(CG41),ISNUMBER(CG42),CG39&lt;&gt;""),ROUND(CG42-CG39+CG40,1),"")</f>
        <v/>
      </c>
      <c r="CH45" s="50" t="n">
        <f aca="false">IF(AND(ISNUMBER(CH41),ISNUMBER(CH42),CH39&lt;&gt;""),ROUND(CH42-CH39+CH40,1),"")</f>
        <v>3.9</v>
      </c>
      <c r="CI45" s="50" t="str">
        <f aca="false">IF(AND(ISNUMBER(CI41),ISNUMBER(CI42),CI39&lt;&gt;""),ROUND(CI42-CI39+CI40,1),"")</f>
        <v/>
      </c>
      <c r="CJ45" s="50" t="str">
        <f aca="false">IF(AND(ISNUMBER(CJ41),ISNUMBER(CJ42),CJ39&lt;&gt;""),ROUND(CJ42-CJ39+CJ40,1),"")</f>
        <v/>
      </c>
      <c r="CK45" s="50" t="str">
        <f aca="false">IF(AND(ISNUMBER(CK41),ISNUMBER(CK42),CK39&lt;&gt;""),ROUND(CK42-CK39+CK40,1),"")</f>
        <v/>
      </c>
      <c r="CL45" s="50" t="str">
        <f aca="false">IF(AND(ISNUMBER(CL41),ISNUMBER(CL42),CL39&lt;&gt;""),ROUND(CL42-CL39+CL40,1),"")</f>
        <v/>
      </c>
      <c r="CM45" s="50" t="str">
        <f aca="false">IF(AND(ISNUMBER(CM41),ISNUMBER(CM42),CM39&lt;&gt;""),ROUND(CM42-CM39+CM40,1),"")</f>
        <v/>
      </c>
      <c r="CN45" s="50" t="str">
        <f aca="false">IF(AND(ISNUMBER(CN41),ISNUMBER(CN42),CN39&lt;&gt;""),ROUND(CN42-CN39+CN40,1),"")</f>
        <v/>
      </c>
      <c r="CO45" s="50" t="str">
        <f aca="false">IF(AND(ISNUMBER(CO41),ISNUMBER(CO42),CO39&lt;&gt;""),ROUND(CO42-CO39+CO40,1),"")</f>
        <v/>
      </c>
      <c r="CP45" s="50" t="str">
        <f aca="false">IF(AND(ISNUMBER(CP41),ISNUMBER(CP42),CP39&lt;&gt;""),ROUND(CP42-CP39+CP40,1),"")</f>
        <v/>
      </c>
      <c r="CQ45" s="50" t="str">
        <f aca="false">IF(AND(ISNUMBER(CQ41),ISNUMBER(CQ42),CQ39&lt;&gt;""),ROUND(CQ42-CQ39+CQ40,1),"")</f>
        <v/>
      </c>
      <c r="CR45" s="50" t="str">
        <f aca="false">IF(AND(ISNUMBER(CR41),ISNUMBER(CR42),CR39&lt;&gt;""),ROUND(CR42-CR39+CR40,1),"")</f>
        <v/>
      </c>
      <c r="CS45" s="50" t="str">
        <f aca="false">IF(AND(ISNUMBER(CS41),ISNUMBER(CS42),CS39&lt;&gt;""),ROUND(CS42-CS39+CS40,1),"")</f>
        <v/>
      </c>
      <c r="CT45" s="50" t="str">
        <f aca="false">IF(AND(ISNUMBER(CT41),ISNUMBER(CT42),CT39&lt;&gt;""),ROUND(CT42-CT39+CT40,1),"")</f>
        <v/>
      </c>
      <c r="CU45" s="50" t="str">
        <f aca="false">IF(AND(ISNUMBER(CU41),ISNUMBER(CU42),CU39&lt;&gt;""),ROUND(CU42-CU39+CU40,1),"")</f>
        <v/>
      </c>
      <c r="CV45" s="50" t="str">
        <f aca="false">IF(AND(ISNUMBER(CV41),ISNUMBER(CV42),CV39&lt;&gt;""),ROUND(CV42-CV39+CV40,1),"")</f>
        <v/>
      </c>
      <c r="CW45" s="50" t="n">
        <f aca="false">IF(AND(ISNUMBER(CW41),ISNUMBER(CW42),CW39&lt;&gt;""),ROUND(CW42-CW39+CW40,1),"")</f>
        <v>1</v>
      </c>
      <c r="CX45" s="50" t="str">
        <f aca="false">IF(AND(ISNUMBER(CX41),ISNUMBER(CX42),CX39&lt;&gt;""),ROUND(CX42-CX39+CX40,1),"")</f>
        <v/>
      </c>
      <c r="CY45" s="50" t="str">
        <f aca="false">IF(AND(ISNUMBER(CY41),ISNUMBER(CY42),CY39&lt;&gt;""),ROUND(CY42-CY39+CY40,1),"")</f>
        <v/>
      </c>
      <c r="CZ45" s="50" t="n">
        <f aca="false">IF(AND(ISNUMBER(CZ41),ISNUMBER(CZ42),CZ39&lt;&gt;""),ROUND(CZ42-CZ39+CZ40,1),"")</f>
        <v>1.9</v>
      </c>
      <c r="DA45" s="50" t="str">
        <f aca="false">IF(AND(ISNUMBER(DA41),ISNUMBER(DA42),DA39&lt;&gt;""),ROUND(DA42-DA39+DA40,1),"")</f>
        <v/>
      </c>
      <c r="DB45" s="50" t="str">
        <f aca="false">IF(AND(ISNUMBER(DB41),ISNUMBER(DB42),DB39&lt;&gt;""),ROUND(DB42-DB39+DB40,1),"")</f>
        <v/>
      </c>
      <c r="DC45" s="50" t="n">
        <f aca="false">IF(AND(ISNUMBER(DC41),ISNUMBER(DC42),DC39&lt;&gt;""),ROUND(DC42-DC39+DC40,1),"")</f>
        <v>2.6</v>
      </c>
      <c r="DD45" s="50" t="str">
        <f aca="false">IF(AND(ISNUMBER(DD41),ISNUMBER(DD42),DD39&lt;&gt;""),ROUND(DD42-DD39+DD40,1),"")</f>
        <v/>
      </c>
      <c r="DE45" s="50" t="str">
        <f aca="false">IF(AND(ISNUMBER(DE41),ISNUMBER(DE42),DE39&lt;&gt;""),ROUND(DE42-DE39+DE40,1),"")</f>
        <v/>
      </c>
      <c r="DF45" s="50" t="str">
        <f aca="false">IF(AND(ISNUMBER(DF41),ISNUMBER(DF42),DF39&lt;&gt;""),ROUND(DF42-DF39+DF40,1),"")</f>
        <v/>
      </c>
      <c r="DG45" s="50" t="n">
        <f aca="false">IF(AND(ISNUMBER(DG41),ISNUMBER(DG42),DG39&lt;&gt;""),ROUND(DG42-DG39+DG40,1),"")</f>
        <v>1.3</v>
      </c>
      <c r="DH45" s="50" t="str">
        <f aca="false">IF(AND(ISNUMBER(DH41),ISNUMBER(DH42),DH39&lt;&gt;""),ROUND(DH42-DH39+DH40,1),"")</f>
        <v/>
      </c>
      <c r="DI45" s="50" t="str">
        <f aca="false">IF(AND(ISNUMBER(DI41),ISNUMBER(DI42),DI39&lt;&gt;""),ROUND(DI42-DI39+DI40,1),"")</f>
        <v/>
      </c>
      <c r="DJ45" s="50" t="str">
        <f aca="false">IF(AND(ISNUMBER(DJ41),ISNUMBER(DJ42),DJ39&lt;&gt;""),ROUND(DJ42-DJ39+DJ40,1),"")</f>
        <v/>
      </c>
      <c r="DK45" s="50" t="str">
        <f aca="false">IF(AND(ISNUMBER(DK41),ISNUMBER(DK42),DK39&lt;&gt;""),ROUND(DK42-DK39+DK40,1),"")</f>
        <v/>
      </c>
      <c r="DL45" s="50" t="str">
        <f aca="false">IF(AND(ISNUMBER(DL41),ISNUMBER(DL42),DL39&lt;&gt;""),ROUND(DL42-DL39+DL40,1),"")</f>
        <v/>
      </c>
      <c r="DM45" s="50" t="str">
        <f aca="false">IF(AND(ISNUMBER(DM41),ISNUMBER(DM42),DM39&lt;&gt;""),ROUND(DM42-DM39+DM40,1),"")</f>
        <v/>
      </c>
      <c r="DN45" s="50" t="n">
        <f aca="false">IF(AND(ISNUMBER(DN41),ISNUMBER(DN42),DN39&lt;&gt;""),ROUND(DN42-DN39+DN40,1),"")</f>
        <v>1.1</v>
      </c>
      <c r="DO45" s="50" t="str">
        <f aca="false">IF(AND(ISNUMBER(DO41),ISNUMBER(DO42),DO39&lt;&gt;""),ROUND(DO42-DO39+DO40,1),"")</f>
        <v/>
      </c>
      <c r="DP45" s="50" t="str">
        <f aca="false">IF(AND(ISNUMBER(DP41),ISNUMBER(DP42),DP39&lt;&gt;""),ROUND(DP42-DP39+DP40,1),"")</f>
        <v/>
      </c>
      <c r="DQ45" s="50" t="str">
        <f aca="false">IF(AND(ISNUMBER(DQ41),ISNUMBER(DQ42),DQ39&lt;&gt;""),ROUND(DQ42-DQ39+DQ40,1),"")</f>
        <v/>
      </c>
      <c r="DR45" s="50" t="str">
        <f aca="false">IF(AND(ISNUMBER(DR41),ISNUMBER(DR42),DR39&lt;&gt;""),ROUND(DR42-DR39+DR40,1),"")</f>
        <v/>
      </c>
      <c r="DS45" s="50" t="str">
        <f aca="false">IF(AND(ISNUMBER(DS41),ISNUMBER(DS42),DS39&lt;&gt;""),ROUND(DS42-DS39+DS40,1),"")</f>
        <v/>
      </c>
      <c r="DT45" s="50" t="str">
        <f aca="false">IF(AND(ISNUMBER(DT41),ISNUMBER(DT42),DT39&lt;&gt;""),ROUND(DT42-DT39+DT40,1),"")</f>
        <v/>
      </c>
      <c r="DU45" s="50" t="n">
        <f aca="false">IF(AND(ISNUMBER(DU41),ISNUMBER(DU42),DU39&lt;&gt;""),ROUND(DU42-DU39+DU40,1),"")</f>
        <v>1.5</v>
      </c>
      <c r="DV45" s="50" t="str">
        <f aca="false">IF(AND(ISNUMBER(DV41),ISNUMBER(DV42),DV39&lt;&gt;""),ROUND(DV42-DV39+DV40,1),"")</f>
        <v/>
      </c>
      <c r="DW45" s="50" t="str">
        <f aca="false">IF(AND(ISNUMBER(DW41),ISNUMBER(DW42),DW39&lt;&gt;""),ROUND(DW42-DW39+DW40,1),"")</f>
        <v/>
      </c>
      <c r="DX45" s="50" t="str">
        <f aca="false">IF(AND(ISNUMBER(DX41),ISNUMBER(DX42),DX39&lt;&gt;""),ROUND(DX42-DX39+DX40,1),"")</f>
        <v/>
      </c>
      <c r="DY45" s="50" t="str">
        <f aca="false">IF(AND(ISNUMBER(DY41),ISNUMBER(DY42),DY39&lt;&gt;""),ROUND(DY42-DY39+DY40,1),"")</f>
        <v/>
      </c>
      <c r="DZ45" s="50" t="str">
        <f aca="false">IF(AND(ISNUMBER(DZ41),ISNUMBER(DZ42),DZ39&lt;&gt;""),ROUND(DZ42-DZ39+DZ40,1),"")</f>
        <v/>
      </c>
      <c r="EA45" s="50" t="str">
        <f aca="false">IF(AND(ISNUMBER(EA41),ISNUMBER(EA42),EA39&lt;&gt;""),ROUND(EA42-EA39+EA40,1),"")</f>
        <v/>
      </c>
      <c r="EB45" s="50" t="n">
        <f aca="false">IF(AND(ISNUMBER(EB41),ISNUMBER(EB42),EB39&lt;&gt;""),ROUND(EB42-EB39+EB40,1),"")</f>
        <v>1.5</v>
      </c>
      <c r="EC45" s="50" t="str">
        <f aca="false">IF(AND(ISNUMBER(EC41),ISNUMBER(EC42),EC39&lt;&gt;""),ROUND(EC42-EC39+EC40,1),"")</f>
        <v/>
      </c>
      <c r="ED45" s="50" t="str">
        <f aca="false">IF(AND(ISNUMBER(ED41),ISNUMBER(ED42),ED39&lt;&gt;""),ROUND(ED42-ED39+ED40,1),"")</f>
        <v/>
      </c>
      <c r="EE45" s="50" t="str">
        <f aca="false">IF(AND(ISNUMBER(EE41),ISNUMBER(EE42),EE39&lt;&gt;""),ROUND(EE42-EE39+EE40,1),"")</f>
        <v/>
      </c>
      <c r="EF45" s="50" t="str">
        <f aca="false">IF(AND(ISNUMBER(EF41),ISNUMBER(EF42),EF39&lt;&gt;""),ROUND(EF42-EF39+EF40,1),"")</f>
        <v/>
      </c>
      <c r="EG45" s="50" t="str">
        <f aca="false">IF(AND(ISNUMBER(EG41),ISNUMBER(EG42),EG39&lt;&gt;""),ROUND(EG42-EG39+EG40,1),"")</f>
        <v/>
      </c>
      <c r="EH45" s="50" t="str">
        <f aca="false">IF(AND(ISNUMBER(EH41),ISNUMBER(EH42),EH39&lt;&gt;""),ROUND(EH42-EH39+EH40,1),"")</f>
        <v/>
      </c>
      <c r="EI45" s="50" t="str">
        <f aca="false">IF(AND(ISNUMBER(EI41),ISNUMBER(EI42),EI39&lt;&gt;""),ROUND(EI42-EI39+EI40,1),"")</f>
        <v/>
      </c>
      <c r="EJ45" s="50" t="n">
        <f aca="false">IF(AND(ISNUMBER(EJ41),ISNUMBER(EJ42),EJ39&lt;&gt;""),ROUND(EJ42-EJ39+EJ40,1),"")</f>
        <v>3.9</v>
      </c>
      <c r="EK45" s="50" t="str">
        <f aca="false">IF(AND(ISNUMBER(EK41),ISNUMBER(EK42),EK39&lt;&gt;""),ROUND(EK42-EK39+EK40,1),"")</f>
        <v/>
      </c>
      <c r="EL45" s="50" t="str">
        <f aca="false">IF(AND(ISNUMBER(EL41),ISNUMBER(EL42),EL39&lt;&gt;""),ROUND(EL42-EL39+EL40,1),"")</f>
        <v/>
      </c>
      <c r="EM45" s="50" t="str">
        <f aca="false">IF(AND(ISNUMBER(EM41),ISNUMBER(EM42),EM39&lt;&gt;""),ROUND(EM42-EM39+EM40,1),"")</f>
        <v/>
      </c>
      <c r="EN45" s="50" t="str">
        <f aca="false">IF(AND(ISNUMBER(EN41),ISNUMBER(EN42),EN39&lt;&gt;""),ROUND(EN42-EN39+EN40,1),"")</f>
        <v/>
      </c>
      <c r="EO45" s="50" t="str">
        <f aca="false">IF(AND(ISNUMBER(EO41),ISNUMBER(EO42),EO39&lt;&gt;""),ROUND(EO42-EO39+EO40,1),"")</f>
        <v/>
      </c>
      <c r="EP45" s="50" t="str">
        <f aca="false">IF(AND(ISNUMBER(EP41),ISNUMBER(EP42),EP39&lt;&gt;""),ROUND(EP42-EP39+EP40,1),"")</f>
        <v/>
      </c>
      <c r="EQ45" s="50" t="str">
        <f aca="false">IF(AND(ISNUMBER(EQ41),ISNUMBER(EQ42),EQ39&lt;&gt;""),ROUND(EQ42-EQ39+EQ40,1),"")</f>
        <v/>
      </c>
      <c r="ER45" s="50" t="str">
        <f aca="false">IF(AND(ISNUMBER(ER41),ISNUMBER(ER42),ER39&lt;&gt;""),ROUND(ER42-ER39+ER40,1),"")</f>
        <v/>
      </c>
      <c r="ES45" s="50" t="str">
        <f aca="false">IF(AND(ISNUMBER(ES41),ISNUMBER(ES42),ES39&lt;&gt;""),ROUND(ES42-ES39+ES40,1),"")</f>
        <v/>
      </c>
      <c r="ET45" s="50" t="str">
        <f aca="false">IF(AND(ISNUMBER(ET41),ISNUMBER(ET42),ET39&lt;&gt;""),ROUND(ET42-ET39+ET40,1),"")</f>
        <v/>
      </c>
      <c r="EU45" s="50" t="str">
        <f aca="false">IF(AND(ISNUMBER(EU41),ISNUMBER(EU42),EU39&lt;&gt;""),ROUND(EU42-EU39+EU40,1),"")</f>
        <v/>
      </c>
      <c r="EV45" s="50" t="str">
        <f aca="false">IF(AND(ISNUMBER(EV41),ISNUMBER(EV42),EV39&lt;&gt;""),ROUND(EV42-EV39+EV40,1),"")</f>
        <v/>
      </c>
      <c r="EW45" s="50" t="str">
        <f aca="false">IF(AND(ISNUMBER(EW41),ISNUMBER(EW42),EW39&lt;&gt;""),ROUND(EW42-EW39+EW40,1),"")</f>
        <v/>
      </c>
      <c r="EX45" s="50" t="str">
        <f aca="false">IF(AND(ISNUMBER(EX41),ISNUMBER(EX42),EX39&lt;&gt;""),ROUND(EX42-EX39+EX40,1),"")</f>
        <v/>
      </c>
      <c r="EY45" s="50" t="str">
        <f aca="false">IF(AND(ISNUMBER(EY41),ISNUMBER(EY42),EY39&lt;&gt;""),ROUND(EY42-EY39+EY40,1),"")</f>
        <v/>
      </c>
      <c r="EZ45" s="50" t="str">
        <f aca="false">IF(AND(ISNUMBER(EZ41),ISNUMBER(EZ42),EZ39&lt;&gt;""),ROUND(EZ42-EZ39+EZ40,1),"")</f>
        <v/>
      </c>
      <c r="FA45" s="50" t="str">
        <f aca="false">IF(AND(ISNUMBER(FA41),ISNUMBER(FA42),FA39&lt;&gt;""),ROUND(FA42-FA39+FA40,1),"")</f>
        <v/>
      </c>
      <c r="FB45" s="50" t="str">
        <f aca="false">IF(AND(ISNUMBER(FB41),ISNUMBER(FB42),FB39&lt;&gt;""),ROUND(FB42-FB39+FB40,1),"")</f>
        <v/>
      </c>
      <c r="FC45" s="50" t="str">
        <f aca="false">IF(AND(ISNUMBER(FC41),ISNUMBER(FC42),FC39&lt;&gt;""),ROUND(FC42-FC39+FC40,1),"")</f>
        <v/>
      </c>
      <c r="FD45" s="50" t="str">
        <f aca="false">IF(AND(ISNUMBER(FD41),ISNUMBER(FD42),FD39&lt;&gt;""),ROUND(FD42-FD39+FD40,1),"")</f>
        <v/>
      </c>
      <c r="FE45" s="50" t="str">
        <f aca="false">IF(AND(ISNUMBER(FE41),ISNUMBER(FE42),FE39&lt;&gt;""),ROUND(FE42-FE39+FE40,1),"")</f>
        <v/>
      </c>
      <c r="FF45" s="50" t="str">
        <f aca="false">IF(AND(ISNUMBER(FF41),ISNUMBER(FF42),FF39&lt;&gt;""),ROUND(FF42-FF39+FF40,1),"")</f>
        <v/>
      </c>
      <c r="FG45" s="50" t="str">
        <f aca="false">IF(AND(ISNUMBER(FG41),ISNUMBER(FG42),FG39&lt;&gt;""),ROUND(FG42-FG39+FG40,1),"")</f>
        <v/>
      </c>
      <c r="FH45" s="50" t="str">
        <f aca="false">IF(AND(ISNUMBER(FH41),ISNUMBER(FH42),FH39&lt;&gt;""),ROUND(FH42-FH39+FH40,1),"")</f>
        <v/>
      </c>
      <c r="FI45" s="50" t="str">
        <f aca="false">IF(AND(ISNUMBER(FI41),ISNUMBER(FI42),FI39&lt;&gt;""),ROUND(FI42-FI39+FI40,1),"")</f>
        <v/>
      </c>
      <c r="FJ45" s="50" t="str">
        <f aca="false">IF(AND(ISNUMBER(FJ41),ISNUMBER(FJ42),FJ39&lt;&gt;""),ROUND(FJ42-FJ39+FJ40,1),"")</f>
        <v/>
      </c>
      <c r="FK45" s="50" t="str">
        <f aca="false">IF(AND(ISNUMBER(FK41),ISNUMBER(FK42),FK39&lt;&gt;""),ROUND(FK42-FK39+FK40,1),"")</f>
        <v/>
      </c>
      <c r="FL45" s="50" t="str">
        <f aca="false">IF(AND(ISNUMBER(FL41),ISNUMBER(FL42),FL39&lt;&gt;""),ROUND(FL42-FL39+FL40,1),"")</f>
        <v/>
      </c>
      <c r="FM45" s="50" t="str">
        <f aca="false">IF(AND(ISNUMBER(FM41),ISNUMBER(FM42),FM39&lt;&gt;""),ROUND(FM42-FM39+FM40,1),"")</f>
        <v/>
      </c>
      <c r="FN45" s="50" t="str">
        <f aca="false">IF(AND(ISNUMBER(FN41),ISNUMBER(FN42),FN39&lt;&gt;""),ROUND(FN42-FN39+FN40,1),"")</f>
        <v/>
      </c>
      <c r="FO45" s="50" t="str">
        <f aca="false">IF(AND(ISNUMBER(FO41),ISNUMBER(FO42),FO39&lt;&gt;""),ROUND(FO42-FO39+FO40,1),"")</f>
        <v/>
      </c>
      <c r="FP45" s="50" t="str">
        <f aca="false">IF(AND(ISNUMBER(FP41),ISNUMBER(FP42),FP39&lt;&gt;""),ROUND(FP42-FP39+FP40,1),"")</f>
        <v/>
      </c>
      <c r="FQ45" s="50" t="str">
        <f aca="false">IF(AND(ISNUMBER(FQ41),ISNUMBER(FQ42),FQ39&lt;&gt;""),ROUND(FQ42-FQ39+FQ40,1),"")</f>
        <v/>
      </c>
    </row>
    <row r="46" customFormat="false" ht="15" hidden="false" customHeight="false" outlineLevel="0" collapsed="false">
      <c r="A46" s="33" t="s">
        <v>83</v>
      </c>
      <c r="B46" s="20" t="s">
        <v>420</v>
      </c>
      <c r="C46" s="48" t="n">
        <f aca="false">ROUND(SUM($D$46:$FQ$46),0)</f>
        <v>271</v>
      </c>
      <c r="D46" s="50" t="str">
        <f aca="false">IF(AND(ISNUMBER(D37),ISNUMBER(D44),ISNUMBER(D45)),ROUND((D45-MAX(D44,0))*10,1),"")</f>
        <v/>
      </c>
      <c r="E46" s="50" t="str">
        <f aca="false">IF(AND(ISNUMBER(E37),ISNUMBER(E44),ISNUMBER(E45)),ROUND((E45-MAX(E44,0))*10,1),"")</f>
        <v/>
      </c>
      <c r="F46" s="50" t="str">
        <f aca="false">IF(AND(ISNUMBER(F37),ISNUMBER(F44),ISNUMBER(F45)),ROUND((F45-MAX(F44,0))*10,1),"")</f>
        <v/>
      </c>
      <c r="G46" s="50" t="str">
        <f aca="false">IF(AND(ISNUMBER(G37),ISNUMBER(G44),ISNUMBER(G45)),ROUND((G45-MAX(G44,0))*10,1),"")</f>
        <v/>
      </c>
      <c r="H46" s="50" t="str">
        <f aca="false">IF(AND(ISNUMBER(H37),ISNUMBER(H44),ISNUMBER(H45)),ROUND((H45-MAX(H44,0))*10,1),"")</f>
        <v/>
      </c>
      <c r="I46" s="50" t="str">
        <f aca="false">IF(AND(ISNUMBER(I37),ISNUMBER(I44),ISNUMBER(I45)),ROUND((I45-MAX(I44,0))*10,1),"")</f>
        <v/>
      </c>
      <c r="J46" s="50" t="str">
        <f aca="false">IF(AND(ISNUMBER(J37),ISNUMBER(J44),ISNUMBER(J45)),ROUND((J45-MAX(J44,0))*10,1),"")</f>
        <v/>
      </c>
      <c r="K46" s="50" t="str">
        <f aca="false">IF(AND(ISNUMBER(K37),ISNUMBER(K44),ISNUMBER(K45)),ROUND((K45-MAX(K44,0))*10,1),"")</f>
        <v/>
      </c>
      <c r="L46" s="50" t="str">
        <f aca="false">IF(AND(ISNUMBER(L37),ISNUMBER(L44),ISNUMBER(L45)),ROUND((L45-MAX(L44,0))*10,1),"")</f>
        <v/>
      </c>
      <c r="M46" s="50" t="str">
        <f aca="false">IF(AND(ISNUMBER(M37),ISNUMBER(M44),ISNUMBER(M45)),ROUND((M45-MAX(M44,0))*10,1),"")</f>
        <v/>
      </c>
      <c r="N46" s="50" t="str">
        <f aca="false">IF(AND(ISNUMBER(N37),ISNUMBER(N44),ISNUMBER(N45)),ROUND((N45-MAX(N44,0))*10,1),"")</f>
        <v/>
      </c>
      <c r="O46" s="50" t="str">
        <f aca="false">IF(AND(ISNUMBER(O37),ISNUMBER(O44),ISNUMBER(O45)),ROUND((O45-MAX(O44,0))*10,1),"")</f>
        <v/>
      </c>
      <c r="P46" s="50" t="str">
        <f aca="false">IF(AND(ISNUMBER(P37),ISNUMBER(P44),ISNUMBER(P45)),ROUND((P45-MAX(P44,0))*10,1),"")</f>
        <v/>
      </c>
      <c r="Q46" s="50" t="str">
        <f aca="false">IF(AND(ISNUMBER(Q37),ISNUMBER(Q44),ISNUMBER(Q45)),ROUND((Q45-MAX(Q44,0))*10,1),"")</f>
        <v/>
      </c>
      <c r="R46" s="50" t="str">
        <f aca="false">IF(AND(ISNUMBER(R37),ISNUMBER(R44),ISNUMBER(R45)),ROUND((R45-MAX(R44,0))*10,1),"")</f>
        <v/>
      </c>
      <c r="S46" s="50" t="str">
        <f aca="false">IF(AND(ISNUMBER(S37),ISNUMBER(S44),ISNUMBER(S45)),ROUND((S45-MAX(S44,0))*10,1),"")</f>
        <v/>
      </c>
      <c r="T46" s="50" t="str">
        <f aca="false">IF(AND(ISNUMBER(T37),ISNUMBER(T44),ISNUMBER(T45)),ROUND((T45-MAX(T44,0))*10,1),"")</f>
        <v/>
      </c>
      <c r="U46" s="50" t="str">
        <f aca="false">IF(AND(ISNUMBER(U37),ISNUMBER(U44),ISNUMBER(U45)),ROUND((U45-MAX(U44,0))*10,1),"")</f>
        <v/>
      </c>
      <c r="V46" s="50" t="str">
        <f aca="false">IF(AND(ISNUMBER(V37),ISNUMBER(V44),ISNUMBER(V45)),ROUND((V45-MAX(V44,0))*10,1),"")</f>
        <v/>
      </c>
      <c r="W46" s="50" t="str">
        <f aca="false">IF(AND(ISNUMBER(W37),ISNUMBER(W44),ISNUMBER(W45)),ROUND((W45-MAX(W44,0))*10,1),"")</f>
        <v/>
      </c>
      <c r="X46" s="50" t="str">
        <f aca="false">IF(AND(ISNUMBER(X37),ISNUMBER(X44),ISNUMBER(X45)),ROUND((X45-MAX(X44,0))*10,1),"")</f>
        <v/>
      </c>
      <c r="Y46" s="50" t="str">
        <f aca="false">IF(AND(ISNUMBER(Y37),ISNUMBER(Y44),ISNUMBER(Y45)),ROUND((Y45-MAX(Y44,0))*10,1),"")</f>
        <v/>
      </c>
      <c r="Z46" s="50" t="str">
        <f aca="false">IF(AND(ISNUMBER(Z37),ISNUMBER(Z44),ISNUMBER(Z45)),ROUND((Z45-MAX(Z44,0))*10,1),"")</f>
        <v/>
      </c>
      <c r="AA46" s="50" t="str">
        <f aca="false">IF(AND(ISNUMBER(AA37),ISNUMBER(AA44),ISNUMBER(AA45)),ROUND((AA45-MAX(AA44,0))*10,1),"")</f>
        <v/>
      </c>
      <c r="AB46" s="50" t="str">
        <f aca="false">IF(AND(ISNUMBER(AB37),ISNUMBER(AB44),ISNUMBER(AB45)),ROUND((AB45-MAX(AB44,0))*10,1),"")</f>
        <v/>
      </c>
      <c r="AC46" s="50" t="str">
        <f aca="false">IF(AND(ISNUMBER(AC37),ISNUMBER(AC44),ISNUMBER(AC45)),ROUND((AC45-MAX(AC44,0))*10,1),"")</f>
        <v/>
      </c>
      <c r="AD46" s="50" t="str">
        <f aca="false">IF(AND(ISNUMBER(AD37),ISNUMBER(AD44),ISNUMBER(AD45)),ROUND((AD45-MAX(AD44,0))*10,1),"")</f>
        <v/>
      </c>
      <c r="AE46" s="50" t="str">
        <f aca="false">IF(AND(ISNUMBER(AE37),ISNUMBER(AE44),ISNUMBER(AE45)),ROUND((AE45-MAX(AE44,0))*10,1),"")</f>
        <v/>
      </c>
      <c r="AF46" s="50" t="str">
        <f aca="false">IF(AND(ISNUMBER(AF37),ISNUMBER(AF44),ISNUMBER(AF45)),ROUND((AF45-MAX(AF44,0))*10,1),"")</f>
        <v/>
      </c>
      <c r="AG46" s="50" t="str">
        <f aca="false">IF(AND(ISNUMBER(AG37),ISNUMBER(AG44),ISNUMBER(AG45)),ROUND((AG45-MAX(AG44,0))*10,1),"")</f>
        <v/>
      </c>
      <c r="AH46" s="50" t="str">
        <f aca="false">IF(AND(ISNUMBER(AH37),ISNUMBER(AH44),ISNUMBER(AH45)),ROUND((AH45-MAX(AH44,0))*10,1),"")</f>
        <v/>
      </c>
      <c r="AI46" s="50" t="str">
        <f aca="false">IF(AND(ISNUMBER(AI37),ISNUMBER(AI44),ISNUMBER(AI45)),ROUND((AI45-MAX(AI44,0))*10,1),"")</f>
        <v/>
      </c>
      <c r="AJ46" s="50" t="str">
        <f aca="false">IF(AND(ISNUMBER(AJ37),ISNUMBER(AJ44),ISNUMBER(AJ45)),ROUND((AJ45-MAX(AJ44,0))*10,1),"")</f>
        <v/>
      </c>
      <c r="AK46" s="50" t="str">
        <f aca="false">IF(AND(ISNUMBER(AK37),ISNUMBER(AK44),ISNUMBER(AK45)),ROUND((AK45-MAX(AK44,0))*10,1),"")</f>
        <v/>
      </c>
      <c r="AL46" s="50" t="str">
        <f aca="false">IF(AND(ISNUMBER(AL37),ISNUMBER(AL44),ISNUMBER(AL45)),ROUND((AL45-MAX(AL44,0))*10,1),"")</f>
        <v/>
      </c>
      <c r="AM46" s="50" t="str">
        <f aca="false">IF(AND(ISNUMBER(AM37),ISNUMBER(AM44),ISNUMBER(AM45)),ROUND((AM45-MAX(AM44,0))*10,1),"")</f>
        <v/>
      </c>
      <c r="AN46" s="50" t="str">
        <f aca="false">IF(AND(ISNUMBER(AN37),ISNUMBER(AN44),ISNUMBER(AN45)),ROUND((AN45-MAX(AN44,0))*10,1),"")</f>
        <v/>
      </c>
      <c r="AO46" s="50" t="str">
        <f aca="false">IF(AND(ISNUMBER(AO37),ISNUMBER(AO44),ISNUMBER(AO45)),ROUND((AO45-MAX(AO44,0))*10,1),"")</f>
        <v/>
      </c>
      <c r="AP46" s="50" t="str">
        <f aca="false">IF(AND(ISNUMBER(AP37),ISNUMBER(AP44),ISNUMBER(AP45)),ROUND((AP45-MAX(AP44,0))*10,1),"")</f>
        <v/>
      </c>
      <c r="AQ46" s="50" t="str">
        <f aca="false">IF(AND(ISNUMBER(AQ37),ISNUMBER(AQ44),ISNUMBER(AQ45)),ROUND((AQ45-MAX(AQ44,0))*10,1),"")</f>
        <v/>
      </c>
      <c r="AR46" s="50" t="str">
        <f aca="false">IF(AND(ISNUMBER(AR37),ISNUMBER(AR44),ISNUMBER(AR45)),ROUND((AR45-MAX(AR44,0))*10,1),"")</f>
        <v/>
      </c>
      <c r="AS46" s="50" t="str">
        <f aca="false">IF(AND(ISNUMBER(AS37),ISNUMBER(AS44),ISNUMBER(AS45)),ROUND((AS45-MAX(AS44,0))*10,1),"")</f>
        <v/>
      </c>
      <c r="AT46" s="50" t="str">
        <f aca="false">IF(AND(ISNUMBER(AT37),ISNUMBER(AT44),ISNUMBER(AT45)),ROUND((AT45-MAX(AT44,0))*10,1),"")</f>
        <v/>
      </c>
      <c r="AU46" s="50" t="str">
        <f aca="false">IF(AND(ISNUMBER(AU37),ISNUMBER(AU44),ISNUMBER(AU45)),ROUND((AU45-MAX(AU44,0))*10,1),"")</f>
        <v/>
      </c>
      <c r="AV46" s="50" t="str">
        <f aca="false">IF(AND(ISNUMBER(AV37),ISNUMBER(AV44),ISNUMBER(AV45)),ROUND((AV45-MAX(AV44,0))*10,1),"")</f>
        <v/>
      </c>
      <c r="AW46" s="50" t="str">
        <f aca="false">IF(AND(ISNUMBER(AW37),ISNUMBER(AW44),ISNUMBER(AW45)),ROUND((AW45-MAX(AW44,0))*10,1),"")</f>
        <v/>
      </c>
      <c r="AX46" s="50" t="str">
        <f aca="false">IF(AND(ISNUMBER(AX37),ISNUMBER(AX44),ISNUMBER(AX45)),ROUND((AX45-MAX(AX44,0))*10,1),"")</f>
        <v/>
      </c>
      <c r="AY46" s="50" t="str">
        <f aca="false">IF(AND(ISNUMBER(AY37),ISNUMBER(AY44),ISNUMBER(AY45)),ROUND((AY45-MAX(AY44,0))*10,1),"")</f>
        <v/>
      </c>
      <c r="AZ46" s="50" t="str">
        <f aca="false">IF(AND(ISNUMBER(AZ37),ISNUMBER(AZ44),ISNUMBER(AZ45)),ROUND((AZ45-MAX(AZ44,0))*10,1),"")</f>
        <v/>
      </c>
      <c r="BA46" s="50" t="str">
        <f aca="false">IF(AND(ISNUMBER(BA37),ISNUMBER(BA44),ISNUMBER(BA45)),ROUND((BA45-MAX(BA44,0))*10,1),"")</f>
        <v/>
      </c>
      <c r="BB46" s="50" t="str">
        <f aca="false">IF(AND(ISNUMBER(BB37),ISNUMBER(BB44),ISNUMBER(BB45)),ROUND((BB45-MAX(BB44,0))*10,1),"")</f>
        <v/>
      </c>
      <c r="BC46" s="50" t="str">
        <f aca="false">IF(AND(ISNUMBER(BC37),ISNUMBER(BC44),ISNUMBER(BC45)),ROUND((BC45-MAX(BC44,0))*10,1),"")</f>
        <v/>
      </c>
      <c r="BD46" s="50" t="str">
        <f aca="false">IF(AND(ISNUMBER(BD37),ISNUMBER(BD44),ISNUMBER(BD45)),ROUND((BD45-MAX(BD44,0))*10,1),"")</f>
        <v/>
      </c>
      <c r="BE46" s="50" t="n">
        <f aca="false">IF(AND(ISNUMBER(BE37),ISNUMBER(BE44),ISNUMBER(BE45)),ROUND((BE45-MAX(BE44,0))*10,1),"")</f>
        <v>5</v>
      </c>
      <c r="BF46" s="50" t="str">
        <f aca="false">IF(AND(ISNUMBER(BF37),ISNUMBER(BF44),ISNUMBER(BF45)),ROUND((BF45-MAX(BF44,0))*10,1),"")</f>
        <v/>
      </c>
      <c r="BG46" s="50" t="n">
        <f aca="false">IF(AND(ISNUMBER(BG37),ISNUMBER(BG44),ISNUMBER(BG45)),ROUND((BG45-MAX(BG44,0))*10,1),"")</f>
        <v>24</v>
      </c>
      <c r="BH46" s="50" t="str">
        <f aca="false">IF(AND(ISNUMBER(BH37),ISNUMBER(BH44),ISNUMBER(BH45)),ROUND((BH45-MAX(BH44,0))*10,1),"")</f>
        <v/>
      </c>
      <c r="BI46" s="50" t="str">
        <f aca="false">IF(AND(ISNUMBER(BI37),ISNUMBER(BI44),ISNUMBER(BI45)),ROUND((BI45-MAX(BI44,0))*10,1),"")</f>
        <v/>
      </c>
      <c r="BJ46" s="50" t="str">
        <f aca="false">IF(AND(ISNUMBER(BJ37),ISNUMBER(BJ44),ISNUMBER(BJ45)),ROUND((BJ45-MAX(BJ44,0))*10,1),"")</f>
        <v/>
      </c>
      <c r="BK46" s="50" t="n">
        <f aca="false">IF(AND(ISNUMBER(BK37),ISNUMBER(BK44),ISNUMBER(BK45)),ROUND((BK45-MAX(BK44,0))*10,1),"")</f>
        <v>18</v>
      </c>
      <c r="BL46" s="50" t="str">
        <f aca="false">IF(AND(ISNUMBER(BL37),ISNUMBER(BL44),ISNUMBER(BL45)),ROUND((BL45-MAX(BL44,0))*10,1),"")</f>
        <v/>
      </c>
      <c r="BM46" s="50" t="str">
        <f aca="false">IF(AND(ISNUMBER(BM37),ISNUMBER(BM44),ISNUMBER(BM45)),ROUND((BM45-MAX(BM44,0))*10,1),"")</f>
        <v/>
      </c>
      <c r="BN46" s="50" t="str">
        <f aca="false">IF(AND(ISNUMBER(BN37),ISNUMBER(BN44),ISNUMBER(BN45)),ROUND((BN45-MAX(BN44,0))*10,1),"")</f>
        <v/>
      </c>
      <c r="BO46" s="50" t="str">
        <f aca="false">IF(AND(ISNUMBER(BO37),ISNUMBER(BO44),ISNUMBER(BO45)),ROUND((BO45-MAX(BO44,0))*10,1),"")</f>
        <v/>
      </c>
      <c r="BP46" s="50" t="n">
        <f aca="false">IF(AND(ISNUMBER(BP37),ISNUMBER(BP44),ISNUMBER(BP45)),ROUND((BP45-MAX(BP44,0))*10,1),"")</f>
        <v>16</v>
      </c>
      <c r="BQ46" s="50" t="str">
        <f aca="false">IF(AND(ISNUMBER(BQ37),ISNUMBER(BQ44),ISNUMBER(BQ45)),ROUND((BQ45-MAX(BQ44,0))*10,1),"")</f>
        <v/>
      </c>
      <c r="BR46" s="50" t="str">
        <f aca="false">IF(AND(ISNUMBER(BR37),ISNUMBER(BR44),ISNUMBER(BR45)),ROUND((BR45-MAX(BR44,0))*10,1),"")</f>
        <v/>
      </c>
      <c r="BS46" s="50" t="str">
        <f aca="false">IF(AND(ISNUMBER(BS37),ISNUMBER(BS44),ISNUMBER(BS45)),ROUND((BS45-MAX(BS44,0))*10,1),"")</f>
        <v/>
      </c>
      <c r="BT46" s="50" t="str">
        <f aca="false">IF(AND(ISNUMBER(BT37),ISNUMBER(BT44),ISNUMBER(BT45)),ROUND((BT45-MAX(BT44,0))*10,1),"")</f>
        <v/>
      </c>
      <c r="BU46" s="50" t="str">
        <f aca="false">IF(AND(ISNUMBER(BU37),ISNUMBER(BU44),ISNUMBER(BU45)),ROUND((BU45-MAX(BU44,0))*10,1),"")</f>
        <v/>
      </c>
      <c r="BV46" s="50" t="str">
        <f aca="false">IF(AND(ISNUMBER(BV37),ISNUMBER(BV44),ISNUMBER(BV45)),ROUND((BV45-MAX(BV44,0))*10,1),"")</f>
        <v/>
      </c>
      <c r="BW46" s="50" t="n">
        <f aca="false">IF(AND(ISNUMBER(BW37),ISNUMBER(BW44),ISNUMBER(BW45)),ROUND((BW45-MAX(BW44,0))*10,1),"")</f>
        <v>19</v>
      </c>
      <c r="BX46" s="50" t="str">
        <f aca="false">IF(AND(ISNUMBER(BX37),ISNUMBER(BX44),ISNUMBER(BX45)),ROUND((BX45-MAX(BX44,0))*10,1),"")</f>
        <v/>
      </c>
      <c r="BY46" s="50" t="str">
        <f aca="false">IF(AND(ISNUMBER(BY37),ISNUMBER(BY44),ISNUMBER(BY45)),ROUND((BY45-MAX(BY44,0))*10,1),"")</f>
        <v/>
      </c>
      <c r="BZ46" s="50" t="str">
        <f aca="false">IF(AND(ISNUMBER(BZ37),ISNUMBER(BZ44),ISNUMBER(BZ45)),ROUND((BZ45-MAX(BZ44,0))*10,1),"")</f>
        <v/>
      </c>
      <c r="CA46" s="50" t="str">
        <f aca="false">IF(AND(ISNUMBER(CA37),ISNUMBER(CA44),ISNUMBER(CA45)),ROUND((CA45-MAX(CA44,0))*10,1),"")</f>
        <v/>
      </c>
      <c r="CB46" s="50" t="str">
        <f aca="false">IF(AND(ISNUMBER(CB37),ISNUMBER(CB44),ISNUMBER(CB45)),ROUND((CB45-MAX(CB44,0))*10,1),"")</f>
        <v/>
      </c>
      <c r="CC46" s="50" t="str">
        <f aca="false">IF(AND(ISNUMBER(CC37),ISNUMBER(CC44),ISNUMBER(CC45)),ROUND((CC45-MAX(CC44,0))*10,1),"")</f>
        <v/>
      </c>
      <c r="CD46" s="50" t="n">
        <f aca="false">IF(AND(ISNUMBER(CD37),ISNUMBER(CD44),ISNUMBER(CD45)),ROUND((CD45-MAX(CD44,0))*10,1),"")</f>
        <v>22</v>
      </c>
      <c r="CE46" s="50" t="str">
        <f aca="false">IF(AND(ISNUMBER(CE37),ISNUMBER(CE44),ISNUMBER(CE45)),ROUND((CE45-MAX(CE44,0))*10,1),"")</f>
        <v/>
      </c>
      <c r="CF46" s="50" t="str">
        <f aca="false">IF(AND(ISNUMBER(CF37),ISNUMBER(CF44),ISNUMBER(CF45)),ROUND((CF45-MAX(CF44,0))*10,1),"")</f>
        <v/>
      </c>
      <c r="CG46" s="50" t="str">
        <f aca="false">IF(AND(ISNUMBER(CG37),ISNUMBER(CG44),ISNUMBER(CG45)),ROUND((CG45-MAX(CG44,0))*10,1),"")</f>
        <v/>
      </c>
      <c r="CH46" s="50" t="n">
        <f aca="false">IF(AND(ISNUMBER(CH37),ISNUMBER(CH44),ISNUMBER(CH45)),ROUND((CH45-MAX(CH44,0))*10,1),"")</f>
        <v>29</v>
      </c>
      <c r="CI46" s="50" t="str">
        <f aca="false">IF(AND(ISNUMBER(CI37),ISNUMBER(CI44),ISNUMBER(CI45)),ROUND((CI45-MAX(CI44,0))*10,1),"")</f>
        <v/>
      </c>
      <c r="CJ46" s="50" t="str">
        <f aca="false">IF(AND(ISNUMBER(CJ37),ISNUMBER(CJ44),ISNUMBER(CJ45)),ROUND((CJ45-MAX(CJ44,0))*10,1),"")</f>
        <v/>
      </c>
      <c r="CK46" s="50" t="str">
        <f aca="false">IF(AND(ISNUMBER(CK37),ISNUMBER(CK44),ISNUMBER(CK45)),ROUND((CK45-MAX(CK44,0))*10,1),"")</f>
        <v/>
      </c>
      <c r="CL46" s="50" t="str">
        <f aca="false">IF(AND(ISNUMBER(CL37),ISNUMBER(CL44),ISNUMBER(CL45)),ROUND((CL45-MAX(CL44,0))*10,1),"")</f>
        <v/>
      </c>
      <c r="CM46" s="50" t="str">
        <f aca="false">IF(AND(ISNUMBER(CM37),ISNUMBER(CM44),ISNUMBER(CM45)),ROUND((CM45-MAX(CM44,0))*10,1),"")</f>
        <v/>
      </c>
      <c r="CN46" s="50" t="str">
        <f aca="false">IF(AND(ISNUMBER(CN37),ISNUMBER(CN44),ISNUMBER(CN45)),ROUND((CN45-MAX(CN44,0))*10,1),"")</f>
        <v/>
      </c>
      <c r="CO46" s="50" t="str">
        <f aca="false">IF(AND(ISNUMBER(CO37),ISNUMBER(CO44),ISNUMBER(CO45)),ROUND((CO45-MAX(CO44,0))*10,1),"")</f>
        <v/>
      </c>
      <c r="CP46" s="50" t="str">
        <f aca="false">IF(AND(ISNUMBER(CP37),ISNUMBER(CP44),ISNUMBER(CP45)),ROUND((CP45-MAX(CP44,0))*10,1),"")</f>
        <v/>
      </c>
      <c r="CQ46" s="50" t="str">
        <f aca="false">IF(AND(ISNUMBER(CQ37),ISNUMBER(CQ44),ISNUMBER(CQ45)),ROUND((CQ45-MAX(CQ44,0))*10,1),"")</f>
        <v/>
      </c>
      <c r="CR46" s="50" t="str">
        <f aca="false">IF(AND(ISNUMBER(CR37),ISNUMBER(CR44),ISNUMBER(CR45)),ROUND((CR45-MAX(CR44,0))*10,1),"")</f>
        <v/>
      </c>
      <c r="CS46" s="50" t="str">
        <f aca="false">IF(AND(ISNUMBER(CS37),ISNUMBER(CS44),ISNUMBER(CS45)),ROUND((CS45-MAX(CS44,0))*10,1),"")</f>
        <v/>
      </c>
      <c r="CT46" s="50" t="str">
        <f aca="false">IF(AND(ISNUMBER(CT37),ISNUMBER(CT44),ISNUMBER(CT45)),ROUND((CT45-MAX(CT44,0))*10,1),"")</f>
        <v/>
      </c>
      <c r="CU46" s="50" t="str">
        <f aca="false">IF(AND(ISNUMBER(CU37),ISNUMBER(CU44),ISNUMBER(CU45)),ROUND((CU45-MAX(CU44,0))*10,1),"")</f>
        <v/>
      </c>
      <c r="CV46" s="50" t="str">
        <f aca="false">IF(AND(ISNUMBER(CV37),ISNUMBER(CV44),ISNUMBER(CV45)),ROUND((CV45-MAX(CV44,0))*10,1),"")</f>
        <v/>
      </c>
      <c r="CW46" s="50" t="n">
        <f aca="false">IF(AND(ISNUMBER(CW37),ISNUMBER(CW44),ISNUMBER(CW45)),ROUND((CW45-MAX(CW44,0))*10,1),"")</f>
        <v>10</v>
      </c>
      <c r="CX46" s="50" t="str">
        <f aca="false">IF(AND(ISNUMBER(CX37),ISNUMBER(CX44),ISNUMBER(CX45)),ROUND((CX45-MAX(CX44,0))*10,1),"")</f>
        <v/>
      </c>
      <c r="CY46" s="50" t="str">
        <f aca="false">IF(AND(ISNUMBER(CY37),ISNUMBER(CY44),ISNUMBER(CY45)),ROUND((CY45-MAX(CY44,0))*10,1),"")</f>
        <v/>
      </c>
      <c r="CZ46" s="50" t="n">
        <f aca="false">IF(AND(ISNUMBER(CZ37),ISNUMBER(CZ44),ISNUMBER(CZ45)),ROUND((CZ45-MAX(CZ44,0))*10,1),"")</f>
        <v>17</v>
      </c>
      <c r="DA46" s="50" t="str">
        <f aca="false">IF(AND(ISNUMBER(DA37),ISNUMBER(DA44),ISNUMBER(DA45)),ROUND((DA45-MAX(DA44,0))*10,1),"")</f>
        <v/>
      </c>
      <c r="DB46" s="50" t="str">
        <f aca="false">IF(AND(ISNUMBER(DB37),ISNUMBER(DB44),ISNUMBER(DB45)),ROUND((DB45-MAX(DB44,0))*10,1),"")</f>
        <v/>
      </c>
      <c r="DC46" s="50" t="n">
        <f aca="false">IF(AND(ISNUMBER(DC37),ISNUMBER(DC44),ISNUMBER(DC45)),ROUND((DC45-MAX(DC44,0))*10,1),"")</f>
        <v>21</v>
      </c>
      <c r="DD46" s="50" t="str">
        <f aca="false">IF(AND(ISNUMBER(DD37),ISNUMBER(DD44),ISNUMBER(DD45)),ROUND((DD45-MAX(DD44,0))*10,1),"")</f>
        <v/>
      </c>
      <c r="DE46" s="50" t="str">
        <f aca="false">IF(AND(ISNUMBER(DE37),ISNUMBER(DE44),ISNUMBER(DE45)),ROUND((DE45-MAX(DE44,0))*10,1),"")</f>
        <v/>
      </c>
      <c r="DF46" s="50" t="str">
        <f aca="false">IF(AND(ISNUMBER(DF37),ISNUMBER(DF44),ISNUMBER(DF45)),ROUND((DF45-MAX(DF44,0))*10,1),"")</f>
        <v/>
      </c>
      <c r="DG46" s="50" t="n">
        <f aca="false">IF(AND(ISNUMBER(DG37),ISNUMBER(DG44),ISNUMBER(DG45)),ROUND((DG45-MAX(DG44,0))*10,1),"")</f>
        <v>10</v>
      </c>
      <c r="DH46" s="50" t="str">
        <f aca="false">IF(AND(ISNUMBER(DH37),ISNUMBER(DH44),ISNUMBER(DH45)),ROUND((DH45-MAX(DH44,0))*10,1),"")</f>
        <v/>
      </c>
      <c r="DI46" s="50" t="str">
        <f aca="false">IF(AND(ISNUMBER(DI37),ISNUMBER(DI44),ISNUMBER(DI45)),ROUND((DI45-MAX(DI44,0))*10,1),"")</f>
        <v/>
      </c>
      <c r="DJ46" s="50" t="str">
        <f aca="false">IF(AND(ISNUMBER(DJ37),ISNUMBER(DJ44),ISNUMBER(DJ45)),ROUND((DJ45-MAX(DJ44,0))*10,1),"")</f>
        <v/>
      </c>
      <c r="DK46" s="50" t="str">
        <f aca="false">IF(AND(ISNUMBER(DK37),ISNUMBER(DK44),ISNUMBER(DK45)),ROUND((DK45-MAX(DK44,0))*10,1),"")</f>
        <v/>
      </c>
      <c r="DL46" s="50" t="str">
        <f aca="false">IF(AND(ISNUMBER(DL37),ISNUMBER(DL44),ISNUMBER(DL45)),ROUND((DL45-MAX(DL44,0))*10,1),"")</f>
        <v/>
      </c>
      <c r="DM46" s="50" t="str">
        <f aca="false">IF(AND(ISNUMBER(DM37),ISNUMBER(DM44),ISNUMBER(DM45)),ROUND((DM45-MAX(DM44,0))*10,1),"")</f>
        <v/>
      </c>
      <c r="DN46" s="50" t="n">
        <f aca="false">IF(AND(ISNUMBER(DN37),ISNUMBER(DN44),ISNUMBER(DN45)),ROUND((DN45-MAX(DN44,0))*10,1),"")</f>
        <v>11</v>
      </c>
      <c r="DO46" s="50" t="str">
        <f aca="false">IF(AND(ISNUMBER(DO37),ISNUMBER(DO44),ISNUMBER(DO45)),ROUND((DO45-MAX(DO44,0))*10,1),"")</f>
        <v/>
      </c>
      <c r="DP46" s="50" t="str">
        <f aca="false">IF(AND(ISNUMBER(DP37),ISNUMBER(DP44),ISNUMBER(DP45)),ROUND((DP45-MAX(DP44,0))*10,1),"")</f>
        <v/>
      </c>
      <c r="DQ46" s="50" t="str">
        <f aca="false">IF(AND(ISNUMBER(DQ37),ISNUMBER(DQ44),ISNUMBER(DQ45)),ROUND((DQ45-MAX(DQ44,0))*10,1),"")</f>
        <v/>
      </c>
      <c r="DR46" s="50" t="str">
        <f aca="false">IF(AND(ISNUMBER(DR37),ISNUMBER(DR44),ISNUMBER(DR45)),ROUND((DR45-MAX(DR44,0))*10,1),"")</f>
        <v/>
      </c>
      <c r="DS46" s="50" t="str">
        <f aca="false">IF(AND(ISNUMBER(DS37),ISNUMBER(DS44),ISNUMBER(DS45)),ROUND((DS45-MAX(DS44,0))*10,1),"")</f>
        <v/>
      </c>
      <c r="DT46" s="50" t="str">
        <f aca="false">IF(AND(ISNUMBER(DT37),ISNUMBER(DT44),ISNUMBER(DT45)),ROUND((DT45-MAX(DT44,0))*10,1),"")</f>
        <v/>
      </c>
      <c r="DU46" s="50" t="n">
        <f aca="false">IF(AND(ISNUMBER(DU37),ISNUMBER(DU44),ISNUMBER(DU45)),ROUND((DU45-MAX(DU44,0))*10,1),"")</f>
        <v>15</v>
      </c>
      <c r="DV46" s="50" t="str">
        <f aca="false">IF(AND(ISNUMBER(DV37),ISNUMBER(DV44),ISNUMBER(DV45)),ROUND((DV45-MAX(DV44,0))*10,1),"")</f>
        <v/>
      </c>
      <c r="DW46" s="50" t="str">
        <f aca="false">IF(AND(ISNUMBER(DW37),ISNUMBER(DW44),ISNUMBER(DW45)),ROUND((DW45-MAX(DW44,0))*10,1),"")</f>
        <v/>
      </c>
      <c r="DX46" s="50" t="str">
        <f aca="false">IF(AND(ISNUMBER(DX37),ISNUMBER(DX44),ISNUMBER(DX45)),ROUND((DX45-MAX(DX44,0))*10,1),"")</f>
        <v/>
      </c>
      <c r="DY46" s="50" t="str">
        <f aca="false">IF(AND(ISNUMBER(DY37),ISNUMBER(DY44),ISNUMBER(DY45)),ROUND((DY45-MAX(DY44,0))*10,1),"")</f>
        <v/>
      </c>
      <c r="DZ46" s="50" t="str">
        <f aca="false">IF(AND(ISNUMBER(DZ37),ISNUMBER(DZ44),ISNUMBER(DZ45)),ROUND((DZ45-MAX(DZ44,0))*10,1),"")</f>
        <v/>
      </c>
      <c r="EA46" s="50" t="str">
        <f aca="false">IF(AND(ISNUMBER(EA37),ISNUMBER(EA44),ISNUMBER(EA45)),ROUND((EA45-MAX(EA44,0))*10,1),"")</f>
        <v/>
      </c>
      <c r="EB46" s="50" t="n">
        <f aca="false">IF(AND(ISNUMBER(EB37),ISNUMBER(EB44),ISNUMBER(EB45)),ROUND((EB45-MAX(EB44,0))*10,1),"")</f>
        <v>15</v>
      </c>
      <c r="EC46" s="50" t="str">
        <f aca="false">IF(AND(ISNUMBER(EC37),ISNUMBER(EC44),ISNUMBER(EC45)),ROUND((EC45-MAX(EC44,0))*10,1),"")</f>
        <v/>
      </c>
      <c r="ED46" s="50" t="str">
        <f aca="false">IF(AND(ISNUMBER(ED37),ISNUMBER(ED44),ISNUMBER(ED45)),ROUND((ED45-MAX(ED44,0))*10,1),"")</f>
        <v/>
      </c>
      <c r="EE46" s="50" t="str">
        <f aca="false">IF(AND(ISNUMBER(EE37),ISNUMBER(EE44),ISNUMBER(EE45)),ROUND((EE45-MAX(EE44,0))*10,1),"")</f>
        <v/>
      </c>
      <c r="EF46" s="50" t="str">
        <f aca="false">IF(AND(ISNUMBER(EF37),ISNUMBER(EF44),ISNUMBER(EF45)),ROUND((EF45-MAX(EF44,0))*10,1),"")</f>
        <v/>
      </c>
      <c r="EG46" s="50" t="str">
        <f aca="false">IF(AND(ISNUMBER(EG37),ISNUMBER(EG44),ISNUMBER(EG45)),ROUND((EG45-MAX(EG44,0))*10,1),"")</f>
        <v/>
      </c>
      <c r="EH46" s="50" t="str">
        <f aca="false">IF(AND(ISNUMBER(EH37),ISNUMBER(EH44),ISNUMBER(EH45)),ROUND((EH45-MAX(EH44,0))*10,1),"")</f>
        <v/>
      </c>
      <c r="EI46" s="50" t="str">
        <f aca="false">IF(AND(ISNUMBER(EI37),ISNUMBER(EI44),ISNUMBER(EI45)),ROUND((EI45-MAX(EI44,0))*10,1),"")</f>
        <v/>
      </c>
      <c r="EJ46" s="50" t="n">
        <f aca="false">IF(AND(ISNUMBER(EJ37),ISNUMBER(EJ44),ISNUMBER(EJ45)),ROUND((EJ45-MAX(EJ44,0))*10,1),"")</f>
        <v>39</v>
      </c>
      <c r="EK46" s="50" t="str">
        <f aca="false">IF(AND(ISNUMBER(EK37),ISNUMBER(EK44),ISNUMBER(EK45)),ROUND((EK45-MAX(EK44,0))*10,1),"")</f>
        <v/>
      </c>
      <c r="EL46" s="50" t="str">
        <f aca="false">IF(AND(ISNUMBER(EL37),ISNUMBER(EL44),ISNUMBER(EL45)),ROUND((EL45-MAX(EL44,0))*10,1),"")</f>
        <v/>
      </c>
      <c r="EM46" s="50" t="str">
        <f aca="false">IF(AND(ISNUMBER(EM37),ISNUMBER(EM44),ISNUMBER(EM45)),ROUND((EM45-MAX(EM44,0))*10,1),"")</f>
        <v/>
      </c>
      <c r="EN46" s="50" t="str">
        <f aca="false">IF(AND(ISNUMBER(EN37),ISNUMBER(EN44),ISNUMBER(EN45)),ROUND((EN45-MAX(EN44,0))*10,1),"")</f>
        <v/>
      </c>
      <c r="EO46" s="50" t="str">
        <f aca="false">IF(AND(ISNUMBER(EO37),ISNUMBER(EO44),ISNUMBER(EO45)),ROUND((EO45-MAX(EO44,0))*10,1),"")</f>
        <v/>
      </c>
      <c r="EP46" s="50" t="str">
        <f aca="false">IF(AND(ISNUMBER(EP37),ISNUMBER(EP44),ISNUMBER(EP45)),ROUND((EP45-MAX(EP44,0))*10,1),"")</f>
        <v/>
      </c>
      <c r="EQ46" s="50" t="str">
        <f aca="false">IF(AND(ISNUMBER(EQ37),ISNUMBER(EQ44),ISNUMBER(EQ45)),ROUND((EQ45-MAX(EQ44,0))*10,1),"")</f>
        <v/>
      </c>
      <c r="ER46" s="50" t="str">
        <f aca="false">IF(AND(ISNUMBER(ER37),ISNUMBER(ER44),ISNUMBER(ER45)),ROUND((ER45-MAX(ER44,0))*10,1),"")</f>
        <v/>
      </c>
      <c r="ES46" s="50" t="str">
        <f aca="false">IF(AND(ISNUMBER(ES37),ISNUMBER(ES44),ISNUMBER(ES45)),ROUND((ES45-MAX(ES44,0))*10,1),"")</f>
        <v/>
      </c>
      <c r="ET46" s="50" t="str">
        <f aca="false">IF(AND(ISNUMBER(ET37),ISNUMBER(ET44),ISNUMBER(ET45)),ROUND((ET45-MAX(ET44,0))*10,1),"")</f>
        <v/>
      </c>
      <c r="EU46" s="50" t="str">
        <f aca="false">IF(AND(ISNUMBER(EU37),ISNUMBER(EU44),ISNUMBER(EU45)),ROUND((EU45-MAX(EU44,0))*10,1),"")</f>
        <v/>
      </c>
      <c r="EV46" s="50" t="str">
        <f aca="false">IF(AND(ISNUMBER(EV37),ISNUMBER(EV44),ISNUMBER(EV45)),ROUND((EV45-MAX(EV44,0))*10,1),"")</f>
        <v/>
      </c>
      <c r="EW46" s="50" t="str">
        <f aca="false">IF(AND(ISNUMBER(EW37),ISNUMBER(EW44),ISNUMBER(EW45)),ROUND((EW45-MAX(EW44,0))*10,1),"")</f>
        <v/>
      </c>
      <c r="EX46" s="50" t="str">
        <f aca="false">IF(AND(ISNUMBER(EX37),ISNUMBER(EX44),ISNUMBER(EX45)),ROUND((EX45-MAX(EX44,0))*10,1),"")</f>
        <v/>
      </c>
      <c r="EY46" s="50" t="str">
        <f aca="false">IF(AND(ISNUMBER(EY37),ISNUMBER(EY44),ISNUMBER(EY45)),ROUND((EY45-MAX(EY44,0))*10,1),"")</f>
        <v/>
      </c>
      <c r="EZ46" s="50" t="str">
        <f aca="false">IF(AND(ISNUMBER(EZ37),ISNUMBER(EZ44),ISNUMBER(EZ45)),ROUND((EZ45-MAX(EZ44,0))*10,1),"")</f>
        <v/>
      </c>
      <c r="FA46" s="50" t="str">
        <f aca="false">IF(AND(ISNUMBER(FA37),ISNUMBER(FA44),ISNUMBER(FA45)),ROUND((FA45-MAX(FA44,0))*10,1),"")</f>
        <v/>
      </c>
      <c r="FB46" s="50" t="str">
        <f aca="false">IF(AND(ISNUMBER(FB37),ISNUMBER(FB44),ISNUMBER(FB45)),ROUND((FB45-MAX(FB44,0))*10,1),"")</f>
        <v/>
      </c>
      <c r="FC46" s="50" t="str">
        <f aca="false">IF(AND(ISNUMBER(FC37),ISNUMBER(FC44),ISNUMBER(FC45)),ROUND((FC45-MAX(FC44,0))*10,1),"")</f>
        <v/>
      </c>
      <c r="FD46" s="50" t="str">
        <f aca="false">IF(AND(ISNUMBER(FD37),ISNUMBER(FD44),ISNUMBER(FD45)),ROUND((FD45-MAX(FD44,0))*10,1),"")</f>
        <v/>
      </c>
      <c r="FE46" s="50" t="str">
        <f aca="false">IF(AND(ISNUMBER(FE37),ISNUMBER(FE44),ISNUMBER(FE45)),ROUND((FE45-MAX(FE44,0))*10,1),"")</f>
        <v/>
      </c>
      <c r="FF46" s="50" t="str">
        <f aca="false">IF(AND(ISNUMBER(FF37),ISNUMBER(FF44),ISNUMBER(FF45)),ROUND((FF45-MAX(FF44,0))*10,1),"")</f>
        <v/>
      </c>
      <c r="FG46" s="50" t="str">
        <f aca="false">IF(AND(ISNUMBER(FG37),ISNUMBER(FG44),ISNUMBER(FG45)),ROUND((FG45-MAX(FG44,0))*10,1),"")</f>
        <v/>
      </c>
      <c r="FH46" s="50" t="str">
        <f aca="false">IF(AND(ISNUMBER(FH37),ISNUMBER(FH44),ISNUMBER(FH45)),ROUND((FH45-MAX(FH44,0))*10,1),"")</f>
        <v/>
      </c>
      <c r="FI46" s="50" t="str">
        <f aca="false">IF(AND(ISNUMBER(FI37),ISNUMBER(FI44),ISNUMBER(FI45)),ROUND((FI45-MAX(FI44,0))*10,1),"")</f>
        <v/>
      </c>
      <c r="FJ46" s="50" t="str">
        <f aca="false">IF(AND(ISNUMBER(FJ37),ISNUMBER(FJ44),ISNUMBER(FJ45)),ROUND((FJ45-MAX(FJ44,0))*10,1),"")</f>
        <v/>
      </c>
      <c r="FK46" s="50" t="str">
        <f aca="false">IF(AND(ISNUMBER(FK37),ISNUMBER(FK44),ISNUMBER(FK45)),ROUND((FK45-MAX(FK44,0))*10,1),"")</f>
        <v/>
      </c>
      <c r="FL46" s="50" t="str">
        <f aca="false">IF(AND(ISNUMBER(FL37),ISNUMBER(FL44),ISNUMBER(FL45)),ROUND((FL45-MAX(FL44,0))*10,1),"")</f>
        <v/>
      </c>
      <c r="FM46" s="50" t="str">
        <f aca="false">IF(AND(ISNUMBER(FM37),ISNUMBER(FM44),ISNUMBER(FM45)),ROUND((FM45-MAX(FM44,0))*10,1),"")</f>
        <v/>
      </c>
      <c r="FN46" s="50" t="str">
        <f aca="false">IF(AND(ISNUMBER(FN37),ISNUMBER(FN44),ISNUMBER(FN45)),ROUND((FN45-MAX(FN44,0))*10,1),"")</f>
        <v/>
      </c>
      <c r="FO46" s="50" t="str">
        <f aca="false">IF(AND(ISNUMBER(FO37),ISNUMBER(FO44),ISNUMBER(FO45)),ROUND((FO45-MAX(FO44,0))*10,1),"")</f>
        <v/>
      </c>
      <c r="FP46" s="50" t="str">
        <f aca="false">IF(AND(ISNUMBER(FP37),ISNUMBER(FP44),ISNUMBER(FP45)),ROUND((FP45-MAX(FP44,0))*10,1),"")</f>
        <v/>
      </c>
      <c r="FQ46" s="50" t="str">
        <f aca="false">IF(AND(ISNUMBER(FQ37),ISNUMBER(FQ44),ISNUMBER(FQ45)),ROUND((FQ45-MAX(FQ44,0))*10,1),"")</f>
        <v/>
      </c>
    </row>
    <row r="47" customFormat="false" ht="15" hidden="false" customHeight="false" outlineLevel="0" collapsed="false">
      <c r="A47" s="33" t="s">
        <v>83</v>
      </c>
      <c r="B47" s="20" t="s">
        <v>421</v>
      </c>
      <c r="C47" s="48" t="n">
        <f aca="false">IF(COUNT($D$47:$FQ$47)=0,"",MAX($D$47:$FQ$47))</f>
        <v>271</v>
      </c>
      <c r="D47" s="50" t="str">
        <f aca="false">IF(D38="","",ROUND(SUM($D$46:D46),1))</f>
        <v/>
      </c>
      <c r="E47" s="50" t="str">
        <f aca="false">IF(E38="","",ROUND(SUM($D$46:E46),1))</f>
        <v/>
      </c>
      <c r="F47" s="50" t="str">
        <f aca="false">IF(F38="","",ROUND(SUM($D$46:F46),1))</f>
        <v/>
      </c>
      <c r="G47" s="50" t="str">
        <f aca="false">IF(G38="","",ROUND(SUM($D$46:G46),1))</f>
        <v/>
      </c>
      <c r="H47" s="50" t="str">
        <f aca="false">IF(H38="","",ROUND(SUM($D$46:H46),1))</f>
        <v/>
      </c>
      <c r="I47" s="50" t="str">
        <f aca="false">IF(I38="","",ROUND(SUM($D$46:I46),1))</f>
        <v/>
      </c>
      <c r="J47" s="50" t="str">
        <f aca="false">IF(J38="","",ROUND(SUM($D$46:J46),1))</f>
        <v/>
      </c>
      <c r="K47" s="50" t="str">
        <f aca="false">IF(K38="","",ROUND(SUM($D$46:K46),1))</f>
        <v/>
      </c>
      <c r="L47" s="50" t="str">
        <f aca="false">IF(L38="","",ROUND(SUM($D$46:L46),1))</f>
        <v/>
      </c>
      <c r="M47" s="50" t="str">
        <f aca="false">IF(M38="","",ROUND(SUM($D$46:M46),1))</f>
        <v/>
      </c>
      <c r="N47" s="50" t="str">
        <f aca="false">IF(N38="","",ROUND(SUM($D$46:N46),1))</f>
        <v/>
      </c>
      <c r="O47" s="50" t="str">
        <f aca="false">IF(O38="","",ROUND(SUM($D$46:O46),1))</f>
        <v/>
      </c>
      <c r="P47" s="50" t="str">
        <f aca="false">IF(P38="","",ROUND(SUM($D$46:P46),1))</f>
        <v/>
      </c>
      <c r="Q47" s="50" t="str">
        <f aca="false">IF(Q38="","",ROUND(SUM($D$46:Q46),1))</f>
        <v/>
      </c>
      <c r="R47" s="50" t="str">
        <f aca="false">IF(R38="","",ROUND(SUM($D$46:R46),1))</f>
        <v/>
      </c>
      <c r="S47" s="50" t="str">
        <f aca="false">IF(S38="","",ROUND(SUM($D$46:S46),1))</f>
        <v/>
      </c>
      <c r="T47" s="50" t="str">
        <f aca="false">IF(T38="","",ROUND(SUM($D$46:T46),1))</f>
        <v/>
      </c>
      <c r="U47" s="50" t="str">
        <f aca="false">IF(U38="","",ROUND(SUM($D$46:U46),1))</f>
        <v/>
      </c>
      <c r="V47" s="50" t="str">
        <f aca="false">IF(V38="","",ROUND(SUM($D$46:V46),1))</f>
        <v/>
      </c>
      <c r="W47" s="50" t="str">
        <f aca="false">IF(W38="","",ROUND(SUM($D$46:W46),1))</f>
        <v/>
      </c>
      <c r="X47" s="50" t="str">
        <f aca="false">IF(X38="","",ROUND(SUM($D$46:X46),1))</f>
        <v/>
      </c>
      <c r="Y47" s="50" t="str">
        <f aca="false">IF(Y38="","",ROUND(SUM($D$46:Y46),1))</f>
        <v/>
      </c>
      <c r="Z47" s="50" t="str">
        <f aca="false">IF(Z38="","",ROUND(SUM($D$46:Z46),1))</f>
        <v/>
      </c>
      <c r="AA47" s="50" t="str">
        <f aca="false">IF(AA38="","",ROUND(SUM($D$46:AA46),1))</f>
        <v/>
      </c>
      <c r="AB47" s="50" t="str">
        <f aca="false">IF(AB38="","",ROUND(SUM($D$46:AB46),1))</f>
        <v/>
      </c>
      <c r="AC47" s="50" t="str">
        <f aca="false">IF(AC38="","",ROUND(SUM($D$46:AC46),1))</f>
        <v/>
      </c>
      <c r="AD47" s="50" t="str">
        <f aca="false">IF(AD38="","",ROUND(SUM($D$46:AD46),1))</f>
        <v/>
      </c>
      <c r="AE47" s="50" t="str">
        <f aca="false">IF(AE38="","",ROUND(SUM($D$46:AE46),1))</f>
        <v/>
      </c>
      <c r="AF47" s="50" t="str">
        <f aca="false">IF(AF38="","",ROUND(SUM($D$46:AF46),1))</f>
        <v/>
      </c>
      <c r="AG47" s="50" t="str">
        <f aca="false">IF(AG38="","",ROUND(SUM($D$46:AG46),1))</f>
        <v/>
      </c>
      <c r="AH47" s="50" t="str">
        <f aca="false">IF(AH38="","",ROUND(SUM($D$46:AH46),1))</f>
        <v/>
      </c>
      <c r="AI47" s="50" t="str">
        <f aca="false">IF(AI38="","",ROUND(SUM($D$46:AI46),1))</f>
        <v/>
      </c>
      <c r="AJ47" s="50" t="str">
        <f aca="false">IF(AJ38="","",ROUND(SUM($D$46:AJ46),1))</f>
        <v/>
      </c>
      <c r="AK47" s="50" t="str">
        <f aca="false">IF(AK38="","",ROUND(SUM($D$46:AK46),1))</f>
        <v/>
      </c>
      <c r="AL47" s="50" t="str">
        <f aca="false">IF(AL38="","",ROUND(SUM($D$46:AL46),1))</f>
        <v/>
      </c>
      <c r="AM47" s="50" t="str">
        <f aca="false">IF(AM38="","",ROUND(SUM($D$46:AM46),1))</f>
        <v/>
      </c>
      <c r="AN47" s="50" t="str">
        <f aca="false">IF(AN38="","",ROUND(SUM($D$46:AN46),1))</f>
        <v/>
      </c>
      <c r="AO47" s="50" t="str">
        <f aca="false">IF(AO38="","",ROUND(SUM($D$46:AO46),1))</f>
        <v/>
      </c>
      <c r="AP47" s="50" t="str">
        <f aca="false">IF(AP38="","",ROUND(SUM($D$46:AP46),1))</f>
        <v/>
      </c>
      <c r="AQ47" s="50" t="str">
        <f aca="false">IF(AQ38="","",ROUND(SUM($D$46:AQ46),1))</f>
        <v/>
      </c>
      <c r="AR47" s="50" t="str">
        <f aca="false">IF(AR38="","",ROUND(SUM($D$46:AR46),1))</f>
        <v/>
      </c>
      <c r="AS47" s="50" t="str">
        <f aca="false">IF(AS38="","",ROUND(SUM($D$46:AS46),1))</f>
        <v/>
      </c>
      <c r="AT47" s="50" t="str">
        <f aca="false">IF(AT38="","",ROUND(SUM($D$46:AT46),1))</f>
        <v/>
      </c>
      <c r="AU47" s="50" t="str">
        <f aca="false">IF(AU38="","",ROUND(SUM($D$46:AU46),1))</f>
        <v/>
      </c>
      <c r="AV47" s="50" t="str">
        <f aca="false">IF(AV38="","",ROUND(SUM($D$46:AV46),1))</f>
        <v/>
      </c>
      <c r="AW47" s="50" t="str">
        <f aca="false">IF(AW38="","",ROUND(SUM($D$46:AW46),1))</f>
        <v/>
      </c>
      <c r="AX47" s="50" t="str">
        <f aca="false">IF(AX38="","",ROUND(SUM($D$46:AX46),1))</f>
        <v/>
      </c>
      <c r="AY47" s="50" t="str">
        <f aca="false">IF(AY38="","",ROUND(SUM($D$46:AY46),1))</f>
        <v/>
      </c>
      <c r="AZ47" s="50" t="str">
        <f aca="false">IF(AZ38="","",ROUND(SUM($D$46:AZ46),1))</f>
        <v/>
      </c>
      <c r="BA47" s="50" t="str">
        <f aca="false">IF(BA38="","",ROUND(SUM($D$46:BA46),1))</f>
        <v/>
      </c>
      <c r="BB47" s="50" t="str">
        <f aca="false">IF(BB38="","",ROUND(SUM($D$46:BB46),1))</f>
        <v/>
      </c>
      <c r="BC47" s="50" t="str">
        <f aca="false">IF(BC38="","",ROUND(SUM($D$46:BC46),1))</f>
        <v/>
      </c>
      <c r="BD47" s="50" t="n">
        <f aca="false">IF(BD38="","",ROUND(SUM($D$46:BD46),1))</f>
        <v>0</v>
      </c>
      <c r="BE47" s="50" t="n">
        <f aca="false">IF(BE38="","",ROUND(SUM($D$46:BE46),1))</f>
        <v>5</v>
      </c>
      <c r="BF47" s="50" t="n">
        <f aca="false">IF(BF38="","",ROUND(SUM($D$46:BF46),1))</f>
        <v>5</v>
      </c>
      <c r="BG47" s="50" t="n">
        <f aca="false">IF(BG38="","",ROUND(SUM($D$46:BG46),1))</f>
        <v>29</v>
      </c>
      <c r="BH47" s="50" t="n">
        <f aca="false">IF(BH38="","",ROUND(SUM($D$46:BH46),1))</f>
        <v>29</v>
      </c>
      <c r="BI47" s="50" t="n">
        <f aca="false">IF(BI38="","",ROUND(SUM($D$46:BI46),1))</f>
        <v>29</v>
      </c>
      <c r="BJ47" s="50" t="n">
        <f aca="false">IF(BJ38="","",ROUND(SUM($D$46:BJ46),1))</f>
        <v>29</v>
      </c>
      <c r="BK47" s="50" t="n">
        <f aca="false">IF(BK38="","",ROUND(SUM($D$46:BK46),1))</f>
        <v>47</v>
      </c>
      <c r="BL47" s="50" t="n">
        <f aca="false">IF(BL38="","",ROUND(SUM($D$46:BL46),1))</f>
        <v>47</v>
      </c>
      <c r="BM47" s="50" t="n">
        <f aca="false">IF(BM38="","",ROUND(SUM($D$46:BM46),1))</f>
        <v>47</v>
      </c>
      <c r="BN47" s="50" t="n">
        <f aca="false">IF(BN38="","",ROUND(SUM($D$46:BN46),1))</f>
        <v>47</v>
      </c>
      <c r="BO47" s="50" t="n">
        <f aca="false">IF(BO38="","",ROUND(SUM($D$46:BO46),1))</f>
        <v>47</v>
      </c>
      <c r="BP47" s="50" t="n">
        <f aca="false">IF(BP38="","",ROUND(SUM($D$46:BP46),1))</f>
        <v>63</v>
      </c>
      <c r="BQ47" s="50" t="n">
        <f aca="false">IF(BQ38="","",ROUND(SUM($D$46:BQ46),1))</f>
        <v>63</v>
      </c>
      <c r="BR47" s="50" t="n">
        <f aca="false">IF(BR38="","",ROUND(SUM($D$46:BR46),1))</f>
        <v>63</v>
      </c>
      <c r="BS47" s="50" t="n">
        <f aca="false">IF(BS38="","",ROUND(SUM($D$46:BS46),1))</f>
        <v>63</v>
      </c>
      <c r="BT47" s="50" t="n">
        <f aca="false">IF(BT38="","",ROUND(SUM($D$46:BT46),1))</f>
        <v>63</v>
      </c>
      <c r="BU47" s="50" t="n">
        <f aca="false">IF(BU38="","",ROUND(SUM($D$46:BU46),1))</f>
        <v>63</v>
      </c>
      <c r="BV47" s="50" t="n">
        <f aca="false">IF(BV38="","",ROUND(SUM($D$46:BV46),1))</f>
        <v>63</v>
      </c>
      <c r="BW47" s="50" t="n">
        <f aca="false">IF(BW38="","",ROUND(SUM($D$46:BW46),1))</f>
        <v>82</v>
      </c>
      <c r="BX47" s="50" t="n">
        <f aca="false">IF(BX38="","",ROUND(SUM($D$46:BX46),1))</f>
        <v>82</v>
      </c>
      <c r="BY47" s="50" t="n">
        <f aca="false">IF(BY38="","",ROUND(SUM($D$46:BY46),1))</f>
        <v>82</v>
      </c>
      <c r="BZ47" s="50" t="n">
        <f aca="false">IF(BZ38="","",ROUND(SUM($D$46:BZ46),1))</f>
        <v>82</v>
      </c>
      <c r="CA47" s="50" t="str">
        <f aca="false">IF(CA38="","",ROUND(SUM($D$46:CA46),1))</f>
        <v/>
      </c>
      <c r="CB47" s="50" t="n">
        <f aca="false">IF(CB38="","",ROUND(SUM($D$46:CB46),1))</f>
        <v>82</v>
      </c>
      <c r="CC47" s="50" t="n">
        <f aca="false">IF(CC38="","",ROUND(SUM($D$46:CC46),1))</f>
        <v>82</v>
      </c>
      <c r="CD47" s="50" t="n">
        <f aca="false">IF(CD38="","",ROUND(SUM($D$46:CD46),1))</f>
        <v>104</v>
      </c>
      <c r="CE47" s="50" t="n">
        <f aca="false">IF(CE38="","",ROUND(SUM($D$46:CE46),1))</f>
        <v>104</v>
      </c>
      <c r="CF47" s="50" t="n">
        <f aca="false">IF(CF38="","",ROUND(SUM($D$46:CF46),1))</f>
        <v>104</v>
      </c>
      <c r="CG47" s="50" t="n">
        <f aca="false">IF(CG38="","",ROUND(SUM($D$46:CG46),1))</f>
        <v>104</v>
      </c>
      <c r="CH47" s="50" t="n">
        <f aca="false">IF(CH38="","",ROUND(SUM($D$46:CH46),1))</f>
        <v>133</v>
      </c>
      <c r="CI47" s="50" t="n">
        <f aca="false">IF(CI38="","",ROUND(SUM($D$46:CI46),1))</f>
        <v>133</v>
      </c>
      <c r="CJ47" s="50" t="n">
        <f aca="false">IF(CJ38="","",ROUND(SUM($D$46:CJ46),1))</f>
        <v>133</v>
      </c>
      <c r="CK47" s="50" t="n">
        <f aca="false">IF(CK38="","",ROUND(SUM($D$46:CK46),1))</f>
        <v>133</v>
      </c>
      <c r="CL47" s="50" t="n">
        <f aca="false">IF(CL38="","",ROUND(SUM($D$46:CL46),1))</f>
        <v>133</v>
      </c>
      <c r="CM47" s="50" t="n">
        <f aca="false">IF(CM38="","",ROUND(SUM($D$46:CM46),1))</f>
        <v>133</v>
      </c>
      <c r="CN47" s="50" t="n">
        <f aca="false">IF(CN38="","",ROUND(SUM($D$46:CN46),1))</f>
        <v>133</v>
      </c>
      <c r="CO47" s="50" t="n">
        <f aca="false">IF(CO38="","",ROUND(SUM($D$46:CO46),1))</f>
        <v>133</v>
      </c>
      <c r="CP47" s="50" t="n">
        <f aca="false">IF(CP38="","",ROUND(SUM($D$46:CP46),1))</f>
        <v>133</v>
      </c>
      <c r="CQ47" s="50" t="n">
        <f aca="false">IF(CQ38="","",ROUND(SUM($D$46:CQ46),1))</f>
        <v>133</v>
      </c>
      <c r="CR47" s="50" t="n">
        <f aca="false">IF(CR38="","",ROUND(SUM($D$46:CR46),1))</f>
        <v>133</v>
      </c>
      <c r="CS47" s="50" t="n">
        <f aca="false">IF(CS38="","",ROUND(SUM($D$46:CS46),1))</f>
        <v>133</v>
      </c>
      <c r="CT47" s="50" t="n">
        <f aca="false">IF(CT38="","",ROUND(SUM($D$46:CT46),1))</f>
        <v>133</v>
      </c>
      <c r="CU47" s="50" t="n">
        <f aca="false">IF(CU38="","",ROUND(SUM($D$46:CU46),1))</f>
        <v>133</v>
      </c>
      <c r="CV47" s="50" t="n">
        <f aca="false">IF(CV38="","",ROUND(SUM($D$46:CV46),1))</f>
        <v>133</v>
      </c>
      <c r="CW47" s="50" t="n">
        <f aca="false">IF(CW38="","",ROUND(SUM($D$46:CW46),1))</f>
        <v>143</v>
      </c>
      <c r="CX47" s="50" t="n">
        <f aca="false">IF(CX38="","",ROUND(SUM($D$46:CX46),1))</f>
        <v>143</v>
      </c>
      <c r="CY47" s="50" t="n">
        <f aca="false">IF(CY38="","",ROUND(SUM($D$46:CY46),1))</f>
        <v>143</v>
      </c>
      <c r="CZ47" s="50" t="n">
        <f aca="false">IF(CZ38="","",ROUND(SUM($D$46:CZ46),1))</f>
        <v>160</v>
      </c>
      <c r="DA47" s="50" t="n">
        <f aca="false">IF(DA38="","",ROUND(SUM($D$46:DA46),1))</f>
        <v>160</v>
      </c>
      <c r="DB47" s="50" t="n">
        <f aca="false">IF(DB38="","",ROUND(SUM($D$46:DB46),1))</f>
        <v>160</v>
      </c>
      <c r="DC47" s="50" t="n">
        <f aca="false">IF(DC38="","",ROUND(SUM($D$46:DC46),1))</f>
        <v>181</v>
      </c>
      <c r="DD47" s="50" t="n">
        <f aca="false">IF(DD38="","",ROUND(SUM($D$46:DD46),1))</f>
        <v>181</v>
      </c>
      <c r="DE47" s="50" t="n">
        <f aca="false">IF(DE38="","",ROUND(SUM($D$46:DE46),1))</f>
        <v>181</v>
      </c>
      <c r="DF47" s="50" t="n">
        <f aca="false">IF(DF38="","",ROUND(SUM($D$46:DF46),1))</f>
        <v>181</v>
      </c>
      <c r="DG47" s="50" t="n">
        <f aca="false">IF(DG38="","",ROUND(SUM($D$46:DG46),1))</f>
        <v>191</v>
      </c>
      <c r="DH47" s="50" t="n">
        <f aca="false">IF(DH38="","",ROUND(SUM($D$46:DH46),1))</f>
        <v>191</v>
      </c>
      <c r="DI47" s="50" t="n">
        <f aca="false">IF(DI38="","",ROUND(SUM($D$46:DI46),1))</f>
        <v>191</v>
      </c>
      <c r="DJ47" s="50" t="n">
        <f aca="false">IF(DJ38="","",ROUND(SUM($D$46:DJ46),1))</f>
        <v>191</v>
      </c>
      <c r="DK47" s="50" t="n">
        <f aca="false">IF(DK38="","",ROUND(SUM($D$46:DK46),1))</f>
        <v>191</v>
      </c>
      <c r="DL47" s="50" t="str">
        <f aca="false">IF(DL38="","",ROUND(SUM($D$46:DL46),1))</f>
        <v/>
      </c>
      <c r="DM47" s="50" t="n">
        <f aca="false">IF(DM38="","",ROUND(SUM($D$46:DM46),1))</f>
        <v>191</v>
      </c>
      <c r="DN47" s="50" t="n">
        <f aca="false">IF(DN38="","",ROUND(SUM($D$46:DN46),1))</f>
        <v>202</v>
      </c>
      <c r="DO47" s="50" t="n">
        <f aca="false">IF(DO38="","",ROUND(SUM($D$46:DO46),1))</f>
        <v>202</v>
      </c>
      <c r="DP47" s="50" t="n">
        <f aca="false">IF(DP38="","",ROUND(SUM($D$46:DP46),1))</f>
        <v>202</v>
      </c>
      <c r="DQ47" s="50" t="n">
        <f aca="false">IF(DQ38="","",ROUND(SUM($D$46:DQ46),1))</f>
        <v>202</v>
      </c>
      <c r="DR47" s="50" t="n">
        <f aca="false">IF(DR38="","",ROUND(SUM($D$46:DR46),1))</f>
        <v>202</v>
      </c>
      <c r="DS47" s="50" t="n">
        <f aca="false">IF(DS38="","",ROUND(SUM($D$46:DS46),1))</f>
        <v>202</v>
      </c>
      <c r="DT47" s="50" t="n">
        <f aca="false">IF(DT38="","",ROUND(SUM($D$46:DT46),1))</f>
        <v>202</v>
      </c>
      <c r="DU47" s="50" t="n">
        <f aca="false">IF(DU38="","",ROUND(SUM($D$46:DU46),1))</f>
        <v>217</v>
      </c>
      <c r="DV47" s="50" t="n">
        <f aca="false">IF(DV38="","",ROUND(SUM($D$46:DV46),1))</f>
        <v>217</v>
      </c>
      <c r="DW47" s="50" t="n">
        <f aca="false">IF(DW38="","",ROUND(SUM($D$46:DW46),1))</f>
        <v>217</v>
      </c>
      <c r="DX47" s="50" t="n">
        <f aca="false">IF(DX38="","",ROUND(SUM($D$46:DX46),1))</f>
        <v>217</v>
      </c>
      <c r="DY47" s="50" t="n">
        <f aca="false">IF(DY38="","",ROUND(SUM($D$46:DY46),1))</f>
        <v>217</v>
      </c>
      <c r="DZ47" s="50" t="n">
        <f aca="false">IF(DZ38="","",ROUND(SUM($D$46:DZ46),1))</f>
        <v>217</v>
      </c>
      <c r="EA47" s="50" t="n">
        <f aca="false">IF(EA38="","",ROUND(SUM($D$46:EA46),1))</f>
        <v>217</v>
      </c>
      <c r="EB47" s="50" t="n">
        <f aca="false">IF(EB38="","",ROUND(SUM($D$46:EB46),1))</f>
        <v>232</v>
      </c>
      <c r="EC47" s="50" t="n">
        <f aca="false">IF(EC38="","",ROUND(SUM($D$46:EC46),1))</f>
        <v>232</v>
      </c>
      <c r="ED47" s="50" t="n">
        <f aca="false">IF(ED38="","",ROUND(SUM($D$46:ED46),1))</f>
        <v>232</v>
      </c>
      <c r="EE47" s="50" t="n">
        <f aca="false">IF(EE38="","",ROUND(SUM($D$46:EE46),1))</f>
        <v>232</v>
      </c>
      <c r="EF47" s="50" t="n">
        <f aca="false">IF(EF38="","",ROUND(SUM($D$46:EF46),1))</f>
        <v>232</v>
      </c>
      <c r="EG47" s="50" t="n">
        <f aca="false">IF(EG38="","",ROUND(SUM($D$46:EG46),1))</f>
        <v>232</v>
      </c>
      <c r="EH47" s="50" t="n">
        <f aca="false">IF(EH38="","",ROUND(SUM($D$46:EH46),1))</f>
        <v>232</v>
      </c>
      <c r="EI47" s="50" t="n">
        <f aca="false">IF(EI38="","",ROUND(SUM($D$46:EI46),1))</f>
        <v>232</v>
      </c>
      <c r="EJ47" s="50" t="n">
        <f aca="false">IF(EJ38="","",ROUND(SUM($D$46:EJ46),1))</f>
        <v>271</v>
      </c>
      <c r="EK47" s="50" t="n">
        <f aca="false">IF(EK38="","",ROUND(SUM($D$46:EK46),1))</f>
        <v>271</v>
      </c>
      <c r="EL47" s="50" t="n">
        <f aca="false">IF(EL38="","",ROUND(SUM($D$46:EL46),1))</f>
        <v>271</v>
      </c>
      <c r="EM47" s="50" t="n">
        <f aca="false">IF(EM38="","",ROUND(SUM($D$46:EM46),1))</f>
        <v>271</v>
      </c>
      <c r="EN47" s="50" t="n">
        <f aca="false">IF(EN38="","",ROUND(SUM($D$46:EN46),1))</f>
        <v>271</v>
      </c>
      <c r="EO47" s="50" t="n">
        <f aca="false">IF(EO38="","",ROUND(SUM($D$46:EO46),1))</f>
        <v>271</v>
      </c>
      <c r="EP47" s="50" t="n">
        <f aca="false">IF(EP38="","",ROUND(SUM($D$46:EP46),1))</f>
        <v>271</v>
      </c>
      <c r="EQ47" s="50" t="n">
        <f aca="false">IF(EQ38="","",ROUND(SUM($D$46:EQ46),1))</f>
        <v>271</v>
      </c>
      <c r="ER47" s="50" t="n">
        <f aca="false">IF(ER38="","",ROUND(SUM($D$46:ER46),1))</f>
        <v>271</v>
      </c>
      <c r="ES47" s="50" t="n">
        <f aca="false">IF(ES38="","",ROUND(SUM($D$46:ES46),1))</f>
        <v>271</v>
      </c>
      <c r="ET47" s="50" t="n">
        <f aca="false">IF(ET38="","",ROUND(SUM($D$46:ET46),1))</f>
        <v>271</v>
      </c>
      <c r="EU47" s="50" t="str">
        <f aca="false">IF(EU38="","",ROUND(SUM($D$46:EU46),1))</f>
        <v/>
      </c>
      <c r="EV47" s="50" t="str">
        <f aca="false">IF(EV38="","",ROUND(SUM($D$46:EV46),1))</f>
        <v/>
      </c>
      <c r="EW47" s="50" t="str">
        <f aca="false">IF(EW38="","",ROUND(SUM($D$46:EW46),1))</f>
        <v/>
      </c>
      <c r="EX47" s="50" t="str">
        <f aca="false">IF(EX38="","",ROUND(SUM($D$46:EX46),1))</f>
        <v/>
      </c>
      <c r="EY47" s="50" t="str">
        <f aca="false">IF(EY38="","",ROUND(SUM($D$46:EY46),1))</f>
        <v/>
      </c>
      <c r="EZ47" s="50" t="str">
        <f aca="false">IF(EZ38="","",ROUND(SUM($D$46:EZ46),1))</f>
        <v/>
      </c>
      <c r="FA47" s="50" t="str">
        <f aca="false">IF(FA38="","",ROUND(SUM($D$46:FA46),1))</f>
        <v/>
      </c>
      <c r="FB47" s="50" t="str">
        <f aca="false">IF(FB38="","",ROUND(SUM($D$46:FB46),1))</f>
        <v/>
      </c>
      <c r="FC47" s="50" t="str">
        <f aca="false">IF(FC38="","",ROUND(SUM($D$46:FC46),1))</f>
        <v/>
      </c>
      <c r="FD47" s="50" t="str">
        <f aca="false">IF(FD38="","",ROUND(SUM($D$46:FD46),1))</f>
        <v/>
      </c>
      <c r="FE47" s="50" t="str">
        <f aca="false">IF(FE38="","",ROUND(SUM($D$46:FE46),1))</f>
        <v/>
      </c>
      <c r="FF47" s="50" t="str">
        <f aca="false">IF(FF38="","",ROUND(SUM($D$46:FF46),1))</f>
        <v/>
      </c>
      <c r="FG47" s="50" t="str">
        <f aca="false">IF(FG38="","",ROUND(SUM($D$46:FG46),1))</f>
        <v/>
      </c>
      <c r="FH47" s="50" t="str">
        <f aca="false">IF(FH38="","",ROUND(SUM($D$46:FH46),1))</f>
        <v/>
      </c>
      <c r="FI47" s="50" t="str">
        <f aca="false">IF(FI38="","",ROUND(SUM($D$46:FI46),1))</f>
        <v/>
      </c>
      <c r="FJ47" s="50" t="str">
        <f aca="false">IF(FJ38="","",ROUND(SUM($D$46:FJ46),1))</f>
        <v/>
      </c>
      <c r="FK47" s="50" t="str">
        <f aca="false">IF(FK38="","",ROUND(SUM($D$46:FK46),1))</f>
        <v/>
      </c>
      <c r="FL47" s="50" t="str">
        <f aca="false">IF(FL38="","",ROUND(SUM($D$46:FL46),1))</f>
        <v/>
      </c>
      <c r="FM47" s="50" t="str">
        <f aca="false">IF(FM38="","",ROUND(SUM($D$46:FM46),1))</f>
        <v/>
      </c>
      <c r="FN47" s="50" t="str">
        <f aca="false">IF(FN38="","",ROUND(SUM($D$46:FN46),1))</f>
        <v/>
      </c>
      <c r="FO47" s="50" t="str">
        <f aca="false">IF(FO38="","",ROUND(SUM($D$46:FO46),1))</f>
        <v/>
      </c>
      <c r="FP47" s="50" t="str">
        <f aca="false">IF(FP38="","",ROUND(SUM($D$46:FP46),1))</f>
        <v/>
      </c>
      <c r="FQ47" s="50" t="str">
        <f aca="false">IF(FQ38="","",ROUND(SUM($D$46:FQ46),1))</f>
        <v/>
      </c>
    </row>
    <row r="48" customFormat="false" ht="15" hidden="false" customHeight="false" outlineLevel="0" collapsed="false">
      <c r="A48" s="33" t="s">
        <v>83</v>
      </c>
      <c r="B48" s="20" t="s">
        <v>422</v>
      </c>
      <c r="D48" s="50" t="str">
        <f aca="false">""</f>
        <v/>
      </c>
      <c r="E48" s="50" t="str">
        <f aca="false">IF(AND(ISNUMBER(D57),ISNUMBER(E38)),ROUND((D57-E38)*10,1),"")</f>
        <v/>
      </c>
      <c r="F48" s="50" t="str">
        <f aca="false">IF(AND(ISNUMBER(E57),ISNUMBER(F38)),ROUND((E57-F38)*10,1),"")</f>
        <v/>
      </c>
      <c r="G48" s="50" t="str">
        <f aca="false">IF(AND(ISNUMBER(F57),ISNUMBER(G38)),ROUND((F57-G38)*10,1),"")</f>
        <v/>
      </c>
      <c r="H48" s="50" t="str">
        <f aca="false">IF(AND(ISNUMBER(G57),ISNUMBER(H38)),ROUND((G57-H38)*10,1),"")</f>
        <v/>
      </c>
      <c r="I48" s="50" t="str">
        <f aca="false">IF(AND(ISNUMBER(H57),ISNUMBER(I38)),ROUND((H57-I38)*10,1),"")</f>
        <v/>
      </c>
      <c r="J48" s="50" t="str">
        <f aca="false">IF(AND(ISNUMBER(I57),ISNUMBER(J38)),ROUND((I57-J38)*10,1),"")</f>
        <v/>
      </c>
      <c r="K48" s="50" t="str">
        <f aca="false">IF(AND(ISNUMBER(J57),ISNUMBER(K38)),ROUND((J57-K38)*10,1),"")</f>
        <v/>
      </c>
      <c r="L48" s="50" t="str">
        <f aca="false">IF(AND(ISNUMBER(K57),ISNUMBER(L38)),ROUND((K57-L38)*10,1),"")</f>
        <v/>
      </c>
      <c r="M48" s="50" t="str">
        <f aca="false">IF(AND(ISNUMBER(L57),ISNUMBER(M38)),ROUND((L57-M38)*10,1),"")</f>
        <v/>
      </c>
      <c r="N48" s="50" t="str">
        <f aca="false">IF(AND(ISNUMBER(M57),ISNUMBER(N38)),ROUND((M57-N38)*10,1),"")</f>
        <v/>
      </c>
      <c r="O48" s="50" t="str">
        <f aca="false">IF(AND(ISNUMBER(N57),ISNUMBER(O38)),ROUND((N57-O38)*10,1),"")</f>
        <v/>
      </c>
      <c r="P48" s="50" t="str">
        <f aca="false">IF(AND(ISNUMBER(O57),ISNUMBER(P38)),ROUND((O57-P38)*10,1),"")</f>
        <v/>
      </c>
      <c r="Q48" s="50" t="str">
        <f aca="false">IF(AND(ISNUMBER(P57),ISNUMBER(Q38)),ROUND((P57-Q38)*10,1),"")</f>
        <v/>
      </c>
      <c r="R48" s="50" t="str">
        <f aca="false">IF(AND(ISNUMBER(Q57),ISNUMBER(R38)),ROUND((Q57-R38)*10,1),"")</f>
        <v/>
      </c>
      <c r="S48" s="50" t="str">
        <f aca="false">IF(AND(ISNUMBER(R57),ISNUMBER(S38)),ROUND((R57-S38)*10,1),"")</f>
        <v/>
      </c>
      <c r="T48" s="50" t="str">
        <f aca="false">IF(AND(ISNUMBER(S57),ISNUMBER(T38)),ROUND((S57-T38)*10,1),"")</f>
        <v/>
      </c>
      <c r="U48" s="50" t="str">
        <f aca="false">IF(AND(ISNUMBER(T57),ISNUMBER(U38)),ROUND((T57-U38)*10,1),"")</f>
        <v/>
      </c>
      <c r="V48" s="50" t="str">
        <f aca="false">IF(AND(ISNUMBER(U57),ISNUMBER(V38)),ROUND((U57-V38)*10,1),"")</f>
        <v/>
      </c>
      <c r="W48" s="50" t="str">
        <f aca="false">IF(AND(ISNUMBER(V57),ISNUMBER(W38)),ROUND((V57-W38)*10,1),"")</f>
        <v/>
      </c>
      <c r="X48" s="50" t="str">
        <f aca="false">IF(AND(ISNUMBER(W57),ISNUMBER(X38)),ROUND((W57-X38)*10,1),"")</f>
        <v/>
      </c>
      <c r="Y48" s="50" t="str">
        <f aca="false">IF(AND(ISNUMBER(X57),ISNUMBER(Y38)),ROUND((X57-Y38)*10,1),"")</f>
        <v/>
      </c>
      <c r="Z48" s="50" t="str">
        <f aca="false">IF(AND(ISNUMBER(Y57),ISNUMBER(Z38)),ROUND((Y57-Z38)*10,1),"")</f>
        <v/>
      </c>
      <c r="AA48" s="50" t="str">
        <f aca="false">IF(AND(ISNUMBER(Z57),ISNUMBER(AA38)),ROUND((Z57-AA38)*10,1),"")</f>
        <v/>
      </c>
      <c r="AB48" s="50" t="str">
        <f aca="false">IF(AND(ISNUMBER(AA57),ISNUMBER(AB38)),ROUND((AA57-AB38)*10,1),"")</f>
        <v/>
      </c>
      <c r="AC48" s="50" t="str">
        <f aca="false">IF(AND(ISNUMBER(AB57),ISNUMBER(AC38)),ROUND((AB57-AC38)*10,1),"")</f>
        <v/>
      </c>
      <c r="AD48" s="50" t="str">
        <f aca="false">IF(AND(ISNUMBER(AC57),ISNUMBER(AD38)),ROUND((AC57-AD38)*10,1),"")</f>
        <v/>
      </c>
      <c r="AE48" s="50" t="str">
        <f aca="false">IF(AND(ISNUMBER(AD57),ISNUMBER(AE38)),ROUND((AD57-AE38)*10,1),"")</f>
        <v/>
      </c>
      <c r="AF48" s="50" t="str">
        <f aca="false">IF(AND(ISNUMBER(AE57),ISNUMBER(AF38)),ROUND((AE57-AF38)*10,1),"")</f>
        <v/>
      </c>
      <c r="AG48" s="50" t="str">
        <f aca="false">IF(AND(ISNUMBER(AF57),ISNUMBER(AG38)),ROUND((AF57-AG38)*10,1),"")</f>
        <v/>
      </c>
      <c r="AH48" s="50" t="str">
        <f aca="false">IF(AND(ISNUMBER(AG57),ISNUMBER(AH38)),ROUND((AG57-AH38)*10,1),"")</f>
        <v/>
      </c>
      <c r="AI48" s="50" t="str">
        <f aca="false">IF(AND(ISNUMBER(AH57),ISNUMBER(AI38)),ROUND((AH57-AI38)*10,1),"")</f>
        <v/>
      </c>
      <c r="AJ48" s="50" t="str">
        <f aca="false">IF(AND(ISNUMBER(AI57),ISNUMBER(AJ38)),ROUND((AI57-AJ38)*10,1),"")</f>
        <v/>
      </c>
      <c r="AK48" s="50" t="str">
        <f aca="false">IF(AND(ISNUMBER(AJ57),ISNUMBER(AK38)),ROUND((AJ57-AK38)*10,1),"")</f>
        <v/>
      </c>
      <c r="AL48" s="50" t="str">
        <f aca="false">IF(AND(ISNUMBER(AK57),ISNUMBER(AL38)),ROUND((AK57-AL38)*10,1),"")</f>
        <v/>
      </c>
      <c r="AM48" s="50" t="str">
        <f aca="false">IF(AND(ISNUMBER(AL57),ISNUMBER(AM38)),ROUND((AL57-AM38)*10,1),"")</f>
        <v/>
      </c>
      <c r="AN48" s="50" t="str">
        <f aca="false">IF(AND(ISNUMBER(AM57),ISNUMBER(AN38)),ROUND((AM57-AN38)*10,1),"")</f>
        <v/>
      </c>
      <c r="AO48" s="50" t="str">
        <f aca="false">IF(AND(ISNUMBER(AN57),ISNUMBER(AO38)),ROUND((AN57-AO38)*10,1),"")</f>
        <v/>
      </c>
      <c r="AP48" s="50" t="str">
        <f aca="false">IF(AND(ISNUMBER(AO57),ISNUMBER(AP38)),ROUND((AO57-AP38)*10,1),"")</f>
        <v/>
      </c>
      <c r="AQ48" s="50" t="str">
        <f aca="false">IF(AND(ISNUMBER(AP57),ISNUMBER(AQ38)),ROUND((AP57-AQ38)*10,1),"")</f>
        <v/>
      </c>
      <c r="AR48" s="50" t="str">
        <f aca="false">IF(AND(ISNUMBER(AQ57),ISNUMBER(AR38)),ROUND((AQ57-AR38)*10,1),"")</f>
        <v/>
      </c>
      <c r="AS48" s="50" t="str">
        <f aca="false">IF(AND(ISNUMBER(AR57),ISNUMBER(AS38)),ROUND((AR57-AS38)*10,1),"")</f>
        <v/>
      </c>
      <c r="AT48" s="50" t="str">
        <f aca="false">IF(AND(ISNUMBER(AS57),ISNUMBER(AT38)),ROUND((AS57-AT38)*10,1),"")</f>
        <v/>
      </c>
      <c r="AU48" s="50" t="str">
        <f aca="false">IF(AND(ISNUMBER(AT57),ISNUMBER(AU38)),ROUND((AT57-AU38)*10,1),"")</f>
        <v/>
      </c>
      <c r="AV48" s="50" t="str">
        <f aca="false">IF(AND(ISNUMBER(AU57),ISNUMBER(AV38)),ROUND((AU57-AV38)*10,1),"")</f>
        <v/>
      </c>
      <c r="AW48" s="50" t="str">
        <f aca="false">IF(AND(ISNUMBER(AV57),ISNUMBER(AW38)),ROUND((AV57-AW38)*10,1),"")</f>
        <v/>
      </c>
      <c r="AX48" s="50" t="str">
        <f aca="false">IF(AND(ISNUMBER(AW57),ISNUMBER(AX38)),ROUND((AW57-AX38)*10,1),"")</f>
        <v/>
      </c>
      <c r="AY48" s="50" t="str">
        <f aca="false">IF(AND(ISNUMBER(AX57),ISNUMBER(AY38)),ROUND((AX57-AY38)*10,1),"")</f>
        <v/>
      </c>
      <c r="AZ48" s="50" t="str">
        <f aca="false">IF(AND(ISNUMBER(AY57),ISNUMBER(AZ38)),ROUND((AY57-AZ38)*10,1),"")</f>
        <v/>
      </c>
      <c r="BA48" s="50" t="str">
        <f aca="false">IF(AND(ISNUMBER(AZ57),ISNUMBER(BA38)),ROUND((AZ57-BA38)*10,1),"")</f>
        <v/>
      </c>
      <c r="BB48" s="50" t="str">
        <f aca="false">IF(AND(ISNUMBER(BA57),ISNUMBER(BB38)),ROUND((BA57-BB38)*10,1),"")</f>
        <v/>
      </c>
      <c r="BC48" s="50" t="str">
        <f aca="false">IF(AND(ISNUMBER(BB57),ISNUMBER(BC38)),ROUND((BB57-BC38)*10,1),"")</f>
        <v/>
      </c>
      <c r="BD48" s="50" t="str">
        <f aca="false">IF(AND(ISNUMBER(BC57),ISNUMBER(BD38)),ROUND((BC57-BD38)*10,1),"")</f>
        <v/>
      </c>
      <c r="BE48" s="50" t="n">
        <f aca="false">IF(AND(ISNUMBER(BD57),ISNUMBER(BE38)),ROUND((BD57-BE38)*10,1),"")</f>
        <v>3</v>
      </c>
      <c r="BF48" s="50" t="n">
        <f aca="false">IF(AND(ISNUMBER(BE57),ISNUMBER(BF38)),ROUND((BE57-BF38)*10,1),"")</f>
        <v>2</v>
      </c>
      <c r="BG48" s="50" t="n">
        <f aca="false">IF(AND(ISNUMBER(BF57),ISNUMBER(BG38)),ROUND((BF57-BG38)*10,1),"")</f>
        <v>3</v>
      </c>
      <c r="BH48" s="50" t="n">
        <f aca="false">IF(AND(ISNUMBER(BG57),ISNUMBER(BH38)),ROUND((BG57-BH38)*10,1),"")</f>
        <v>2</v>
      </c>
      <c r="BI48" s="50" t="n">
        <f aca="false">IF(AND(ISNUMBER(BH57),ISNUMBER(BI38)),ROUND((BH57-BI38)*10,1),"")</f>
        <v>9</v>
      </c>
      <c r="BJ48" s="50" t="n">
        <f aca="false">IF(AND(ISNUMBER(BI57),ISNUMBER(BJ38)),ROUND((BI57-BJ38)*10,1),"")</f>
        <v>2</v>
      </c>
      <c r="BK48" s="50" t="n">
        <f aca="false">IF(AND(ISNUMBER(BJ57),ISNUMBER(BK38)),ROUND((BJ57-BK38)*10,1),"")</f>
        <v>6</v>
      </c>
      <c r="BL48" s="50" t="n">
        <f aca="false">IF(AND(ISNUMBER(BK57),ISNUMBER(BL38)),ROUND((BK57-BL38)*10,1),"")</f>
        <v>3</v>
      </c>
      <c r="BM48" s="50" t="n">
        <f aca="false">IF(AND(ISNUMBER(BL57),ISNUMBER(BM38)),ROUND((BL57-BM38)*10,1),"")</f>
        <v>5</v>
      </c>
      <c r="BN48" s="50" t="n">
        <f aca="false">IF(AND(ISNUMBER(BM57),ISNUMBER(BN38)),ROUND((BM57-BN38)*10,1),"")</f>
        <v>5</v>
      </c>
      <c r="BO48" s="50" t="n">
        <f aca="false">IF(AND(ISNUMBER(BN57),ISNUMBER(BO38)),ROUND((BN57-BO38)*10,1),"")</f>
        <v>5</v>
      </c>
      <c r="BP48" s="50" t="n">
        <f aca="false">IF(AND(ISNUMBER(BO57),ISNUMBER(BP38)),ROUND((BO57-BP38)*10,1),"")</f>
        <v>2</v>
      </c>
      <c r="BQ48" s="50" t="n">
        <f aca="false">IF(AND(ISNUMBER(BP57),ISNUMBER(BQ38)),ROUND((BP57-BQ38)*10,1),"")</f>
        <v>4</v>
      </c>
      <c r="BR48" s="50" t="n">
        <f aca="false">IF(AND(ISNUMBER(BQ57),ISNUMBER(BR38)),ROUND((BQ57-BR38)*10,1),"")</f>
        <v>5</v>
      </c>
      <c r="BS48" s="50" t="n">
        <f aca="false">IF(AND(ISNUMBER(BR57),ISNUMBER(BS38)),ROUND((BR57-BS38)*10,1),"")</f>
        <v>5</v>
      </c>
      <c r="BT48" s="50" t="n">
        <f aca="false">IF(AND(ISNUMBER(BS57),ISNUMBER(BT38)),ROUND((BS57-BT38)*10,1),"")</f>
        <v>2</v>
      </c>
      <c r="BU48" s="50" t="n">
        <f aca="false">IF(AND(ISNUMBER(BT57),ISNUMBER(BU38)),ROUND((BT57-BU38)*10,1),"")</f>
        <v>2</v>
      </c>
      <c r="BV48" s="50" t="n">
        <f aca="false">IF(AND(ISNUMBER(BU57),ISNUMBER(BV38)),ROUND((BU57-BV38)*10,1),"")</f>
        <v>1</v>
      </c>
      <c r="BW48" s="50" t="n">
        <f aca="false">IF(AND(ISNUMBER(BV57),ISNUMBER(BW38)),ROUND((BV57-BW38)*10,1),"")</f>
        <v>5</v>
      </c>
      <c r="BX48" s="50" t="n">
        <f aca="false">IF(AND(ISNUMBER(BW57),ISNUMBER(BX38)),ROUND((BW57-BX38)*10,1),"")</f>
        <v>1</v>
      </c>
      <c r="BY48" s="50" t="n">
        <f aca="false">IF(AND(ISNUMBER(BX57),ISNUMBER(BY38)),ROUND((BX57-BY38)*10,1),"")</f>
        <v>3</v>
      </c>
      <c r="BZ48" s="50" t="n">
        <f aca="false">IF(AND(ISNUMBER(BY57),ISNUMBER(BZ38)),ROUND((BY57-BZ38)*10,1),"")</f>
        <v>5</v>
      </c>
      <c r="CA48" s="50" t="str">
        <f aca="false">IF(AND(ISNUMBER(BZ57),ISNUMBER(CA38)),ROUND((BZ57-CA38)*10,1),"")</f>
        <v/>
      </c>
      <c r="CB48" s="50" t="str">
        <f aca="false">IF(AND(ISNUMBER(CA57),ISNUMBER(CB38)),ROUND((CA57-CB38)*10,1),"")</f>
        <v/>
      </c>
      <c r="CC48" s="50" t="n">
        <f aca="false">IF(AND(ISNUMBER(CB57),ISNUMBER(CC38)),ROUND((CB57-CC38)*10,1),"")</f>
        <v>12</v>
      </c>
      <c r="CD48" s="50" t="n">
        <f aca="false">IF(AND(ISNUMBER(CC57),ISNUMBER(CD38)),ROUND((CC57-CD38)*10,1),"")</f>
        <v>5</v>
      </c>
      <c r="CE48" s="50" t="n">
        <f aca="false">IF(AND(ISNUMBER(CD57),ISNUMBER(CE38)),ROUND((CD57-CE38)*10,1),"")</f>
        <v>2</v>
      </c>
      <c r="CF48" s="50" t="n">
        <f aca="false">IF(AND(ISNUMBER(CE57),ISNUMBER(CF38)),ROUND((CE57-CF38)*10,1),"")</f>
        <v>3</v>
      </c>
      <c r="CG48" s="50" t="n">
        <f aca="false">IF(AND(ISNUMBER(CF57),ISNUMBER(CG38)),ROUND((CF57-CG38)*10,1),"")</f>
        <v>2</v>
      </c>
      <c r="CH48" s="50" t="n">
        <f aca="false">IF(AND(ISNUMBER(CG57),ISNUMBER(CH38)),ROUND((CG57-CH38)*10,1),"")</f>
        <v>5</v>
      </c>
      <c r="CI48" s="50" t="n">
        <f aca="false">IF(AND(ISNUMBER(CH57),ISNUMBER(CI38)),ROUND((CH57-CI38)*10,1),"")</f>
        <v>1</v>
      </c>
      <c r="CJ48" s="50" t="n">
        <f aca="false">IF(AND(ISNUMBER(CI57),ISNUMBER(CJ38)),ROUND((CI57-CJ38)*10,1),"")</f>
        <v>6</v>
      </c>
      <c r="CK48" s="50" t="n">
        <f aca="false">IF(AND(ISNUMBER(CJ57),ISNUMBER(CK38)),ROUND((CJ57-CK38)*10,1),"")</f>
        <v>17</v>
      </c>
      <c r="CL48" s="50" t="n">
        <f aca="false">IF(AND(ISNUMBER(CK57),ISNUMBER(CL38)),ROUND((CK57-CL38)*10,1),"")</f>
        <v>15</v>
      </c>
      <c r="CM48" s="50" t="n">
        <f aca="false">IF(AND(ISNUMBER(CL57),ISNUMBER(CM38)),ROUND((CL57-CM38)*10,1),"")</f>
        <v>3</v>
      </c>
      <c r="CN48" s="50" t="n">
        <f aca="false">IF(AND(ISNUMBER(CM57),ISNUMBER(CN38)),ROUND((CM57-CN38)*10,1),"")</f>
        <v>7</v>
      </c>
      <c r="CO48" s="50" t="n">
        <f aca="false">IF(AND(ISNUMBER(CN57),ISNUMBER(CO38)),ROUND((CN57-CO38)*10,1),"")</f>
        <v>40</v>
      </c>
      <c r="CP48" s="50" t="n">
        <f aca="false">IF(AND(ISNUMBER(CO57),ISNUMBER(CP38)),ROUND((CO57-CP38)*10,1),"")</f>
        <v>30</v>
      </c>
      <c r="CQ48" s="50" t="n">
        <f aca="false">IF(AND(ISNUMBER(CP57),ISNUMBER(CQ38)),ROUND((CP57-CQ38)*10,1),"")</f>
        <v>70</v>
      </c>
      <c r="CR48" s="50" t="n">
        <f aca="false">IF(AND(ISNUMBER(CQ57),ISNUMBER(CR38)),ROUND((CQ57-CR38)*10,1),"")</f>
        <v>0</v>
      </c>
      <c r="CS48" s="50" t="n">
        <f aca="false">IF(AND(ISNUMBER(CR57),ISNUMBER(CS38)),ROUND((CR57-CS38)*10,1),"")</f>
        <v>0</v>
      </c>
      <c r="CT48" s="50" t="n">
        <f aca="false">IF(AND(ISNUMBER(CS57),ISNUMBER(CT38)),ROUND((CS57-CT38)*10,1),"")</f>
        <v>0</v>
      </c>
      <c r="CU48" s="50" t="n">
        <f aca="false">IF(AND(ISNUMBER(CT57),ISNUMBER(CU38)),ROUND((CT57-CU38)*10,1),"")</f>
        <v>0</v>
      </c>
      <c r="CV48" s="50" t="n">
        <f aca="false">IF(AND(ISNUMBER(CU57),ISNUMBER(CV38)),ROUND((CU57-CV38)*10,1),"")</f>
        <v>0</v>
      </c>
      <c r="CW48" s="50" t="n">
        <f aca="false">IF(AND(ISNUMBER(CV57),ISNUMBER(CW38)),ROUND((CV57-CW38)*10,1),"")</f>
        <v>0</v>
      </c>
      <c r="CX48" s="50" t="n">
        <f aca="false">IF(AND(ISNUMBER(CW57),ISNUMBER(CX38)),ROUND((CW57-CX38)*10,1),"")</f>
        <v>0</v>
      </c>
      <c r="CY48" s="50" t="n">
        <f aca="false">IF(AND(ISNUMBER(CX57),ISNUMBER(CY38)),ROUND((CX57-CY38)*10,1),"")</f>
        <v>3</v>
      </c>
      <c r="CZ48" s="50" t="n">
        <f aca="false">IF(AND(ISNUMBER(CY57),ISNUMBER(CZ38)),ROUND((CY57-CZ38)*10,1),"")</f>
        <v>5</v>
      </c>
      <c r="DA48" s="50" t="n">
        <f aca="false">IF(AND(ISNUMBER(CZ57),ISNUMBER(DA38)),ROUND((CZ57-DA38)*10,1),"")</f>
        <v>2</v>
      </c>
      <c r="DB48" s="50" t="n">
        <f aca="false">IF(AND(ISNUMBER(DA57),ISNUMBER(DB38)),ROUND((DA57-DB38)*10,1),"")</f>
        <v>7</v>
      </c>
      <c r="DC48" s="50" t="n">
        <f aca="false">IF(AND(ISNUMBER(DB57),ISNUMBER(DC38)),ROUND((DB57-DC38)*10,1),"")</f>
        <v>5</v>
      </c>
      <c r="DD48" s="50" t="n">
        <f aca="false">IF(AND(ISNUMBER(DC57),ISNUMBER(DD38)),ROUND((DC57-DD38)*10,1),"")</f>
        <v>10</v>
      </c>
      <c r="DE48" s="50" t="n">
        <f aca="false">IF(AND(ISNUMBER(DD57),ISNUMBER(DE38)),ROUND((DD57-DE38)*10,1),"")</f>
        <v>6</v>
      </c>
      <c r="DF48" s="50" t="n">
        <f aca="false">IF(AND(ISNUMBER(DE57),ISNUMBER(DF38)),ROUND((DE57-DF38)*10,1),"")</f>
        <v>3</v>
      </c>
      <c r="DG48" s="50" t="n">
        <f aca="false">IF(AND(ISNUMBER(DF57),ISNUMBER(DG38)),ROUND((DF57-DG38)*10,1),"")</f>
        <v>4</v>
      </c>
      <c r="DH48" s="50" t="n">
        <f aca="false">IF(AND(ISNUMBER(DG57),ISNUMBER(DH38)),ROUND((DG57-DH38)*10,1),"")</f>
        <v>5</v>
      </c>
      <c r="DI48" s="50" t="n">
        <f aca="false">IF(AND(ISNUMBER(DH57),ISNUMBER(DI38)),ROUND((DH57-DI38)*10,1),"")</f>
        <v>4</v>
      </c>
      <c r="DJ48" s="50" t="n">
        <f aca="false">IF(AND(ISNUMBER(DI57),ISNUMBER(DJ38)),ROUND((DI57-DJ38)*10,1),"")</f>
        <v>34</v>
      </c>
      <c r="DK48" s="50" t="n">
        <f aca="false">IF(AND(ISNUMBER(DJ57),ISNUMBER(DK38)),ROUND((DJ57-DK38)*10,1),"")</f>
        <v>30</v>
      </c>
      <c r="DL48" s="50" t="str">
        <f aca="false">IF(AND(ISNUMBER(DK57),ISNUMBER(DL38)),ROUND((DK57-DL38)*10,1),"")</f>
        <v/>
      </c>
      <c r="DM48" s="50" t="str">
        <f aca="false">IF(AND(ISNUMBER(DL57),ISNUMBER(DM38)),ROUND((DL57-DM38)*10,1),"")</f>
        <v/>
      </c>
      <c r="DN48" s="50" t="n">
        <f aca="false">IF(AND(ISNUMBER(DM57),ISNUMBER(DN38)),ROUND((DM57-DN38)*10,1),"")</f>
        <v>10</v>
      </c>
      <c r="DO48" s="50" t="n">
        <f aca="false">IF(AND(ISNUMBER(DN57),ISNUMBER(DO38)),ROUND((DN57-DO38)*10,1),"")</f>
        <v>1</v>
      </c>
      <c r="DP48" s="50" t="n">
        <f aca="false">IF(AND(ISNUMBER(DO57),ISNUMBER(DP38)),ROUND((DO57-DP38)*10,1),"")</f>
        <v>5</v>
      </c>
      <c r="DQ48" s="50" t="n">
        <f aca="false">IF(AND(ISNUMBER(DP57),ISNUMBER(DQ38)),ROUND((DP57-DQ38)*10,1),"")</f>
        <v>45</v>
      </c>
      <c r="DR48" s="50" t="n">
        <f aca="false">IF(AND(ISNUMBER(DQ57),ISNUMBER(DR38)),ROUND((DQ57-DR38)*10,1),"")</f>
        <v>50</v>
      </c>
      <c r="DS48" s="50" t="n">
        <f aca="false">IF(AND(ISNUMBER(DR57),ISNUMBER(DS38)),ROUND((DR57-DS38)*10,1),"")</f>
        <v>30</v>
      </c>
      <c r="DT48" s="50" t="n">
        <f aca="false">IF(AND(ISNUMBER(DS57),ISNUMBER(DT38)),ROUND((DS57-DT38)*10,1),"")</f>
        <v>30</v>
      </c>
      <c r="DU48" s="50" t="n">
        <f aca="false">IF(AND(ISNUMBER(DT57),ISNUMBER(DU38)),ROUND((DT57-DU38)*10,1),"")</f>
        <v>0</v>
      </c>
      <c r="DV48" s="50" t="n">
        <f aca="false">IF(AND(ISNUMBER(DU57),ISNUMBER(DV38)),ROUND((DU57-DV38)*10,1),"")</f>
        <v>5</v>
      </c>
      <c r="DW48" s="50" t="n">
        <f aca="false">IF(AND(ISNUMBER(DV57),ISNUMBER(DW38)),ROUND((DV57-DW38)*10,1),"")</f>
        <v>5</v>
      </c>
      <c r="DX48" s="50" t="n">
        <f aca="false">IF(AND(ISNUMBER(DW57),ISNUMBER(DX38)),ROUND((DW57-DX38)*10,1),"")</f>
        <v>25</v>
      </c>
      <c r="DY48" s="50" t="n">
        <f aca="false">IF(AND(ISNUMBER(DX57),ISNUMBER(DY38)),ROUND((DX57-DY38)*10,1),"")</f>
        <v>50</v>
      </c>
      <c r="DZ48" s="50" t="n">
        <f aca="false">IF(AND(ISNUMBER(DY57),ISNUMBER(DZ38)),ROUND((DY57-DZ38)*10,1),"")</f>
        <v>50</v>
      </c>
      <c r="EA48" s="50" t="n">
        <f aca="false">IF(AND(ISNUMBER(DZ57),ISNUMBER(EA38)),ROUND((DZ57-EA38)*10,1),"")</f>
        <v>30</v>
      </c>
      <c r="EB48" s="50" t="n">
        <f aca="false">IF(AND(ISNUMBER(EA57),ISNUMBER(EB38)),ROUND((EA57-EB38)*10,1),"")</f>
        <v>0</v>
      </c>
      <c r="EC48" s="50" t="n">
        <f aca="false">IF(AND(ISNUMBER(EB57),ISNUMBER(EC38)),ROUND((EB57-EC38)*10,1),"")</f>
        <v>0</v>
      </c>
      <c r="ED48" s="50" t="n">
        <f aca="false">IF(AND(ISNUMBER(EC57),ISNUMBER(ED38)),ROUND((EC57-ED38)*10,1),"")</f>
        <v>12</v>
      </c>
      <c r="EE48" s="50" t="n">
        <f aca="false">IF(AND(ISNUMBER(ED57),ISNUMBER(EE38)),ROUND((ED57-EE38)*10,1),"")</f>
        <v>-17</v>
      </c>
      <c r="EF48" s="50" t="n">
        <f aca="false">IF(AND(ISNUMBER(EE57),ISNUMBER(EF38)),ROUND((EE57-EF38)*10,1),"")</f>
        <v>30</v>
      </c>
      <c r="EG48" s="50" t="n">
        <f aca="false">IF(AND(ISNUMBER(EF57),ISNUMBER(EG38)),ROUND((EF57-EG38)*10,1),"")</f>
        <v>47</v>
      </c>
      <c r="EH48" s="50" t="n">
        <f aca="false">IF(AND(ISNUMBER(EG57),ISNUMBER(EH38)),ROUND((EG57-EH38)*10,1),"")</f>
        <v>53</v>
      </c>
      <c r="EI48" s="50" t="n">
        <f aca="false">IF(AND(ISNUMBER(EH57),ISNUMBER(EI38)),ROUND((EH57-EI38)*10,1),"")</f>
        <v>30</v>
      </c>
      <c r="EJ48" s="50" t="n">
        <f aca="false">IF(AND(ISNUMBER(EI57),ISNUMBER(EJ38)),ROUND((EI57-EJ38)*10,1),"")</f>
        <v>10</v>
      </c>
      <c r="EK48" s="50" t="n">
        <f aca="false">IF(AND(ISNUMBER(EJ57),ISNUMBER(EK38)),ROUND((EJ57-EK38)*10,1),"")</f>
        <v>9</v>
      </c>
      <c r="EL48" s="50" t="n">
        <f aca="false">IF(AND(ISNUMBER(EK57),ISNUMBER(EL38)),ROUND((EK57-EL38)*10,1),"")</f>
        <v>10</v>
      </c>
      <c r="EM48" s="50" t="n">
        <f aca="false">IF(AND(ISNUMBER(EL57),ISNUMBER(EM38)),ROUND((EL57-EM38)*10,1),"")</f>
        <v>-10</v>
      </c>
      <c r="EN48" s="50" t="n">
        <f aca="false">IF(AND(ISNUMBER(EM57),ISNUMBER(EN38)),ROUND((EM57-EN38)*10,1),"")</f>
        <v>10</v>
      </c>
      <c r="EO48" s="50" t="n">
        <f aca="false">IF(AND(ISNUMBER(EN57),ISNUMBER(EO38)),ROUND((EN57-EO38)*10,1),"")</f>
        <v>20</v>
      </c>
      <c r="EP48" s="50" t="n">
        <f aca="false">IF(AND(ISNUMBER(EO57),ISNUMBER(EP38)),ROUND((EO57-EP38)*10,1),"")</f>
        <v>30</v>
      </c>
      <c r="EQ48" s="50" t="n">
        <f aca="false">IF(AND(ISNUMBER(EP57),ISNUMBER(EQ38)),ROUND((EP57-EQ38)*10,1),"")</f>
        <v>70</v>
      </c>
      <c r="ER48" s="50" t="n">
        <f aca="false">IF(AND(ISNUMBER(EQ57),ISNUMBER(ER38)),ROUND((EQ57-ER38)*10,1),"")</f>
        <v>50</v>
      </c>
      <c r="ES48" s="50" t="n">
        <f aca="false">IF(AND(ISNUMBER(ER57),ISNUMBER(ES38)),ROUND((ER57-ES38)*10,1),"")</f>
        <v>0</v>
      </c>
      <c r="ET48" s="50" t="n">
        <f aca="false">IF(AND(ISNUMBER(ES57),ISNUMBER(ET38)),ROUND((ES57-ET38)*10,1),"")</f>
        <v>0</v>
      </c>
      <c r="EU48" s="50" t="str">
        <f aca="false">IF(AND(ISNUMBER(ET57),ISNUMBER(EU38)),ROUND((ET57-EU38)*10,1),"")</f>
        <v/>
      </c>
      <c r="EV48" s="50" t="str">
        <f aca="false">IF(AND(ISNUMBER(EU57),ISNUMBER(EV38)),ROUND((EU57-EV38)*10,1),"")</f>
        <v/>
      </c>
      <c r="EW48" s="50" t="str">
        <f aca="false">IF(AND(ISNUMBER(EV57),ISNUMBER(EW38)),ROUND((EV57-EW38)*10,1),"")</f>
        <v/>
      </c>
      <c r="EX48" s="50" t="str">
        <f aca="false">IF(AND(ISNUMBER(EW57),ISNUMBER(EX38)),ROUND((EW57-EX38)*10,1),"")</f>
        <v/>
      </c>
      <c r="EY48" s="50" t="str">
        <f aca="false">IF(AND(ISNUMBER(EX57),ISNUMBER(EY38)),ROUND((EX57-EY38)*10,1),"")</f>
        <v/>
      </c>
      <c r="EZ48" s="50" t="str">
        <f aca="false">IF(AND(ISNUMBER(EY57),ISNUMBER(EZ38)),ROUND((EY57-EZ38)*10,1),"")</f>
        <v/>
      </c>
      <c r="FA48" s="50" t="str">
        <f aca="false">IF(AND(ISNUMBER(EZ57),ISNUMBER(FA38)),ROUND((EZ57-FA38)*10,1),"")</f>
        <v/>
      </c>
      <c r="FB48" s="50" t="str">
        <f aca="false">IF(AND(ISNUMBER(FA57),ISNUMBER(FB38)),ROUND((FA57-FB38)*10,1),"")</f>
        <v/>
      </c>
      <c r="FC48" s="50" t="str">
        <f aca="false">IF(AND(ISNUMBER(FB57),ISNUMBER(FC38)),ROUND((FB57-FC38)*10,1),"")</f>
        <v/>
      </c>
      <c r="FD48" s="50" t="str">
        <f aca="false">IF(AND(ISNUMBER(FC57),ISNUMBER(FD38)),ROUND((FC57-FD38)*10,1),"")</f>
        <v/>
      </c>
      <c r="FE48" s="50" t="str">
        <f aca="false">IF(AND(ISNUMBER(FD57),ISNUMBER(FE38)),ROUND((FD57-FE38)*10,1),"")</f>
        <v/>
      </c>
      <c r="FF48" s="50" t="str">
        <f aca="false">IF(AND(ISNUMBER(FE57),ISNUMBER(FF38)),ROUND((FE57-FF38)*10,1),"")</f>
        <v/>
      </c>
      <c r="FG48" s="50" t="str">
        <f aca="false">IF(AND(ISNUMBER(FF57),ISNUMBER(FG38)),ROUND((FF57-FG38)*10,1),"")</f>
        <v/>
      </c>
      <c r="FH48" s="50" t="str">
        <f aca="false">IF(AND(ISNUMBER(FG57),ISNUMBER(FH38)),ROUND((FG57-FH38)*10,1),"")</f>
        <v/>
      </c>
      <c r="FI48" s="50" t="str">
        <f aca="false">IF(AND(ISNUMBER(FH57),ISNUMBER(FI38)),ROUND((FH57-FI38)*10,1),"")</f>
        <v/>
      </c>
      <c r="FJ48" s="50" t="str">
        <f aca="false">IF(AND(ISNUMBER(FI57),ISNUMBER(FJ38)),ROUND((FI57-FJ38)*10,1),"")</f>
        <v/>
      </c>
      <c r="FK48" s="50" t="str">
        <f aca="false">IF(AND(ISNUMBER(FJ57),ISNUMBER(FK38)),ROUND((FJ57-FK38)*10,1),"")</f>
        <v/>
      </c>
      <c r="FL48" s="50" t="str">
        <f aca="false">IF(AND(ISNUMBER(FK57),ISNUMBER(FL38)),ROUND((FK57-FL38)*10,1),"")</f>
        <v/>
      </c>
      <c r="FM48" s="50" t="str">
        <f aca="false">IF(AND(ISNUMBER(FL57),ISNUMBER(FM38)),ROUND((FL57-FM38)*10,1),"")</f>
        <v/>
      </c>
      <c r="FN48" s="50" t="str">
        <f aca="false">IF(AND(ISNUMBER(FM57),ISNUMBER(FN38)),ROUND((FM57-FN38)*10,1),"")</f>
        <v/>
      </c>
      <c r="FO48" s="50" t="str">
        <f aca="false">IF(AND(ISNUMBER(FN57),ISNUMBER(FO38)),ROUND((FN57-FO38)*10,1),"")</f>
        <v/>
      </c>
      <c r="FP48" s="50" t="str">
        <f aca="false">IF(AND(ISNUMBER(FO57),ISNUMBER(FP38)),ROUND((FO57-FP38)*10,1),"")</f>
        <v/>
      </c>
      <c r="FQ48" s="50" t="str">
        <f aca="false">IF(AND(ISNUMBER(FP57),ISNUMBER(FQ38)),ROUND((FP57-FQ38)*10,1),"")</f>
        <v/>
      </c>
    </row>
    <row r="49" customFormat="false" ht="15" hidden="false" customHeight="false" outlineLevel="0" collapsed="false">
      <c r="A49" s="33" t="s">
        <v>83</v>
      </c>
      <c r="B49" s="20" t="s">
        <v>423</v>
      </c>
      <c r="D49" s="57" t="str">
        <f aca="false">IF(2_Daily_input!D40="","",2_Daily_input!D40)</f>
        <v/>
      </c>
      <c r="E49" s="57" t="str">
        <f aca="false">IF(2_Daily_input!E40="","",2_Daily_input!E40)</f>
        <v/>
      </c>
      <c r="F49" s="57" t="str">
        <f aca="false">IF(2_Daily_input!F40="","",2_Daily_input!F40)</f>
        <v/>
      </c>
      <c r="G49" s="57" t="str">
        <f aca="false">IF(2_Daily_input!G40="","",2_Daily_input!G40)</f>
        <v/>
      </c>
      <c r="H49" s="57" t="str">
        <f aca="false">IF(2_Daily_input!H40="","",2_Daily_input!H40)</f>
        <v/>
      </c>
      <c r="I49" s="57" t="str">
        <f aca="false">IF(2_Daily_input!I40="","",2_Daily_input!I40)</f>
        <v/>
      </c>
      <c r="J49" s="57" t="str">
        <f aca="false">IF(2_Daily_input!J40="","",2_Daily_input!J40)</f>
        <v/>
      </c>
      <c r="K49" s="57" t="str">
        <f aca="false">IF(2_Daily_input!K40="","",2_Daily_input!K40)</f>
        <v/>
      </c>
      <c r="L49" s="57" t="str">
        <f aca="false">IF(2_Daily_input!L40="","",2_Daily_input!L40)</f>
        <v/>
      </c>
      <c r="M49" s="57" t="str">
        <f aca="false">IF(2_Daily_input!M40="","",2_Daily_input!M40)</f>
        <v/>
      </c>
      <c r="N49" s="57" t="str">
        <f aca="false">IF(2_Daily_input!N40="","",2_Daily_input!N40)</f>
        <v/>
      </c>
      <c r="O49" s="57" t="str">
        <f aca="false">IF(2_Daily_input!O40="","",2_Daily_input!O40)</f>
        <v/>
      </c>
      <c r="P49" s="57" t="str">
        <f aca="false">IF(2_Daily_input!P40="","",2_Daily_input!P40)</f>
        <v/>
      </c>
      <c r="Q49" s="57" t="str">
        <f aca="false">IF(2_Daily_input!Q40="","",2_Daily_input!Q40)</f>
        <v/>
      </c>
      <c r="R49" s="57" t="str">
        <f aca="false">IF(2_Daily_input!R40="","",2_Daily_input!R40)</f>
        <v/>
      </c>
      <c r="S49" s="57" t="str">
        <f aca="false">IF(2_Daily_input!S40="","",2_Daily_input!S40)</f>
        <v/>
      </c>
      <c r="T49" s="57" t="str">
        <f aca="false">IF(2_Daily_input!T40="","",2_Daily_input!T40)</f>
        <v/>
      </c>
      <c r="U49" s="57" t="str">
        <f aca="false">IF(2_Daily_input!U40="","",2_Daily_input!U40)</f>
        <v/>
      </c>
      <c r="V49" s="57" t="str">
        <f aca="false">IF(2_Daily_input!V40="","",2_Daily_input!V40)</f>
        <v/>
      </c>
      <c r="W49" s="57" t="str">
        <f aca="false">IF(2_Daily_input!W40="","",2_Daily_input!W40)</f>
        <v/>
      </c>
      <c r="X49" s="57" t="str">
        <f aca="false">IF(2_Daily_input!X40="","",2_Daily_input!X40)</f>
        <v/>
      </c>
      <c r="Y49" s="57" t="str">
        <f aca="false">IF(2_Daily_input!Y40="","",2_Daily_input!Y40)</f>
        <v/>
      </c>
      <c r="Z49" s="57" t="str">
        <f aca="false">IF(2_Daily_input!Z40="","",2_Daily_input!Z40)</f>
        <v/>
      </c>
      <c r="AA49" s="57" t="str">
        <f aca="false">IF(2_Daily_input!AA40="","",2_Daily_input!AA40)</f>
        <v/>
      </c>
      <c r="AB49" s="57" t="str">
        <f aca="false">IF(2_Daily_input!AB40="","",2_Daily_input!AB40)</f>
        <v/>
      </c>
      <c r="AC49" s="57" t="str">
        <f aca="false">IF(2_Daily_input!AC40="","",2_Daily_input!AC40)</f>
        <v/>
      </c>
      <c r="AD49" s="57" t="str">
        <f aca="false">IF(2_Daily_input!AD40="","",2_Daily_input!AD40)</f>
        <v/>
      </c>
      <c r="AE49" s="57" t="str">
        <f aca="false">IF(2_Daily_input!AE40="","",2_Daily_input!AE40)</f>
        <v/>
      </c>
      <c r="AF49" s="57" t="str">
        <f aca="false">IF(2_Daily_input!AF40="","",2_Daily_input!AF40)</f>
        <v/>
      </c>
      <c r="AG49" s="57" t="str">
        <f aca="false">IF(2_Daily_input!AG40="","",2_Daily_input!AG40)</f>
        <v/>
      </c>
      <c r="AH49" s="57" t="str">
        <f aca="false">IF(2_Daily_input!AH40="","",2_Daily_input!AH40)</f>
        <v/>
      </c>
      <c r="AI49" s="57" t="str">
        <f aca="false">IF(2_Daily_input!AI40="","",2_Daily_input!AI40)</f>
        <v/>
      </c>
      <c r="AJ49" s="57" t="str">
        <f aca="false">IF(2_Daily_input!AJ40="","",2_Daily_input!AJ40)</f>
        <v/>
      </c>
      <c r="AK49" s="57" t="str">
        <f aca="false">IF(2_Daily_input!AK40="","",2_Daily_input!AK40)</f>
        <v/>
      </c>
      <c r="AL49" s="57" t="str">
        <f aca="false">IF(2_Daily_input!AL40="","",2_Daily_input!AL40)</f>
        <v/>
      </c>
      <c r="AM49" s="57" t="str">
        <f aca="false">IF(2_Daily_input!AM40="","",2_Daily_input!AM40)</f>
        <v/>
      </c>
      <c r="AN49" s="57" t="str">
        <f aca="false">IF(2_Daily_input!AN40="","",2_Daily_input!AN40)</f>
        <v/>
      </c>
      <c r="AO49" s="57" t="str">
        <f aca="false">IF(2_Daily_input!AO40="","",2_Daily_input!AO40)</f>
        <v/>
      </c>
      <c r="AP49" s="57" t="str">
        <f aca="false">IF(2_Daily_input!AP40="","",2_Daily_input!AP40)</f>
        <v/>
      </c>
      <c r="AQ49" s="57" t="str">
        <f aca="false">IF(2_Daily_input!AQ40="","",2_Daily_input!AQ40)</f>
        <v/>
      </c>
      <c r="AR49" s="57" t="str">
        <f aca="false">IF(2_Daily_input!AR40="","",2_Daily_input!AR40)</f>
        <v/>
      </c>
      <c r="AS49" s="57" t="str">
        <f aca="false">IF(2_Daily_input!AS40="","",2_Daily_input!AS40)</f>
        <v/>
      </c>
      <c r="AT49" s="57" t="str">
        <f aca="false">IF(2_Daily_input!AT40="","",2_Daily_input!AT40)</f>
        <v/>
      </c>
      <c r="AU49" s="57" t="str">
        <f aca="false">IF(2_Daily_input!AU40="","",2_Daily_input!AU40)</f>
        <v/>
      </c>
      <c r="AV49" s="57" t="str">
        <f aca="false">IF(2_Daily_input!AV40="","",2_Daily_input!AV40)</f>
        <v/>
      </c>
      <c r="AW49" s="57" t="str">
        <f aca="false">IF(2_Daily_input!AW40="","",2_Daily_input!AW40)</f>
        <v/>
      </c>
      <c r="AX49" s="57" t="str">
        <f aca="false">IF(2_Daily_input!AX40="","",2_Daily_input!AX40)</f>
        <v/>
      </c>
      <c r="AY49" s="57" t="str">
        <f aca="false">IF(2_Daily_input!AY40="","",2_Daily_input!AY40)</f>
        <v/>
      </c>
      <c r="AZ49" s="57" t="str">
        <f aca="false">IF(2_Daily_input!AZ40="","",2_Daily_input!AZ40)</f>
        <v/>
      </c>
      <c r="BA49" s="57" t="str">
        <f aca="false">IF(2_Daily_input!BA40="","",2_Daily_input!BA40)</f>
        <v/>
      </c>
      <c r="BB49" s="57" t="str">
        <f aca="false">IF(2_Daily_input!BB40="","",2_Daily_input!BB40)</f>
        <v/>
      </c>
      <c r="BC49" s="57" t="str">
        <f aca="false">IF(2_Daily_input!BC40="","",2_Daily_input!BC40)</f>
        <v/>
      </c>
      <c r="BD49" s="57" t="str">
        <f aca="false">IF(2_Daily_input!BD40="","",2_Daily_input!BD40)</f>
        <v/>
      </c>
      <c r="BE49" s="57" t="str">
        <f aca="false">IF(2_Daily_input!BE40="","",2_Daily_input!BE40)</f>
        <v/>
      </c>
      <c r="BF49" s="57" t="str">
        <f aca="false">IF(2_Daily_input!BF40="","",2_Daily_input!BF40)</f>
        <v/>
      </c>
      <c r="BG49" s="57" t="str">
        <f aca="false">IF(2_Daily_input!BG40="","",2_Daily_input!BG40)</f>
        <v/>
      </c>
      <c r="BH49" s="57" t="str">
        <f aca="false">IF(2_Daily_input!BH40="","",2_Daily_input!BH40)</f>
        <v/>
      </c>
      <c r="BI49" s="57" t="str">
        <f aca="false">IF(2_Daily_input!BI40="","",2_Daily_input!BI40)</f>
        <v/>
      </c>
      <c r="BJ49" s="57" t="str">
        <f aca="false">IF(2_Daily_input!BJ40="","",2_Daily_input!BJ40)</f>
        <v/>
      </c>
      <c r="BK49" s="57" t="str">
        <f aca="false">IF(2_Daily_input!BK40="","",2_Daily_input!BK40)</f>
        <v/>
      </c>
      <c r="BL49" s="57" t="str">
        <f aca="false">IF(2_Daily_input!BL40="","",2_Daily_input!BL40)</f>
        <v/>
      </c>
      <c r="BM49" s="57" t="str">
        <f aca="false">IF(2_Daily_input!BM40="","",2_Daily_input!BM40)</f>
        <v/>
      </c>
      <c r="BN49" s="57" t="str">
        <f aca="false">IF(2_Daily_input!BN40="","",2_Daily_input!BN40)</f>
        <v/>
      </c>
      <c r="BO49" s="57" t="str">
        <f aca="false">IF(2_Daily_input!BO40="","",2_Daily_input!BO40)</f>
        <v/>
      </c>
      <c r="BP49" s="57" t="str">
        <f aca="false">IF(2_Daily_input!BP40="","",2_Daily_input!BP40)</f>
        <v/>
      </c>
      <c r="BQ49" s="57" t="str">
        <f aca="false">IF(2_Daily_input!BQ40="","",2_Daily_input!BQ40)</f>
        <v/>
      </c>
      <c r="BR49" s="57" t="str">
        <f aca="false">IF(2_Daily_input!BR40="","",2_Daily_input!BR40)</f>
        <v/>
      </c>
      <c r="BS49" s="57" t="str">
        <f aca="false">IF(2_Daily_input!BS40="","",2_Daily_input!BS40)</f>
        <v/>
      </c>
      <c r="BT49" s="57" t="str">
        <f aca="false">IF(2_Daily_input!BT40="","",2_Daily_input!BT40)</f>
        <v/>
      </c>
      <c r="BU49" s="57" t="str">
        <f aca="false">IF(2_Daily_input!BU40="","",2_Daily_input!BU40)</f>
        <v/>
      </c>
      <c r="BV49" s="57" t="str">
        <f aca="false">IF(2_Daily_input!BV40="","",2_Daily_input!BV40)</f>
        <v/>
      </c>
      <c r="BW49" s="57" t="str">
        <f aca="false">IF(2_Daily_input!BW40="","",2_Daily_input!BW40)</f>
        <v/>
      </c>
      <c r="BX49" s="57" t="str">
        <f aca="false">IF(2_Daily_input!BX40="","",2_Daily_input!BX40)</f>
        <v/>
      </c>
      <c r="BY49" s="57" t="str">
        <f aca="false">IF(2_Daily_input!BY40="","",2_Daily_input!BY40)</f>
        <v/>
      </c>
      <c r="BZ49" s="57" t="str">
        <f aca="false">IF(2_Daily_input!BZ40="","",2_Daily_input!BZ40)</f>
        <v/>
      </c>
      <c r="CA49" s="57" t="str">
        <f aca="false">IF(2_Daily_input!CA40="","",2_Daily_input!CA40)</f>
        <v/>
      </c>
      <c r="CB49" s="57" t="str">
        <f aca="false">IF(2_Daily_input!CB40="","",2_Daily_input!CB40)</f>
        <v/>
      </c>
      <c r="CC49" s="57" t="str">
        <f aca="false">IF(2_Daily_input!CC40="","",2_Daily_input!CC40)</f>
        <v/>
      </c>
      <c r="CD49" s="57" t="str">
        <f aca="false">IF(2_Daily_input!CD40="","",2_Daily_input!CD40)</f>
        <v/>
      </c>
      <c r="CE49" s="57" t="str">
        <f aca="false">IF(2_Daily_input!CE40="","",2_Daily_input!CE40)</f>
        <v/>
      </c>
      <c r="CF49" s="57" t="str">
        <f aca="false">IF(2_Daily_input!CF40="","",2_Daily_input!CF40)</f>
        <v/>
      </c>
      <c r="CG49" s="57" t="str">
        <f aca="false">IF(2_Daily_input!CG40="","",2_Daily_input!CG40)</f>
        <v/>
      </c>
      <c r="CH49" s="57" t="str">
        <f aca="false">IF(2_Daily_input!CH40="","",2_Daily_input!CH40)</f>
        <v/>
      </c>
      <c r="CI49" s="57" t="str">
        <f aca="false">IF(2_Daily_input!CI40="","",2_Daily_input!CI40)</f>
        <v/>
      </c>
      <c r="CJ49" s="57" t="str">
        <f aca="false">IF(2_Daily_input!CJ40="","",2_Daily_input!CJ40)</f>
        <v/>
      </c>
      <c r="CK49" s="57" t="str">
        <f aca="false">IF(2_Daily_input!CK40="","",2_Daily_input!CK40)</f>
        <v/>
      </c>
      <c r="CL49" s="57" t="str">
        <f aca="false">IF(2_Daily_input!CL40="","",2_Daily_input!CL40)</f>
        <v/>
      </c>
      <c r="CM49" s="57" t="str">
        <f aca="false">IF(2_Daily_input!CM40="","",2_Daily_input!CM40)</f>
        <v/>
      </c>
      <c r="CN49" s="57" t="str">
        <f aca="false">IF(2_Daily_input!CN40="","",2_Daily_input!CN40)</f>
        <v/>
      </c>
      <c r="CO49" s="57" t="str">
        <f aca="false">IF(2_Daily_input!CO40="","",2_Daily_input!CO40)</f>
        <v/>
      </c>
      <c r="CP49" s="57" t="str">
        <f aca="false">IF(2_Daily_input!CP40="","",2_Daily_input!CP40)</f>
        <v/>
      </c>
      <c r="CQ49" s="57" t="str">
        <f aca="false">IF(2_Daily_input!CQ40="","",2_Daily_input!CQ40)</f>
        <v/>
      </c>
      <c r="CR49" s="57" t="str">
        <f aca="false">IF(2_Daily_input!CR40="","",2_Daily_input!CR40)</f>
        <v/>
      </c>
      <c r="CS49" s="57" t="str">
        <f aca="false">IF(2_Daily_input!CS40="","",2_Daily_input!CS40)</f>
        <v/>
      </c>
      <c r="CT49" s="57" t="str">
        <f aca="false">IF(2_Daily_input!CT40="","",2_Daily_input!CT40)</f>
        <v/>
      </c>
      <c r="CU49" s="57" t="str">
        <f aca="false">IF(2_Daily_input!CU40="","",2_Daily_input!CU40)</f>
        <v/>
      </c>
      <c r="CV49" s="57" t="str">
        <f aca="false">IF(2_Daily_input!CV40="","",2_Daily_input!CV40)</f>
        <v/>
      </c>
      <c r="CW49" s="57" t="str">
        <f aca="false">IF(2_Daily_input!CW40="","",2_Daily_input!CW40)</f>
        <v/>
      </c>
      <c r="CX49" s="57" t="str">
        <f aca="false">IF(2_Daily_input!CX40="","",2_Daily_input!CX40)</f>
        <v/>
      </c>
      <c r="CY49" s="57" t="str">
        <f aca="false">IF(2_Daily_input!CY40="","",2_Daily_input!CY40)</f>
        <v/>
      </c>
      <c r="CZ49" s="57" t="str">
        <f aca="false">IF(2_Daily_input!CZ40="","",2_Daily_input!CZ40)</f>
        <v/>
      </c>
      <c r="DA49" s="57" t="str">
        <f aca="false">IF(2_Daily_input!DA40="","",2_Daily_input!DA40)</f>
        <v/>
      </c>
      <c r="DB49" s="57" t="str">
        <f aca="false">IF(2_Daily_input!DB40="","",2_Daily_input!DB40)</f>
        <v/>
      </c>
      <c r="DC49" s="57" t="str">
        <f aca="false">IF(2_Daily_input!DC40="","",2_Daily_input!DC40)</f>
        <v/>
      </c>
      <c r="DD49" s="57" t="str">
        <f aca="false">IF(2_Daily_input!DD40="","",2_Daily_input!DD40)</f>
        <v/>
      </c>
      <c r="DE49" s="57" t="str">
        <f aca="false">IF(2_Daily_input!DE40="","",2_Daily_input!DE40)</f>
        <v/>
      </c>
      <c r="DF49" s="57" t="str">
        <f aca="false">IF(2_Daily_input!DF40="","",2_Daily_input!DF40)</f>
        <v/>
      </c>
      <c r="DG49" s="57" t="str">
        <f aca="false">IF(2_Daily_input!DG40="","",2_Daily_input!DG40)</f>
        <v/>
      </c>
      <c r="DH49" s="57" t="str">
        <f aca="false">IF(2_Daily_input!DH40="","",2_Daily_input!DH40)</f>
        <v/>
      </c>
      <c r="DI49" s="57" t="str">
        <f aca="false">IF(2_Daily_input!DI40="","",2_Daily_input!DI40)</f>
        <v/>
      </c>
      <c r="DJ49" s="57" t="str">
        <f aca="false">IF(2_Daily_input!DJ40="","",2_Daily_input!DJ40)</f>
        <v/>
      </c>
      <c r="DK49" s="57" t="str">
        <f aca="false">IF(2_Daily_input!DK40="","",2_Daily_input!DK40)</f>
        <v/>
      </c>
      <c r="DL49" s="57" t="str">
        <f aca="false">IF(2_Daily_input!DL40="","",2_Daily_input!DL40)</f>
        <v/>
      </c>
      <c r="DM49" s="57" t="str">
        <f aca="false">IF(2_Daily_input!DM40="","",2_Daily_input!DM40)</f>
        <v/>
      </c>
      <c r="DN49" s="57" t="str">
        <f aca="false">IF(2_Daily_input!DN40="","",2_Daily_input!DN40)</f>
        <v/>
      </c>
      <c r="DO49" s="57" t="str">
        <f aca="false">IF(2_Daily_input!DO40="","",2_Daily_input!DO40)</f>
        <v/>
      </c>
      <c r="DP49" s="57" t="str">
        <f aca="false">IF(2_Daily_input!DP40="","",2_Daily_input!DP40)</f>
        <v/>
      </c>
      <c r="DQ49" s="57" t="str">
        <f aca="false">IF(2_Daily_input!DQ40="","",2_Daily_input!DQ40)</f>
        <v/>
      </c>
      <c r="DR49" s="57" t="str">
        <f aca="false">IF(2_Daily_input!DR40="","",2_Daily_input!DR40)</f>
        <v/>
      </c>
      <c r="DS49" s="57" t="str">
        <f aca="false">IF(2_Daily_input!DS40="","",2_Daily_input!DS40)</f>
        <v/>
      </c>
      <c r="DT49" s="57" t="str">
        <f aca="false">IF(2_Daily_input!DT40="","",2_Daily_input!DT40)</f>
        <v/>
      </c>
      <c r="DU49" s="57" t="str">
        <f aca="false">IF(2_Daily_input!DU40="","",2_Daily_input!DU40)</f>
        <v/>
      </c>
      <c r="DV49" s="57" t="str">
        <f aca="false">IF(2_Daily_input!DV40="","",2_Daily_input!DV40)</f>
        <v/>
      </c>
      <c r="DW49" s="57" t="str">
        <f aca="false">IF(2_Daily_input!DW40="","",2_Daily_input!DW40)</f>
        <v/>
      </c>
      <c r="DX49" s="57" t="str">
        <f aca="false">IF(2_Daily_input!DX40="","",2_Daily_input!DX40)</f>
        <v/>
      </c>
      <c r="DY49" s="57" t="str">
        <f aca="false">IF(2_Daily_input!DY40="","",2_Daily_input!DY40)</f>
        <v/>
      </c>
      <c r="DZ49" s="57" t="str">
        <f aca="false">IF(2_Daily_input!DZ40="","",2_Daily_input!DZ40)</f>
        <v/>
      </c>
      <c r="EA49" s="57" t="str">
        <f aca="false">IF(2_Daily_input!EA40="","",2_Daily_input!EA40)</f>
        <v/>
      </c>
      <c r="EB49" s="57" t="str">
        <f aca="false">IF(2_Daily_input!EB40="","",2_Daily_input!EB40)</f>
        <v/>
      </c>
      <c r="EC49" s="57" t="str">
        <f aca="false">IF(2_Daily_input!EC40="","",2_Daily_input!EC40)</f>
        <v/>
      </c>
      <c r="ED49" s="57" t="str">
        <f aca="false">IF(2_Daily_input!ED40="","",2_Daily_input!ED40)</f>
        <v/>
      </c>
      <c r="EE49" s="57" t="str">
        <f aca="false">IF(2_Daily_input!EE40="","",2_Daily_input!EE40)</f>
        <v/>
      </c>
      <c r="EF49" s="57" t="str">
        <f aca="false">IF(2_Daily_input!EF40="","",2_Daily_input!EF40)</f>
        <v/>
      </c>
      <c r="EG49" s="57" t="str">
        <f aca="false">IF(2_Daily_input!EG40="","",2_Daily_input!EG40)</f>
        <v/>
      </c>
      <c r="EH49" s="57" t="str">
        <f aca="false">IF(2_Daily_input!EH40="","",2_Daily_input!EH40)</f>
        <v/>
      </c>
      <c r="EI49" s="57" t="str">
        <f aca="false">IF(2_Daily_input!EI40="","",2_Daily_input!EI40)</f>
        <v/>
      </c>
      <c r="EJ49" s="57" t="str">
        <f aca="false">IF(2_Daily_input!EJ40="","",2_Daily_input!EJ40)</f>
        <v/>
      </c>
      <c r="EK49" s="57" t="str">
        <f aca="false">IF(2_Daily_input!EK40="","",2_Daily_input!EK40)</f>
        <v/>
      </c>
      <c r="EL49" s="57" t="str">
        <f aca="false">IF(2_Daily_input!EL40="","",2_Daily_input!EL40)</f>
        <v/>
      </c>
      <c r="EM49" s="57" t="str">
        <f aca="false">IF(2_Daily_input!EM40="","",2_Daily_input!EM40)</f>
        <v/>
      </c>
      <c r="EN49" s="57" t="str">
        <f aca="false">IF(2_Daily_input!EN40="","",2_Daily_input!EN40)</f>
        <v/>
      </c>
      <c r="EO49" s="57" t="str">
        <f aca="false">IF(2_Daily_input!EO40="","",2_Daily_input!EO40)</f>
        <v/>
      </c>
      <c r="EP49" s="57" t="str">
        <f aca="false">IF(2_Daily_input!EP40="","",2_Daily_input!EP40)</f>
        <v/>
      </c>
      <c r="EQ49" s="57" t="str">
        <f aca="false">IF(2_Daily_input!EQ40="","",2_Daily_input!EQ40)</f>
        <v/>
      </c>
      <c r="ER49" s="57" t="str">
        <f aca="false">IF(2_Daily_input!ER40="","",2_Daily_input!ER40)</f>
        <v/>
      </c>
      <c r="ES49" s="57" t="str">
        <f aca="false">IF(2_Daily_input!ES40="","",2_Daily_input!ES40)</f>
        <v/>
      </c>
      <c r="ET49" s="57" t="str">
        <f aca="false">IF(2_Daily_input!ET40="","",2_Daily_input!ET40)</f>
        <v/>
      </c>
      <c r="EU49" s="57" t="str">
        <f aca="false">IF(2_Daily_input!EU40="","",2_Daily_input!EU40)</f>
        <v/>
      </c>
      <c r="EV49" s="57" t="str">
        <f aca="false">IF(2_Daily_input!EV40="","",2_Daily_input!EV40)</f>
        <v/>
      </c>
      <c r="EW49" s="57" t="str">
        <f aca="false">IF(2_Daily_input!EW40="","",2_Daily_input!EW40)</f>
        <v/>
      </c>
      <c r="EX49" s="57" t="str">
        <f aca="false">IF(2_Daily_input!EX40="","",2_Daily_input!EX40)</f>
        <v/>
      </c>
      <c r="EY49" s="57" t="str">
        <f aca="false">IF(2_Daily_input!EY40="","",2_Daily_input!EY40)</f>
        <v/>
      </c>
      <c r="EZ49" s="57" t="str">
        <f aca="false">IF(2_Daily_input!EZ40="","",2_Daily_input!EZ40)</f>
        <v/>
      </c>
      <c r="FA49" s="57" t="str">
        <f aca="false">IF(2_Daily_input!FA40="","",2_Daily_input!FA40)</f>
        <v/>
      </c>
      <c r="FB49" s="57" t="str">
        <f aca="false">IF(2_Daily_input!FB40="","",2_Daily_input!FB40)</f>
        <v/>
      </c>
      <c r="FC49" s="57" t="str">
        <f aca="false">IF(2_Daily_input!FC40="","",2_Daily_input!FC40)</f>
        <v/>
      </c>
      <c r="FD49" s="57" t="str">
        <f aca="false">IF(2_Daily_input!FD40="","",2_Daily_input!FD40)</f>
        <v/>
      </c>
      <c r="FE49" s="57" t="str">
        <f aca="false">IF(2_Daily_input!FE40="","",2_Daily_input!FE40)</f>
        <v/>
      </c>
      <c r="FF49" s="57" t="str">
        <f aca="false">IF(2_Daily_input!FF40="","",2_Daily_input!FF40)</f>
        <v/>
      </c>
      <c r="FG49" s="57" t="str">
        <f aca="false">IF(2_Daily_input!FG40="","",2_Daily_input!FG40)</f>
        <v/>
      </c>
      <c r="FH49" s="57" t="str">
        <f aca="false">IF(2_Daily_input!FH40="","",2_Daily_input!FH40)</f>
        <v/>
      </c>
      <c r="FI49" s="57" t="str">
        <f aca="false">IF(2_Daily_input!FI40="","",2_Daily_input!FI40)</f>
        <v/>
      </c>
      <c r="FJ49" s="57" t="str">
        <f aca="false">IF(2_Daily_input!FJ40="","",2_Daily_input!FJ40)</f>
        <v/>
      </c>
      <c r="FK49" s="57" t="str">
        <f aca="false">IF(2_Daily_input!FK40="","",2_Daily_input!FK40)</f>
        <v/>
      </c>
      <c r="FL49" s="57" t="str">
        <f aca="false">IF(2_Daily_input!FL40="","",2_Daily_input!FL40)</f>
        <v/>
      </c>
      <c r="FM49" s="57" t="str">
        <f aca="false">IF(2_Daily_input!FM40="","",2_Daily_input!FM40)</f>
        <v/>
      </c>
      <c r="FN49" s="57" t="str">
        <f aca="false">IF(2_Daily_input!FN40="","",2_Daily_input!FN40)</f>
        <v/>
      </c>
      <c r="FO49" s="57" t="str">
        <f aca="false">IF(2_Daily_input!FO40="","",2_Daily_input!FO40)</f>
        <v/>
      </c>
      <c r="FP49" s="57" t="str">
        <f aca="false">IF(2_Daily_input!FP40="","",2_Daily_input!FP40)</f>
        <v/>
      </c>
      <c r="FQ49" s="57" t="str">
        <f aca="false">IF(2_Daily_input!FQ40="","",2_Daily_input!FQ40)</f>
        <v/>
      </c>
    </row>
    <row r="50" customFormat="false" ht="15" hidden="false" customHeight="false" outlineLevel="0" collapsed="false">
      <c r="A50" s="33" t="s">
        <v>83</v>
      </c>
      <c r="B50" s="20" t="s">
        <v>424</v>
      </c>
      <c r="D50" s="57" t="str">
        <f aca="false">IF(2_Daily_input!D41="","",2_Daily_input!D41)</f>
        <v/>
      </c>
      <c r="E50" s="57" t="str">
        <f aca="false">IF(2_Daily_input!E41="","",2_Daily_input!E41)</f>
        <v/>
      </c>
      <c r="F50" s="57" t="str">
        <f aca="false">IF(2_Daily_input!F41="","",2_Daily_input!F41)</f>
        <v/>
      </c>
      <c r="G50" s="57" t="str">
        <f aca="false">IF(2_Daily_input!G41="","",2_Daily_input!G41)</f>
        <v/>
      </c>
      <c r="H50" s="57" t="str">
        <f aca="false">IF(2_Daily_input!H41="","",2_Daily_input!H41)</f>
        <v/>
      </c>
      <c r="I50" s="57" t="str">
        <f aca="false">IF(2_Daily_input!I41="","",2_Daily_input!I41)</f>
        <v/>
      </c>
      <c r="J50" s="57" t="str">
        <f aca="false">IF(2_Daily_input!J41="","",2_Daily_input!J41)</f>
        <v/>
      </c>
      <c r="K50" s="57" t="str">
        <f aca="false">IF(2_Daily_input!K41="","",2_Daily_input!K41)</f>
        <v/>
      </c>
      <c r="L50" s="57" t="str">
        <f aca="false">IF(2_Daily_input!L41="","",2_Daily_input!L41)</f>
        <v/>
      </c>
      <c r="M50" s="57" t="str">
        <f aca="false">IF(2_Daily_input!M41="","",2_Daily_input!M41)</f>
        <v/>
      </c>
      <c r="N50" s="57" t="str">
        <f aca="false">IF(2_Daily_input!N41="","",2_Daily_input!N41)</f>
        <v/>
      </c>
      <c r="O50" s="57" t="str">
        <f aca="false">IF(2_Daily_input!O41="","",2_Daily_input!O41)</f>
        <v/>
      </c>
      <c r="P50" s="57" t="str">
        <f aca="false">IF(2_Daily_input!P41="","",2_Daily_input!P41)</f>
        <v/>
      </c>
      <c r="Q50" s="57" t="str">
        <f aca="false">IF(2_Daily_input!Q41="","",2_Daily_input!Q41)</f>
        <v/>
      </c>
      <c r="R50" s="57" t="str">
        <f aca="false">IF(2_Daily_input!R41="","",2_Daily_input!R41)</f>
        <v/>
      </c>
      <c r="S50" s="57" t="str">
        <f aca="false">IF(2_Daily_input!S41="","",2_Daily_input!S41)</f>
        <v/>
      </c>
      <c r="T50" s="57" t="str">
        <f aca="false">IF(2_Daily_input!T41="","",2_Daily_input!T41)</f>
        <v/>
      </c>
      <c r="U50" s="57" t="str">
        <f aca="false">IF(2_Daily_input!U41="","",2_Daily_input!U41)</f>
        <v/>
      </c>
      <c r="V50" s="57" t="str">
        <f aca="false">IF(2_Daily_input!V41="","",2_Daily_input!V41)</f>
        <v/>
      </c>
      <c r="W50" s="57" t="str">
        <f aca="false">IF(2_Daily_input!W41="","",2_Daily_input!W41)</f>
        <v/>
      </c>
      <c r="X50" s="57" t="str">
        <f aca="false">IF(2_Daily_input!X41="","",2_Daily_input!X41)</f>
        <v/>
      </c>
      <c r="Y50" s="57" t="str">
        <f aca="false">IF(2_Daily_input!Y41="","",2_Daily_input!Y41)</f>
        <v/>
      </c>
      <c r="Z50" s="57" t="str">
        <f aca="false">IF(2_Daily_input!Z41="","",2_Daily_input!Z41)</f>
        <v/>
      </c>
      <c r="AA50" s="57" t="str">
        <f aca="false">IF(2_Daily_input!AA41="","",2_Daily_input!AA41)</f>
        <v/>
      </c>
      <c r="AB50" s="57" t="str">
        <f aca="false">IF(2_Daily_input!AB41="","",2_Daily_input!AB41)</f>
        <v/>
      </c>
      <c r="AC50" s="57" t="str">
        <f aca="false">IF(2_Daily_input!AC41="","",2_Daily_input!AC41)</f>
        <v/>
      </c>
      <c r="AD50" s="57" t="str">
        <f aca="false">IF(2_Daily_input!AD41="","",2_Daily_input!AD41)</f>
        <v/>
      </c>
      <c r="AE50" s="57" t="str">
        <f aca="false">IF(2_Daily_input!AE41="","",2_Daily_input!AE41)</f>
        <v/>
      </c>
      <c r="AF50" s="57" t="str">
        <f aca="false">IF(2_Daily_input!AF41="","",2_Daily_input!AF41)</f>
        <v/>
      </c>
      <c r="AG50" s="57" t="str">
        <f aca="false">IF(2_Daily_input!AG41="","",2_Daily_input!AG41)</f>
        <v/>
      </c>
      <c r="AH50" s="57" t="str">
        <f aca="false">IF(2_Daily_input!AH41="","",2_Daily_input!AH41)</f>
        <v/>
      </c>
      <c r="AI50" s="57" t="str">
        <f aca="false">IF(2_Daily_input!AI41="","",2_Daily_input!AI41)</f>
        <v/>
      </c>
      <c r="AJ50" s="57" t="str">
        <f aca="false">IF(2_Daily_input!AJ41="","",2_Daily_input!AJ41)</f>
        <v/>
      </c>
      <c r="AK50" s="57" t="str">
        <f aca="false">IF(2_Daily_input!AK41="","",2_Daily_input!AK41)</f>
        <v/>
      </c>
      <c r="AL50" s="57" t="str">
        <f aca="false">IF(2_Daily_input!AL41="","",2_Daily_input!AL41)</f>
        <v/>
      </c>
      <c r="AM50" s="57" t="str">
        <f aca="false">IF(2_Daily_input!AM41="","",2_Daily_input!AM41)</f>
        <v/>
      </c>
      <c r="AN50" s="57" t="str">
        <f aca="false">IF(2_Daily_input!AN41="","",2_Daily_input!AN41)</f>
        <v/>
      </c>
      <c r="AO50" s="57" t="str">
        <f aca="false">IF(2_Daily_input!AO41="","",2_Daily_input!AO41)</f>
        <v/>
      </c>
      <c r="AP50" s="57" t="str">
        <f aca="false">IF(2_Daily_input!AP41="","",2_Daily_input!AP41)</f>
        <v/>
      </c>
      <c r="AQ50" s="57" t="str">
        <f aca="false">IF(2_Daily_input!AQ41="","",2_Daily_input!AQ41)</f>
        <v/>
      </c>
      <c r="AR50" s="57" t="str">
        <f aca="false">IF(2_Daily_input!AR41="","",2_Daily_input!AR41)</f>
        <v/>
      </c>
      <c r="AS50" s="57" t="str">
        <f aca="false">IF(2_Daily_input!AS41="","",2_Daily_input!AS41)</f>
        <v/>
      </c>
      <c r="AT50" s="57" t="str">
        <f aca="false">IF(2_Daily_input!AT41="","",2_Daily_input!AT41)</f>
        <v/>
      </c>
      <c r="AU50" s="57" t="str">
        <f aca="false">IF(2_Daily_input!AU41="","",2_Daily_input!AU41)</f>
        <v/>
      </c>
      <c r="AV50" s="57" t="str">
        <f aca="false">IF(2_Daily_input!AV41="","",2_Daily_input!AV41)</f>
        <v/>
      </c>
      <c r="AW50" s="57" t="str">
        <f aca="false">IF(2_Daily_input!AW41="","",2_Daily_input!AW41)</f>
        <v/>
      </c>
      <c r="AX50" s="57" t="str">
        <f aca="false">IF(2_Daily_input!AX41="","",2_Daily_input!AX41)</f>
        <v/>
      </c>
      <c r="AY50" s="57" t="str">
        <f aca="false">IF(2_Daily_input!AY41="","",2_Daily_input!AY41)</f>
        <v/>
      </c>
      <c r="AZ50" s="57" t="str">
        <f aca="false">IF(2_Daily_input!AZ41="","",2_Daily_input!AZ41)</f>
        <v/>
      </c>
      <c r="BA50" s="57" t="str">
        <f aca="false">IF(2_Daily_input!BA41="","",2_Daily_input!BA41)</f>
        <v/>
      </c>
      <c r="BB50" s="57" t="str">
        <f aca="false">IF(2_Daily_input!BB41="","",2_Daily_input!BB41)</f>
        <v/>
      </c>
      <c r="BC50" s="57" t="str">
        <f aca="false">IF(2_Daily_input!BC41="","",2_Daily_input!BC41)</f>
        <v/>
      </c>
      <c r="BD50" s="57" t="str">
        <f aca="false">IF(2_Daily_input!BD41="","",2_Daily_input!BD41)</f>
        <v>Good</v>
      </c>
      <c r="BE50" s="57" t="str">
        <f aca="false">IF(2_Daily_input!BE41="","",2_Daily_input!BE41)</f>
        <v>Good</v>
      </c>
      <c r="BF50" s="57" t="str">
        <f aca="false">IF(2_Daily_input!BF41="","",2_Daily_input!BF41)</f>
        <v>Good</v>
      </c>
      <c r="BG50" s="57" t="str">
        <f aca="false">IF(2_Daily_input!BG41="","",2_Daily_input!BG41)</f>
        <v>Good</v>
      </c>
      <c r="BH50" s="57" t="str">
        <f aca="false">IF(2_Daily_input!BH41="","",2_Daily_input!BH41)</f>
        <v>Good</v>
      </c>
      <c r="BI50" s="57" t="str">
        <f aca="false">IF(2_Daily_input!BI41="","",2_Daily_input!BI41)</f>
        <v>Good</v>
      </c>
      <c r="BJ50" s="57" t="str">
        <f aca="false">IF(2_Daily_input!BJ41="","",2_Daily_input!BJ41)</f>
        <v>Good</v>
      </c>
      <c r="BK50" s="57" t="str">
        <f aca="false">IF(2_Daily_input!BK41="","",2_Daily_input!BK41)</f>
        <v>Good</v>
      </c>
      <c r="BL50" s="57" t="str">
        <f aca="false">IF(2_Daily_input!BL41="","",2_Daily_input!BL41)</f>
        <v>Good</v>
      </c>
      <c r="BM50" s="57" t="str">
        <f aca="false">IF(2_Daily_input!BM41="","",2_Daily_input!BM41)</f>
        <v>Good</v>
      </c>
      <c r="BN50" s="57" t="str">
        <f aca="false">IF(2_Daily_input!BN41="","",2_Daily_input!BN41)</f>
        <v>Good</v>
      </c>
      <c r="BO50" s="57" t="str">
        <f aca="false">IF(2_Daily_input!BO41="","",2_Daily_input!BO41)</f>
        <v>Good</v>
      </c>
      <c r="BP50" s="57" t="str">
        <f aca="false">IF(2_Daily_input!BP41="","",2_Daily_input!BP41)</f>
        <v>Good</v>
      </c>
      <c r="BQ50" s="57" t="str">
        <f aca="false">IF(2_Daily_input!BQ41="","",2_Daily_input!BQ41)</f>
        <v>Good</v>
      </c>
      <c r="BR50" s="57" t="str">
        <f aca="false">IF(2_Daily_input!BR41="","",2_Daily_input!BR41)</f>
        <v>Good</v>
      </c>
      <c r="BS50" s="57" t="str">
        <f aca="false">IF(2_Daily_input!BS41="","",2_Daily_input!BS41)</f>
        <v>Good</v>
      </c>
      <c r="BT50" s="57" t="str">
        <f aca="false">IF(2_Daily_input!BT41="","",2_Daily_input!BT41)</f>
        <v>Good</v>
      </c>
      <c r="BU50" s="57" t="str">
        <f aca="false">IF(2_Daily_input!BU41="","",2_Daily_input!BU41)</f>
        <v>Good</v>
      </c>
      <c r="BV50" s="57" t="str">
        <f aca="false">IF(2_Daily_input!BV41="","",2_Daily_input!BV41)</f>
        <v>Good</v>
      </c>
      <c r="BW50" s="57" t="str">
        <f aca="false">IF(2_Daily_input!BW41="","",2_Daily_input!BW41)</f>
        <v>Good</v>
      </c>
      <c r="BX50" s="57" t="str">
        <f aca="false">IF(2_Daily_input!BX41="","",2_Daily_input!BX41)</f>
        <v>Good</v>
      </c>
      <c r="BY50" s="57" t="str">
        <f aca="false">IF(2_Daily_input!BY41="","",2_Daily_input!BY41)</f>
        <v>Good</v>
      </c>
      <c r="BZ50" s="57" t="str">
        <f aca="false">IF(2_Daily_input!BZ41="","",2_Daily_input!BZ41)</f>
        <v>Good</v>
      </c>
      <c r="CA50" s="57" t="str">
        <f aca="false">IF(2_Daily_input!CA41="","",2_Daily_input!CA41)</f>
        <v/>
      </c>
      <c r="CB50" s="57" t="str">
        <f aca="false">IF(2_Daily_input!CB41="","",2_Daily_input!CB41)</f>
        <v>Good</v>
      </c>
      <c r="CC50" s="57" t="str">
        <f aca="false">IF(2_Daily_input!CC41="","",2_Daily_input!CC41)</f>
        <v>Good</v>
      </c>
      <c r="CD50" s="57" t="str">
        <f aca="false">IF(2_Daily_input!CD41="","",2_Daily_input!CD41)</f>
        <v>Good</v>
      </c>
      <c r="CE50" s="57" t="str">
        <f aca="false">IF(2_Daily_input!CE41="","",2_Daily_input!CE41)</f>
        <v>Good</v>
      </c>
      <c r="CF50" s="57" t="str">
        <f aca="false">IF(2_Daily_input!CF41="","",2_Daily_input!CF41)</f>
        <v>Good</v>
      </c>
      <c r="CG50" s="57" t="str">
        <f aca="false">IF(2_Daily_input!CG41="","",2_Daily_input!CG41)</f>
        <v>Good</v>
      </c>
      <c r="CH50" s="57" t="str">
        <f aca="false">IF(2_Daily_input!CH41="","",2_Daily_input!CH41)</f>
        <v>Good</v>
      </c>
      <c r="CI50" s="57" t="str">
        <f aca="false">IF(2_Daily_input!CI41="","",2_Daily_input!CI41)</f>
        <v>Good</v>
      </c>
      <c r="CJ50" s="57" t="str">
        <f aca="false">IF(2_Daily_input!CJ41="","",2_Daily_input!CJ41)</f>
        <v>Good</v>
      </c>
      <c r="CK50" s="57" t="str">
        <f aca="false">IF(2_Daily_input!CK41="","",2_Daily_input!CK41)</f>
        <v>Good</v>
      </c>
      <c r="CL50" s="57" t="str">
        <f aca="false">IF(2_Daily_input!CL41="","",2_Daily_input!CL41)</f>
        <v>Good</v>
      </c>
      <c r="CM50" s="57" t="str">
        <f aca="false">IF(2_Daily_input!CM41="","",2_Daily_input!CM41)</f>
        <v>Good</v>
      </c>
      <c r="CN50" s="57" t="str">
        <f aca="false">IF(2_Daily_input!CN41="","",2_Daily_input!CN41)</f>
        <v>Good</v>
      </c>
      <c r="CO50" s="57" t="str">
        <f aca="false">IF(2_Daily_input!CO41="","",2_Daily_input!CO41)</f>
        <v>Good</v>
      </c>
      <c r="CP50" s="57" t="str">
        <f aca="false">IF(2_Daily_input!CP41="","",2_Daily_input!CP41)</f>
        <v>Good</v>
      </c>
      <c r="CQ50" s="57" t="str">
        <f aca="false">IF(2_Daily_input!CQ41="","",2_Daily_input!CQ41)</f>
        <v>Good</v>
      </c>
      <c r="CR50" s="57" t="str">
        <f aca="false">IF(2_Daily_input!CR41="","",2_Daily_input!CR41)</f>
        <v>Good</v>
      </c>
      <c r="CS50" s="57" t="str">
        <f aca="false">IF(2_Daily_input!CS41="","",2_Daily_input!CS41)</f>
        <v>Good</v>
      </c>
      <c r="CT50" s="57" t="str">
        <f aca="false">IF(2_Daily_input!CT41="","",2_Daily_input!CT41)</f>
        <v>Good</v>
      </c>
      <c r="CU50" s="57" t="str">
        <f aca="false">IF(2_Daily_input!CU41="","",2_Daily_input!CU41)</f>
        <v>Good</v>
      </c>
      <c r="CV50" s="57" t="str">
        <f aca="false">IF(2_Daily_input!CV41="","",2_Daily_input!CV41)</f>
        <v>Good</v>
      </c>
      <c r="CW50" s="57" t="str">
        <f aca="false">IF(2_Daily_input!CW41="","",2_Daily_input!CW41)</f>
        <v>Good</v>
      </c>
      <c r="CX50" s="57" t="str">
        <f aca="false">IF(2_Daily_input!CX41="","",2_Daily_input!CX41)</f>
        <v>Good</v>
      </c>
      <c r="CY50" s="57" t="str">
        <f aca="false">IF(2_Daily_input!CY41="","",2_Daily_input!CY41)</f>
        <v>Good</v>
      </c>
      <c r="CZ50" s="57" t="str">
        <f aca="false">IF(2_Daily_input!CZ41="","",2_Daily_input!CZ41)</f>
        <v>Good</v>
      </c>
      <c r="DA50" s="57" t="str">
        <f aca="false">IF(2_Daily_input!DA41="","",2_Daily_input!DA41)</f>
        <v>Good</v>
      </c>
      <c r="DB50" s="57" t="str">
        <f aca="false">IF(2_Daily_input!DB41="","",2_Daily_input!DB41)</f>
        <v>Good</v>
      </c>
      <c r="DC50" s="57" t="str">
        <f aca="false">IF(2_Daily_input!DC41="","",2_Daily_input!DC41)</f>
        <v>Good</v>
      </c>
      <c r="DD50" s="57" t="str">
        <f aca="false">IF(2_Daily_input!DD41="","",2_Daily_input!DD41)</f>
        <v>Good</v>
      </c>
      <c r="DE50" s="57" t="str">
        <f aca="false">IF(2_Daily_input!DE41="","",2_Daily_input!DE41)</f>
        <v>Good</v>
      </c>
      <c r="DF50" s="57" t="str">
        <f aca="false">IF(2_Daily_input!DF41="","",2_Daily_input!DF41)</f>
        <v>Good</v>
      </c>
      <c r="DG50" s="57" t="str">
        <f aca="false">IF(2_Daily_input!DG41="","",2_Daily_input!DG41)</f>
        <v>Good</v>
      </c>
      <c r="DH50" s="57" t="str">
        <f aca="false">IF(2_Daily_input!DH41="","",2_Daily_input!DH41)</f>
        <v>Good</v>
      </c>
      <c r="DI50" s="57" t="str">
        <f aca="false">IF(2_Daily_input!DI41="","",2_Daily_input!DI41)</f>
        <v>Good</v>
      </c>
      <c r="DJ50" s="57" t="str">
        <f aca="false">IF(2_Daily_input!DJ41="","",2_Daily_input!DJ41)</f>
        <v>Good</v>
      </c>
      <c r="DK50" s="57" t="str">
        <f aca="false">IF(2_Daily_input!DK41="","",2_Daily_input!DK41)</f>
        <v>Good</v>
      </c>
      <c r="DL50" s="57" t="str">
        <f aca="false">IF(2_Daily_input!DL41="","",2_Daily_input!DL41)</f>
        <v/>
      </c>
      <c r="DM50" s="57" t="str">
        <f aca="false">IF(2_Daily_input!DM41="","",2_Daily_input!DM41)</f>
        <v>Good</v>
      </c>
      <c r="DN50" s="57" t="str">
        <f aca="false">IF(2_Daily_input!DN41="","",2_Daily_input!DN41)</f>
        <v>Good</v>
      </c>
      <c r="DO50" s="57" t="str">
        <f aca="false">IF(2_Daily_input!DO41="","",2_Daily_input!DO41)</f>
        <v>Good</v>
      </c>
      <c r="DP50" s="57" t="str">
        <f aca="false">IF(2_Daily_input!DP41="","",2_Daily_input!DP41)</f>
        <v>Good</v>
      </c>
      <c r="DQ50" s="57" t="str">
        <f aca="false">IF(2_Daily_input!DQ41="","",2_Daily_input!DQ41)</f>
        <v>Good</v>
      </c>
      <c r="DR50" s="57" t="str">
        <f aca="false">IF(2_Daily_input!DR41="","",2_Daily_input!DR41)</f>
        <v>Good</v>
      </c>
      <c r="DS50" s="57" t="str">
        <f aca="false">IF(2_Daily_input!DS41="","",2_Daily_input!DS41)</f>
        <v>Good</v>
      </c>
      <c r="DT50" s="57" t="str">
        <f aca="false">IF(2_Daily_input!DT41="","",2_Daily_input!DT41)</f>
        <v>Good</v>
      </c>
      <c r="DU50" s="57" t="str">
        <f aca="false">IF(2_Daily_input!DU41="","",2_Daily_input!DU41)</f>
        <v>Good</v>
      </c>
      <c r="DV50" s="57" t="str">
        <f aca="false">IF(2_Daily_input!DV41="","",2_Daily_input!DV41)</f>
        <v>Good</v>
      </c>
      <c r="DW50" s="57" t="str">
        <f aca="false">IF(2_Daily_input!DW41="","",2_Daily_input!DW41)</f>
        <v>Good</v>
      </c>
      <c r="DX50" s="57" t="str">
        <f aca="false">IF(2_Daily_input!DX41="","",2_Daily_input!DX41)</f>
        <v>Good</v>
      </c>
      <c r="DY50" s="57" t="str">
        <f aca="false">IF(2_Daily_input!DY41="","",2_Daily_input!DY41)</f>
        <v>Good</v>
      </c>
      <c r="DZ50" s="57" t="str">
        <f aca="false">IF(2_Daily_input!DZ41="","",2_Daily_input!DZ41)</f>
        <v>Good</v>
      </c>
      <c r="EA50" s="57" t="str">
        <f aca="false">IF(2_Daily_input!EA41="","",2_Daily_input!EA41)</f>
        <v>Good</v>
      </c>
      <c r="EB50" s="57" t="str">
        <f aca="false">IF(2_Daily_input!EB41="","",2_Daily_input!EB41)</f>
        <v>Good</v>
      </c>
      <c r="EC50" s="57" t="str">
        <f aca="false">IF(2_Daily_input!EC41="","",2_Daily_input!EC41)</f>
        <v>Good</v>
      </c>
      <c r="ED50" s="57" t="str">
        <f aca="false">IF(2_Daily_input!ED41="","",2_Daily_input!ED41)</f>
        <v>Good</v>
      </c>
      <c r="EE50" s="57" t="str">
        <f aca="false">IF(2_Daily_input!EE41="","",2_Daily_input!EE41)</f>
        <v>Good</v>
      </c>
      <c r="EF50" s="57" t="str">
        <f aca="false">IF(2_Daily_input!EF41="","",2_Daily_input!EF41)</f>
        <v>Good</v>
      </c>
      <c r="EG50" s="57" t="str">
        <f aca="false">IF(2_Daily_input!EG41="","",2_Daily_input!EG41)</f>
        <v>Good</v>
      </c>
      <c r="EH50" s="57" t="str">
        <f aca="false">IF(2_Daily_input!EH41="","",2_Daily_input!EH41)</f>
        <v>Good</v>
      </c>
      <c r="EI50" s="57" t="str">
        <f aca="false">IF(2_Daily_input!EI41="","",2_Daily_input!EI41)</f>
        <v>Good</v>
      </c>
      <c r="EJ50" s="57" t="str">
        <f aca="false">IF(2_Daily_input!EJ41="","",2_Daily_input!EJ41)</f>
        <v>Good</v>
      </c>
      <c r="EK50" s="57" t="str">
        <f aca="false">IF(2_Daily_input!EK41="","",2_Daily_input!EK41)</f>
        <v>Good</v>
      </c>
      <c r="EL50" s="57" t="str">
        <f aca="false">IF(2_Daily_input!EL41="","",2_Daily_input!EL41)</f>
        <v>Good</v>
      </c>
      <c r="EM50" s="57" t="str">
        <f aca="false">IF(2_Daily_input!EM41="","",2_Daily_input!EM41)</f>
        <v>Good</v>
      </c>
      <c r="EN50" s="57" t="str">
        <f aca="false">IF(2_Daily_input!EN41="","",2_Daily_input!EN41)</f>
        <v>Good</v>
      </c>
      <c r="EO50" s="57" t="str">
        <f aca="false">IF(2_Daily_input!EO41="","",2_Daily_input!EO41)</f>
        <v>Good</v>
      </c>
      <c r="EP50" s="57" t="str">
        <f aca="false">IF(2_Daily_input!EP41="","",2_Daily_input!EP41)</f>
        <v>Good</v>
      </c>
      <c r="EQ50" s="57" t="str">
        <f aca="false">IF(2_Daily_input!EQ41="","",2_Daily_input!EQ41)</f>
        <v>Good</v>
      </c>
      <c r="ER50" s="57" t="str">
        <f aca="false">IF(2_Daily_input!ER41="","",2_Daily_input!ER41)</f>
        <v>Good</v>
      </c>
      <c r="ES50" s="57" t="str">
        <f aca="false">IF(2_Daily_input!ES41="","",2_Daily_input!ES41)</f>
        <v>Good</v>
      </c>
      <c r="ET50" s="57" t="str">
        <f aca="false">IF(2_Daily_input!ET41="","",2_Daily_input!ET41)</f>
        <v>Good</v>
      </c>
      <c r="EU50" s="57" t="str">
        <f aca="false">IF(2_Daily_input!EU41="","",2_Daily_input!EU41)</f>
        <v/>
      </c>
      <c r="EV50" s="57" t="str">
        <f aca="false">IF(2_Daily_input!EV41="","",2_Daily_input!EV41)</f>
        <v/>
      </c>
      <c r="EW50" s="57" t="str">
        <f aca="false">IF(2_Daily_input!EW41="","",2_Daily_input!EW41)</f>
        <v/>
      </c>
      <c r="EX50" s="57" t="str">
        <f aca="false">IF(2_Daily_input!EX41="","",2_Daily_input!EX41)</f>
        <v/>
      </c>
      <c r="EY50" s="57" t="str">
        <f aca="false">IF(2_Daily_input!EY41="","",2_Daily_input!EY41)</f>
        <v/>
      </c>
      <c r="EZ50" s="57" t="str">
        <f aca="false">IF(2_Daily_input!EZ41="","",2_Daily_input!EZ41)</f>
        <v/>
      </c>
      <c r="FA50" s="57" t="str">
        <f aca="false">IF(2_Daily_input!FA41="","",2_Daily_input!FA41)</f>
        <v/>
      </c>
      <c r="FB50" s="57" t="str">
        <f aca="false">IF(2_Daily_input!FB41="","",2_Daily_input!FB41)</f>
        <v/>
      </c>
      <c r="FC50" s="57" t="str">
        <f aca="false">IF(2_Daily_input!FC41="","",2_Daily_input!FC41)</f>
        <v/>
      </c>
      <c r="FD50" s="57" t="str">
        <f aca="false">IF(2_Daily_input!FD41="","",2_Daily_input!FD41)</f>
        <v/>
      </c>
      <c r="FE50" s="57" t="str">
        <f aca="false">IF(2_Daily_input!FE41="","",2_Daily_input!FE41)</f>
        <v/>
      </c>
      <c r="FF50" s="57" t="str">
        <f aca="false">IF(2_Daily_input!FF41="","",2_Daily_input!FF41)</f>
        <v/>
      </c>
      <c r="FG50" s="57" t="str">
        <f aca="false">IF(2_Daily_input!FG41="","",2_Daily_input!FG41)</f>
        <v/>
      </c>
      <c r="FH50" s="57" t="str">
        <f aca="false">IF(2_Daily_input!FH41="","",2_Daily_input!FH41)</f>
        <v/>
      </c>
      <c r="FI50" s="57" t="str">
        <f aca="false">IF(2_Daily_input!FI41="","",2_Daily_input!FI41)</f>
        <v/>
      </c>
      <c r="FJ50" s="57" t="str">
        <f aca="false">IF(2_Daily_input!FJ41="","",2_Daily_input!FJ41)</f>
        <v/>
      </c>
      <c r="FK50" s="57" t="str">
        <f aca="false">IF(2_Daily_input!FK41="","",2_Daily_input!FK41)</f>
        <v/>
      </c>
      <c r="FL50" s="57" t="str">
        <f aca="false">IF(2_Daily_input!FL41="","",2_Daily_input!FL41)</f>
        <v/>
      </c>
      <c r="FM50" s="57" t="str">
        <f aca="false">IF(2_Daily_input!FM41="","",2_Daily_input!FM41)</f>
        <v/>
      </c>
      <c r="FN50" s="57" t="str">
        <f aca="false">IF(2_Daily_input!FN41="","",2_Daily_input!FN41)</f>
        <v/>
      </c>
      <c r="FO50" s="57" t="str">
        <f aca="false">IF(2_Daily_input!FO41="","",2_Daily_input!FO41)</f>
        <v/>
      </c>
      <c r="FP50" s="57" t="str">
        <f aca="false">IF(2_Daily_input!FP41="","",2_Daily_input!FP41)</f>
        <v/>
      </c>
      <c r="FQ50" s="57" t="str">
        <f aca="false">IF(2_Daily_input!FQ41="","",2_Daily_input!FQ41)</f>
        <v/>
      </c>
    </row>
    <row r="51" customFormat="false" ht="15" hidden="false" customHeight="false" outlineLevel="0" collapsed="false">
      <c r="A51" s="33" t="s">
        <v>83</v>
      </c>
      <c r="B51" s="20" t="s">
        <v>425</v>
      </c>
      <c r="C51" s="48" t="n">
        <f aca="false">SUM($D$51:$FQ$51)</f>
        <v>300</v>
      </c>
      <c r="D51" s="57" t="str">
        <f aca="false">IF(2_Daily_input!D42="","",2_Daily_input!D42)</f>
        <v/>
      </c>
      <c r="E51" s="57" t="str">
        <f aca="false">IF(2_Daily_input!E42="","",2_Daily_input!E42)</f>
        <v/>
      </c>
      <c r="F51" s="57" t="str">
        <f aca="false">IF(2_Daily_input!F42="","",2_Daily_input!F42)</f>
        <v/>
      </c>
      <c r="G51" s="57" t="str">
        <f aca="false">IF(2_Daily_input!G42="","",2_Daily_input!G42)</f>
        <v/>
      </c>
      <c r="H51" s="57" t="str">
        <f aca="false">IF(2_Daily_input!H42="","",2_Daily_input!H42)</f>
        <v/>
      </c>
      <c r="I51" s="57" t="str">
        <f aca="false">IF(2_Daily_input!I42="","",2_Daily_input!I42)</f>
        <v/>
      </c>
      <c r="J51" s="57" t="str">
        <f aca="false">IF(2_Daily_input!J42="","",2_Daily_input!J42)</f>
        <v/>
      </c>
      <c r="K51" s="57" t="str">
        <f aca="false">IF(2_Daily_input!K42="","",2_Daily_input!K42)</f>
        <v/>
      </c>
      <c r="L51" s="57" t="str">
        <f aca="false">IF(2_Daily_input!L42="","",2_Daily_input!L42)</f>
        <v/>
      </c>
      <c r="M51" s="57" t="str">
        <f aca="false">IF(2_Daily_input!M42="","",2_Daily_input!M42)</f>
        <v/>
      </c>
      <c r="N51" s="57" t="str">
        <f aca="false">IF(2_Daily_input!N42="","",2_Daily_input!N42)</f>
        <v/>
      </c>
      <c r="O51" s="57" t="str">
        <f aca="false">IF(2_Daily_input!O42="","",2_Daily_input!O42)</f>
        <v/>
      </c>
      <c r="P51" s="57" t="str">
        <f aca="false">IF(2_Daily_input!P42="","",2_Daily_input!P42)</f>
        <v/>
      </c>
      <c r="Q51" s="57" t="str">
        <f aca="false">IF(2_Daily_input!Q42="","",2_Daily_input!Q42)</f>
        <v/>
      </c>
      <c r="R51" s="57" t="str">
        <f aca="false">IF(2_Daily_input!R42="","",2_Daily_input!R42)</f>
        <v/>
      </c>
      <c r="S51" s="57" t="str">
        <f aca="false">IF(2_Daily_input!S42="","",2_Daily_input!S42)</f>
        <v/>
      </c>
      <c r="T51" s="57" t="str">
        <f aca="false">IF(2_Daily_input!T42="","",2_Daily_input!T42)</f>
        <v/>
      </c>
      <c r="U51" s="57" t="str">
        <f aca="false">IF(2_Daily_input!U42="","",2_Daily_input!U42)</f>
        <v/>
      </c>
      <c r="V51" s="57" t="str">
        <f aca="false">IF(2_Daily_input!V42="","",2_Daily_input!V42)</f>
        <v/>
      </c>
      <c r="W51" s="57" t="str">
        <f aca="false">IF(2_Daily_input!W42="","",2_Daily_input!W42)</f>
        <v/>
      </c>
      <c r="X51" s="57" t="str">
        <f aca="false">IF(2_Daily_input!X42="","",2_Daily_input!X42)</f>
        <v/>
      </c>
      <c r="Y51" s="57" t="str">
        <f aca="false">IF(2_Daily_input!Y42="","",2_Daily_input!Y42)</f>
        <v/>
      </c>
      <c r="Z51" s="57" t="str">
        <f aca="false">IF(2_Daily_input!Z42="","",2_Daily_input!Z42)</f>
        <v/>
      </c>
      <c r="AA51" s="57" t="str">
        <f aca="false">IF(2_Daily_input!AA42="","",2_Daily_input!AA42)</f>
        <v/>
      </c>
      <c r="AB51" s="57" t="str">
        <f aca="false">IF(2_Daily_input!AB42="","",2_Daily_input!AB42)</f>
        <v/>
      </c>
      <c r="AC51" s="57" t="str">
        <f aca="false">IF(2_Daily_input!AC42="","",2_Daily_input!AC42)</f>
        <v/>
      </c>
      <c r="AD51" s="57" t="str">
        <f aca="false">IF(2_Daily_input!AD42="","",2_Daily_input!AD42)</f>
        <v/>
      </c>
      <c r="AE51" s="57" t="str">
        <f aca="false">IF(2_Daily_input!AE42="","",2_Daily_input!AE42)</f>
        <v/>
      </c>
      <c r="AF51" s="57" t="str">
        <f aca="false">IF(2_Daily_input!AF42="","",2_Daily_input!AF42)</f>
        <v/>
      </c>
      <c r="AG51" s="57" t="str">
        <f aca="false">IF(2_Daily_input!AG42="","",2_Daily_input!AG42)</f>
        <v/>
      </c>
      <c r="AH51" s="57" t="str">
        <f aca="false">IF(2_Daily_input!AH42="","",2_Daily_input!AH42)</f>
        <v/>
      </c>
      <c r="AI51" s="57" t="str">
        <f aca="false">IF(2_Daily_input!AI42="","",2_Daily_input!AI42)</f>
        <v/>
      </c>
      <c r="AJ51" s="57" t="str">
        <f aca="false">IF(2_Daily_input!AJ42="","",2_Daily_input!AJ42)</f>
        <v/>
      </c>
      <c r="AK51" s="57" t="str">
        <f aca="false">IF(2_Daily_input!AK42="","",2_Daily_input!AK42)</f>
        <v/>
      </c>
      <c r="AL51" s="57" t="str">
        <f aca="false">IF(2_Daily_input!AL42="","",2_Daily_input!AL42)</f>
        <v/>
      </c>
      <c r="AM51" s="57" t="str">
        <f aca="false">IF(2_Daily_input!AM42="","",2_Daily_input!AM42)</f>
        <v/>
      </c>
      <c r="AN51" s="57" t="str">
        <f aca="false">IF(2_Daily_input!AN42="","",2_Daily_input!AN42)</f>
        <v/>
      </c>
      <c r="AO51" s="57" t="str">
        <f aca="false">IF(2_Daily_input!AO42="","",2_Daily_input!AO42)</f>
        <v/>
      </c>
      <c r="AP51" s="57" t="str">
        <f aca="false">IF(2_Daily_input!AP42="","",2_Daily_input!AP42)</f>
        <v/>
      </c>
      <c r="AQ51" s="57" t="str">
        <f aca="false">IF(2_Daily_input!AQ42="","",2_Daily_input!AQ42)</f>
        <v/>
      </c>
      <c r="AR51" s="57" t="str">
        <f aca="false">IF(2_Daily_input!AR42="","",2_Daily_input!AR42)</f>
        <v/>
      </c>
      <c r="AS51" s="57" t="str">
        <f aca="false">IF(2_Daily_input!AS42="","",2_Daily_input!AS42)</f>
        <v/>
      </c>
      <c r="AT51" s="57" t="str">
        <f aca="false">IF(2_Daily_input!AT42="","",2_Daily_input!AT42)</f>
        <v/>
      </c>
      <c r="AU51" s="57" t="str">
        <f aca="false">IF(2_Daily_input!AU42="","",2_Daily_input!AU42)</f>
        <v/>
      </c>
      <c r="AV51" s="57" t="str">
        <f aca="false">IF(2_Daily_input!AV42="","",2_Daily_input!AV42)</f>
        <v/>
      </c>
      <c r="AW51" s="57" t="str">
        <f aca="false">IF(2_Daily_input!AW42="","",2_Daily_input!AW42)</f>
        <v/>
      </c>
      <c r="AX51" s="57" t="str">
        <f aca="false">IF(2_Daily_input!AX42="","",2_Daily_input!AX42)</f>
        <v/>
      </c>
      <c r="AY51" s="57" t="str">
        <f aca="false">IF(2_Daily_input!AY42="","",2_Daily_input!AY42)</f>
        <v/>
      </c>
      <c r="AZ51" s="57" t="str">
        <f aca="false">IF(2_Daily_input!AZ42="","",2_Daily_input!AZ42)</f>
        <v/>
      </c>
      <c r="BA51" s="57" t="str">
        <f aca="false">IF(2_Daily_input!BA42="","",2_Daily_input!BA42)</f>
        <v/>
      </c>
      <c r="BB51" s="57" t="str">
        <f aca="false">IF(2_Daily_input!BB42="","",2_Daily_input!BB42)</f>
        <v/>
      </c>
      <c r="BC51" s="57" t="str">
        <f aca="false">IF(2_Daily_input!BC42="","",2_Daily_input!BC42)</f>
        <v/>
      </c>
      <c r="BD51" s="57" t="str">
        <f aca="false">IF(2_Daily_input!BD42="","",2_Daily_input!BD42)</f>
        <v/>
      </c>
      <c r="BE51" s="57" t="n">
        <f aca="false">IF(2_Daily_input!BE42="","",2_Daily_input!BE42)</f>
        <v>20</v>
      </c>
      <c r="BF51" s="57" t="str">
        <f aca="false">IF(2_Daily_input!BF42="","",2_Daily_input!BF42)</f>
        <v/>
      </c>
      <c r="BG51" s="57" t="n">
        <f aca="false">IF(2_Daily_input!BG42="","",2_Daily_input!BG42)</f>
        <v>20</v>
      </c>
      <c r="BH51" s="57" t="str">
        <f aca="false">IF(2_Daily_input!BH42="","",2_Daily_input!BH42)</f>
        <v/>
      </c>
      <c r="BI51" s="57" t="str">
        <f aca="false">IF(2_Daily_input!BI42="","",2_Daily_input!BI42)</f>
        <v/>
      </c>
      <c r="BJ51" s="57" t="str">
        <f aca="false">IF(2_Daily_input!BJ42="","",2_Daily_input!BJ42)</f>
        <v/>
      </c>
      <c r="BK51" s="57" t="n">
        <f aca="false">IF(2_Daily_input!BK42="","",2_Daily_input!BK42)</f>
        <v>20</v>
      </c>
      <c r="BL51" s="57" t="str">
        <f aca="false">IF(2_Daily_input!BL42="","",2_Daily_input!BL42)</f>
        <v/>
      </c>
      <c r="BM51" s="57" t="str">
        <f aca="false">IF(2_Daily_input!BM42="","",2_Daily_input!BM42)</f>
        <v/>
      </c>
      <c r="BN51" s="57" t="str">
        <f aca="false">IF(2_Daily_input!BN42="","",2_Daily_input!BN42)</f>
        <v/>
      </c>
      <c r="BO51" s="57" t="str">
        <f aca="false">IF(2_Daily_input!BO42="","",2_Daily_input!BO42)</f>
        <v/>
      </c>
      <c r="BP51" s="57" t="n">
        <f aca="false">IF(2_Daily_input!BP42="","",2_Daily_input!BP42)</f>
        <v>20</v>
      </c>
      <c r="BQ51" s="57" t="str">
        <f aca="false">IF(2_Daily_input!BQ42="","",2_Daily_input!BQ42)</f>
        <v/>
      </c>
      <c r="BR51" s="57" t="str">
        <f aca="false">IF(2_Daily_input!BR42="","",2_Daily_input!BR42)</f>
        <v/>
      </c>
      <c r="BS51" s="57" t="str">
        <f aca="false">IF(2_Daily_input!BS42="","",2_Daily_input!BS42)</f>
        <v/>
      </c>
      <c r="BT51" s="57" t="str">
        <f aca="false">IF(2_Daily_input!BT42="","",2_Daily_input!BT42)</f>
        <v/>
      </c>
      <c r="BU51" s="57" t="str">
        <f aca="false">IF(2_Daily_input!BU42="","",2_Daily_input!BU42)</f>
        <v/>
      </c>
      <c r="BV51" s="57" t="str">
        <f aca="false">IF(2_Daily_input!BV42="","",2_Daily_input!BV42)</f>
        <v/>
      </c>
      <c r="BW51" s="57" t="n">
        <f aca="false">IF(2_Daily_input!BW42="","",2_Daily_input!BW42)</f>
        <v>20</v>
      </c>
      <c r="BX51" s="57" t="str">
        <f aca="false">IF(2_Daily_input!BX42="","",2_Daily_input!BX42)</f>
        <v/>
      </c>
      <c r="BY51" s="57" t="str">
        <f aca="false">IF(2_Daily_input!BY42="","",2_Daily_input!BY42)</f>
        <v/>
      </c>
      <c r="BZ51" s="57" t="str">
        <f aca="false">IF(2_Daily_input!BZ42="","",2_Daily_input!BZ42)</f>
        <v/>
      </c>
      <c r="CA51" s="57" t="str">
        <f aca="false">IF(2_Daily_input!CA42="","",2_Daily_input!CA42)</f>
        <v/>
      </c>
      <c r="CB51" s="57" t="str">
        <f aca="false">IF(2_Daily_input!CB42="","",2_Daily_input!CB42)</f>
        <v/>
      </c>
      <c r="CC51" s="57" t="str">
        <f aca="false">IF(2_Daily_input!CC42="","",2_Daily_input!CC42)</f>
        <v/>
      </c>
      <c r="CD51" s="57" t="n">
        <f aca="false">IF(2_Daily_input!CD42="","",2_Daily_input!CD42)</f>
        <v>20</v>
      </c>
      <c r="CE51" s="57" t="str">
        <f aca="false">IF(2_Daily_input!CE42="","",2_Daily_input!CE42)</f>
        <v/>
      </c>
      <c r="CF51" s="57" t="str">
        <f aca="false">IF(2_Daily_input!CF42="","",2_Daily_input!CF42)</f>
        <v/>
      </c>
      <c r="CG51" s="57" t="str">
        <f aca="false">IF(2_Daily_input!CG42="","",2_Daily_input!CG42)</f>
        <v/>
      </c>
      <c r="CH51" s="57" t="n">
        <f aca="false">IF(2_Daily_input!CH42="","",2_Daily_input!CH42)</f>
        <v>20</v>
      </c>
      <c r="CI51" s="57" t="str">
        <f aca="false">IF(2_Daily_input!CI42="","",2_Daily_input!CI42)</f>
        <v/>
      </c>
      <c r="CJ51" s="57" t="str">
        <f aca="false">IF(2_Daily_input!CJ42="","",2_Daily_input!CJ42)</f>
        <v/>
      </c>
      <c r="CK51" s="57" t="str">
        <f aca="false">IF(2_Daily_input!CK42="","",2_Daily_input!CK42)</f>
        <v/>
      </c>
      <c r="CL51" s="57" t="str">
        <f aca="false">IF(2_Daily_input!CL42="","",2_Daily_input!CL42)</f>
        <v/>
      </c>
      <c r="CM51" s="57" t="str">
        <f aca="false">IF(2_Daily_input!CM42="","",2_Daily_input!CM42)</f>
        <v/>
      </c>
      <c r="CN51" s="57" t="str">
        <f aca="false">IF(2_Daily_input!CN42="","",2_Daily_input!CN42)</f>
        <v/>
      </c>
      <c r="CO51" s="57" t="str">
        <f aca="false">IF(2_Daily_input!CO42="","",2_Daily_input!CO42)</f>
        <v/>
      </c>
      <c r="CP51" s="57" t="str">
        <f aca="false">IF(2_Daily_input!CP42="","",2_Daily_input!CP42)</f>
        <v/>
      </c>
      <c r="CQ51" s="57" t="str">
        <f aca="false">IF(2_Daily_input!CQ42="","",2_Daily_input!CQ42)</f>
        <v/>
      </c>
      <c r="CR51" s="57" t="str">
        <f aca="false">IF(2_Daily_input!CR42="","",2_Daily_input!CR42)</f>
        <v/>
      </c>
      <c r="CS51" s="57" t="str">
        <f aca="false">IF(2_Daily_input!CS42="","",2_Daily_input!CS42)</f>
        <v/>
      </c>
      <c r="CT51" s="57" t="str">
        <f aca="false">IF(2_Daily_input!CT42="","",2_Daily_input!CT42)</f>
        <v/>
      </c>
      <c r="CU51" s="57" t="str">
        <f aca="false">IF(2_Daily_input!CU42="","",2_Daily_input!CU42)</f>
        <v/>
      </c>
      <c r="CV51" s="57" t="str">
        <f aca="false">IF(2_Daily_input!CV42="","",2_Daily_input!CV42)</f>
        <v/>
      </c>
      <c r="CW51" s="57" t="n">
        <f aca="false">IF(2_Daily_input!CW42="","",2_Daily_input!CW42)</f>
        <v>20</v>
      </c>
      <c r="CX51" s="57" t="str">
        <f aca="false">IF(2_Daily_input!CX42="","",2_Daily_input!CX42)</f>
        <v/>
      </c>
      <c r="CY51" s="57" t="str">
        <f aca="false">IF(2_Daily_input!CY42="","",2_Daily_input!CY42)</f>
        <v/>
      </c>
      <c r="CZ51" s="57" t="n">
        <f aca="false">IF(2_Daily_input!CZ42="","",2_Daily_input!CZ42)</f>
        <v>20</v>
      </c>
      <c r="DA51" s="57" t="str">
        <f aca="false">IF(2_Daily_input!DA42="","",2_Daily_input!DA42)</f>
        <v/>
      </c>
      <c r="DB51" s="57" t="str">
        <f aca="false">IF(2_Daily_input!DB42="","",2_Daily_input!DB42)</f>
        <v/>
      </c>
      <c r="DC51" s="57" t="n">
        <f aca="false">IF(2_Daily_input!DC42="","",2_Daily_input!DC42)</f>
        <v>20</v>
      </c>
      <c r="DD51" s="57" t="str">
        <f aca="false">IF(2_Daily_input!DD42="","",2_Daily_input!DD42)</f>
        <v/>
      </c>
      <c r="DE51" s="57" t="str">
        <f aca="false">IF(2_Daily_input!DE42="","",2_Daily_input!DE42)</f>
        <v/>
      </c>
      <c r="DF51" s="57" t="str">
        <f aca="false">IF(2_Daily_input!DF42="","",2_Daily_input!DF42)</f>
        <v/>
      </c>
      <c r="DG51" s="57" t="n">
        <f aca="false">IF(2_Daily_input!DG42="","",2_Daily_input!DG42)</f>
        <v>20</v>
      </c>
      <c r="DH51" s="57" t="str">
        <f aca="false">IF(2_Daily_input!DH42="","",2_Daily_input!DH42)</f>
        <v/>
      </c>
      <c r="DI51" s="57" t="str">
        <f aca="false">IF(2_Daily_input!DI42="","",2_Daily_input!DI42)</f>
        <v/>
      </c>
      <c r="DJ51" s="57" t="str">
        <f aca="false">IF(2_Daily_input!DJ42="","",2_Daily_input!DJ42)</f>
        <v/>
      </c>
      <c r="DK51" s="57" t="str">
        <f aca="false">IF(2_Daily_input!DK42="","",2_Daily_input!DK42)</f>
        <v/>
      </c>
      <c r="DL51" s="57" t="str">
        <f aca="false">IF(2_Daily_input!DL42="","",2_Daily_input!DL42)</f>
        <v/>
      </c>
      <c r="DM51" s="57" t="str">
        <f aca="false">IF(2_Daily_input!DM42="","",2_Daily_input!DM42)</f>
        <v/>
      </c>
      <c r="DN51" s="57" t="n">
        <f aca="false">IF(2_Daily_input!DN42="","",2_Daily_input!DN42)</f>
        <v>20</v>
      </c>
      <c r="DO51" s="57" t="str">
        <f aca="false">IF(2_Daily_input!DO42="","",2_Daily_input!DO42)</f>
        <v/>
      </c>
      <c r="DP51" s="57" t="str">
        <f aca="false">IF(2_Daily_input!DP42="","",2_Daily_input!DP42)</f>
        <v/>
      </c>
      <c r="DQ51" s="57" t="str">
        <f aca="false">IF(2_Daily_input!DQ42="","",2_Daily_input!DQ42)</f>
        <v/>
      </c>
      <c r="DR51" s="57" t="str">
        <f aca="false">IF(2_Daily_input!DR42="","",2_Daily_input!DR42)</f>
        <v/>
      </c>
      <c r="DS51" s="57" t="str">
        <f aca="false">IF(2_Daily_input!DS42="","",2_Daily_input!DS42)</f>
        <v/>
      </c>
      <c r="DT51" s="57" t="str">
        <f aca="false">IF(2_Daily_input!DT42="","",2_Daily_input!DT42)</f>
        <v/>
      </c>
      <c r="DU51" s="57" t="n">
        <f aca="false">IF(2_Daily_input!DU42="","",2_Daily_input!DU42)</f>
        <v>20</v>
      </c>
      <c r="DV51" s="57" t="str">
        <f aca="false">IF(2_Daily_input!DV42="","",2_Daily_input!DV42)</f>
        <v/>
      </c>
      <c r="DW51" s="57" t="str">
        <f aca="false">IF(2_Daily_input!DW42="","",2_Daily_input!DW42)</f>
        <v/>
      </c>
      <c r="DX51" s="57" t="str">
        <f aca="false">IF(2_Daily_input!DX42="","",2_Daily_input!DX42)</f>
        <v/>
      </c>
      <c r="DY51" s="57" t="str">
        <f aca="false">IF(2_Daily_input!DY42="","",2_Daily_input!DY42)</f>
        <v/>
      </c>
      <c r="DZ51" s="57" t="str">
        <f aca="false">IF(2_Daily_input!DZ42="","",2_Daily_input!DZ42)</f>
        <v/>
      </c>
      <c r="EA51" s="57" t="str">
        <f aca="false">IF(2_Daily_input!EA42="","",2_Daily_input!EA42)</f>
        <v/>
      </c>
      <c r="EB51" s="57" t="n">
        <f aca="false">IF(2_Daily_input!EB42="","",2_Daily_input!EB42)</f>
        <v>20</v>
      </c>
      <c r="EC51" s="57" t="str">
        <f aca="false">IF(2_Daily_input!EC42="","",2_Daily_input!EC42)</f>
        <v/>
      </c>
      <c r="ED51" s="57" t="str">
        <f aca="false">IF(2_Daily_input!ED42="","",2_Daily_input!ED42)</f>
        <v/>
      </c>
      <c r="EE51" s="57" t="str">
        <f aca="false">IF(2_Daily_input!EE42="","",2_Daily_input!EE42)</f>
        <v/>
      </c>
      <c r="EF51" s="57" t="str">
        <f aca="false">IF(2_Daily_input!EF42="","",2_Daily_input!EF42)</f>
        <v/>
      </c>
      <c r="EG51" s="57" t="str">
        <f aca="false">IF(2_Daily_input!EG42="","",2_Daily_input!EG42)</f>
        <v/>
      </c>
      <c r="EH51" s="57" t="str">
        <f aca="false">IF(2_Daily_input!EH42="","",2_Daily_input!EH42)</f>
        <v/>
      </c>
      <c r="EI51" s="57" t="str">
        <f aca="false">IF(2_Daily_input!EI42="","",2_Daily_input!EI42)</f>
        <v/>
      </c>
      <c r="EJ51" s="57" t="n">
        <f aca="false">IF(2_Daily_input!EJ42="","",2_Daily_input!EJ42)</f>
        <v>20</v>
      </c>
      <c r="EK51" s="57" t="str">
        <f aca="false">IF(2_Daily_input!EK42="","",2_Daily_input!EK42)</f>
        <v/>
      </c>
      <c r="EL51" s="57" t="str">
        <f aca="false">IF(2_Daily_input!EL42="","",2_Daily_input!EL42)</f>
        <v/>
      </c>
      <c r="EM51" s="57" t="str">
        <f aca="false">IF(2_Daily_input!EM42="","",2_Daily_input!EM42)</f>
        <v/>
      </c>
      <c r="EN51" s="57" t="str">
        <f aca="false">IF(2_Daily_input!EN42="","",2_Daily_input!EN42)</f>
        <v/>
      </c>
      <c r="EO51" s="57" t="str">
        <f aca="false">IF(2_Daily_input!EO42="","",2_Daily_input!EO42)</f>
        <v/>
      </c>
      <c r="EP51" s="57" t="str">
        <f aca="false">IF(2_Daily_input!EP42="","",2_Daily_input!EP42)</f>
        <v/>
      </c>
      <c r="EQ51" s="57" t="str">
        <f aca="false">IF(2_Daily_input!EQ42="","",2_Daily_input!EQ42)</f>
        <v/>
      </c>
      <c r="ER51" s="57" t="str">
        <f aca="false">IF(2_Daily_input!ER42="","",2_Daily_input!ER42)</f>
        <v/>
      </c>
      <c r="ES51" s="57" t="str">
        <f aca="false">IF(2_Daily_input!ES42="","",2_Daily_input!ES42)</f>
        <v/>
      </c>
      <c r="ET51" s="57" t="str">
        <f aca="false">IF(2_Daily_input!ET42="","",2_Daily_input!ET42)</f>
        <v/>
      </c>
      <c r="EU51" s="57" t="str">
        <f aca="false">IF(2_Daily_input!EU42="","",2_Daily_input!EU42)</f>
        <v/>
      </c>
      <c r="EV51" s="57" t="str">
        <f aca="false">IF(2_Daily_input!EV42="","",2_Daily_input!EV42)</f>
        <v/>
      </c>
      <c r="EW51" s="57" t="str">
        <f aca="false">IF(2_Daily_input!EW42="","",2_Daily_input!EW42)</f>
        <v/>
      </c>
      <c r="EX51" s="57" t="str">
        <f aca="false">IF(2_Daily_input!EX42="","",2_Daily_input!EX42)</f>
        <v/>
      </c>
      <c r="EY51" s="57" t="str">
        <f aca="false">IF(2_Daily_input!EY42="","",2_Daily_input!EY42)</f>
        <v/>
      </c>
      <c r="EZ51" s="57" t="str">
        <f aca="false">IF(2_Daily_input!EZ42="","",2_Daily_input!EZ42)</f>
        <v/>
      </c>
      <c r="FA51" s="57" t="str">
        <f aca="false">IF(2_Daily_input!FA42="","",2_Daily_input!FA42)</f>
        <v/>
      </c>
      <c r="FB51" s="57" t="str">
        <f aca="false">IF(2_Daily_input!FB42="","",2_Daily_input!FB42)</f>
        <v/>
      </c>
      <c r="FC51" s="57" t="str">
        <f aca="false">IF(2_Daily_input!FC42="","",2_Daily_input!FC42)</f>
        <v/>
      </c>
      <c r="FD51" s="57" t="str">
        <f aca="false">IF(2_Daily_input!FD42="","",2_Daily_input!FD42)</f>
        <v/>
      </c>
      <c r="FE51" s="57" t="str">
        <f aca="false">IF(2_Daily_input!FE42="","",2_Daily_input!FE42)</f>
        <v/>
      </c>
      <c r="FF51" s="57" t="str">
        <f aca="false">IF(2_Daily_input!FF42="","",2_Daily_input!FF42)</f>
        <v/>
      </c>
      <c r="FG51" s="57" t="str">
        <f aca="false">IF(2_Daily_input!FG42="","",2_Daily_input!FG42)</f>
        <v/>
      </c>
      <c r="FH51" s="57" t="str">
        <f aca="false">IF(2_Daily_input!FH42="","",2_Daily_input!FH42)</f>
        <v/>
      </c>
      <c r="FI51" s="57" t="str">
        <f aca="false">IF(2_Daily_input!FI42="","",2_Daily_input!FI42)</f>
        <v/>
      </c>
      <c r="FJ51" s="57" t="str">
        <f aca="false">IF(2_Daily_input!FJ42="","",2_Daily_input!FJ42)</f>
        <v/>
      </c>
      <c r="FK51" s="57" t="str">
        <f aca="false">IF(2_Daily_input!FK42="","",2_Daily_input!FK42)</f>
        <v/>
      </c>
      <c r="FL51" s="57" t="str">
        <f aca="false">IF(2_Daily_input!FL42="","",2_Daily_input!FL42)</f>
        <v/>
      </c>
      <c r="FM51" s="57" t="str">
        <f aca="false">IF(2_Daily_input!FM42="","",2_Daily_input!FM42)</f>
        <v/>
      </c>
      <c r="FN51" s="57" t="str">
        <f aca="false">IF(2_Daily_input!FN42="","",2_Daily_input!FN42)</f>
        <v/>
      </c>
      <c r="FO51" s="57" t="str">
        <f aca="false">IF(2_Daily_input!FO42="","",2_Daily_input!FO42)</f>
        <v/>
      </c>
      <c r="FP51" s="57" t="str">
        <f aca="false">IF(2_Daily_input!FP42="","",2_Daily_input!FP42)</f>
        <v/>
      </c>
      <c r="FQ51" s="57" t="str">
        <f aca="false">IF(2_Daily_input!FQ42="","",2_Daily_input!FQ42)</f>
        <v/>
      </c>
    </row>
    <row r="52" customFormat="false" ht="15" hidden="false" customHeight="false" outlineLevel="0" collapsed="false">
      <c r="A52" s="33" t="s">
        <v>83</v>
      </c>
      <c r="B52" s="20" t="s">
        <v>426</v>
      </c>
      <c r="D52" s="57" t="str">
        <f aca="false">IF(2_Daily_input!D43="","",2_Daily_input!D43)</f>
        <v/>
      </c>
      <c r="E52" s="57" t="str">
        <f aca="false">IF(2_Daily_input!E43="","",2_Daily_input!E43)</f>
        <v/>
      </c>
      <c r="F52" s="57" t="str">
        <f aca="false">IF(2_Daily_input!F43="","",2_Daily_input!F43)</f>
        <v/>
      </c>
      <c r="G52" s="57" t="str">
        <f aca="false">IF(2_Daily_input!G43="","",2_Daily_input!G43)</f>
        <v/>
      </c>
      <c r="H52" s="57" t="str">
        <f aca="false">IF(2_Daily_input!H43="","",2_Daily_input!H43)</f>
        <v/>
      </c>
      <c r="I52" s="57" t="str">
        <f aca="false">IF(2_Daily_input!I43="","",2_Daily_input!I43)</f>
        <v/>
      </c>
      <c r="J52" s="57" t="str">
        <f aca="false">IF(2_Daily_input!J43="","",2_Daily_input!J43)</f>
        <v/>
      </c>
      <c r="K52" s="57" t="str">
        <f aca="false">IF(2_Daily_input!K43="","",2_Daily_input!K43)</f>
        <v/>
      </c>
      <c r="L52" s="57" t="str">
        <f aca="false">IF(2_Daily_input!L43="","",2_Daily_input!L43)</f>
        <v/>
      </c>
      <c r="M52" s="57" t="str">
        <f aca="false">IF(2_Daily_input!M43="","",2_Daily_input!M43)</f>
        <v/>
      </c>
      <c r="N52" s="57" t="str">
        <f aca="false">IF(2_Daily_input!N43="","",2_Daily_input!N43)</f>
        <v/>
      </c>
      <c r="O52" s="57" t="str">
        <f aca="false">IF(2_Daily_input!O43="","",2_Daily_input!O43)</f>
        <v/>
      </c>
      <c r="P52" s="57" t="str">
        <f aca="false">IF(2_Daily_input!P43="","",2_Daily_input!P43)</f>
        <v/>
      </c>
      <c r="Q52" s="57" t="str">
        <f aca="false">IF(2_Daily_input!Q43="","",2_Daily_input!Q43)</f>
        <v/>
      </c>
      <c r="R52" s="57" t="str">
        <f aca="false">IF(2_Daily_input!R43="","",2_Daily_input!R43)</f>
        <v/>
      </c>
      <c r="S52" s="57" t="str">
        <f aca="false">IF(2_Daily_input!S43="","",2_Daily_input!S43)</f>
        <v/>
      </c>
      <c r="T52" s="57" t="str">
        <f aca="false">IF(2_Daily_input!T43="","",2_Daily_input!T43)</f>
        <v/>
      </c>
      <c r="U52" s="57" t="str">
        <f aca="false">IF(2_Daily_input!U43="","",2_Daily_input!U43)</f>
        <v/>
      </c>
      <c r="V52" s="57" t="str">
        <f aca="false">IF(2_Daily_input!V43="","",2_Daily_input!V43)</f>
        <v/>
      </c>
      <c r="W52" s="57" t="str">
        <f aca="false">IF(2_Daily_input!W43="","",2_Daily_input!W43)</f>
        <v/>
      </c>
      <c r="X52" s="57" t="str">
        <f aca="false">IF(2_Daily_input!X43="","",2_Daily_input!X43)</f>
        <v/>
      </c>
      <c r="Y52" s="57" t="str">
        <f aca="false">IF(2_Daily_input!Y43="","",2_Daily_input!Y43)</f>
        <v/>
      </c>
      <c r="Z52" s="57" t="str">
        <f aca="false">IF(2_Daily_input!Z43="","",2_Daily_input!Z43)</f>
        <v/>
      </c>
      <c r="AA52" s="57" t="str">
        <f aca="false">IF(2_Daily_input!AA43="","",2_Daily_input!AA43)</f>
        <v/>
      </c>
      <c r="AB52" s="57" t="str">
        <f aca="false">IF(2_Daily_input!AB43="","",2_Daily_input!AB43)</f>
        <v/>
      </c>
      <c r="AC52" s="57" t="str">
        <f aca="false">IF(2_Daily_input!AC43="","",2_Daily_input!AC43)</f>
        <v/>
      </c>
      <c r="AD52" s="57" t="str">
        <f aca="false">IF(2_Daily_input!AD43="","",2_Daily_input!AD43)</f>
        <v/>
      </c>
      <c r="AE52" s="57" t="str">
        <f aca="false">IF(2_Daily_input!AE43="","",2_Daily_input!AE43)</f>
        <v/>
      </c>
      <c r="AF52" s="57" t="str">
        <f aca="false">IF(2_Daily_input!AF43="","",2_Daily_input!AF43)</f>
        <v/>
      </c>
      <c r="AG52" s="57" t="str">
        <f aca="false">IF(2_Daily_input!AG43="","",2_Daily_input!AG43)</f>
        <v/>
      </c>
      <c r="AH52" s="57" t="str">
        <f aca="false">IF(2_Daily_input!AH43="","",2_Daily_input!AH43)</f>
        <v/>
      </c>
      <c r="AI52" s="57" t="str">
        <f aca="false">IF(2_Daily_input!AI43="","",2_Daily_input!AI43)</f>
        <v/>
      </c>
      <c r="AJ52" s="57" t="str">
        <f aca="false">IF(2_Daily_input!AJ43="","",2_Daily_input!AJ43)</f>
        <v/>
      </c>
      <c r="AK52" s="57" t="str">
        <f aca="false">IF(2_Daily_input!AK43="","",2_Daily_input!AK43)</f>
        <v/>
      </c>
      <c r="AL52" s="57" t="str">
        <f aca="false">IF(2_Daily_input!AL43="","",2_Daily_input!AL43)</f>
        <v/>
      </c>
      <c r="AM52" s="57" t="str">
        <f aca="false">IF(2_Daily_input!AM43="","",2_Daily_input!AM43)</f>
        <v/>
      </c>
      <c r="AN52" s="57" t="str">
        <f aca="false">IF(2_Daily_input!AN43="","",2_Daily_input!AN43)</f>
        <v/>
      </c>
      <c r="AO52" s="57" t="str">
        <f aca="false">IF(2_Daily_input!AO43="","",2_Daily_input!AO43)</f>
        <v/>
      </c>
      <c r="AP52" s="57" t="str">
        <f aca="false">IF(2_Daily_input!AP43="","",2_Daily_input!AP43)</f>
        <v/>
      </c>
      <c r="AQ52" s="57" t="str">
        <f aca="false">IF(2_Daily_input!AQ43="","",2_Daily_input!AQ43)</f>
        <v/>
      </c>
      <c r="AR52" s="57" t="str">
        <f aca="false">IF(2_Daily_input!AR43="","",2_Daily_input!AR43)</f>
        <v/>
      </c>
      <c r="AS52" s="57" t="str">
        <f aca="false">IF(2_Daily_input!AS43="","",2_Daily_input!AS43)</f>
        <v/>
      </c>
      <c r="AT52" s="57" t="str">
        <f aca="false">IF(2_Daily_input!AT43="","",2_Daily_input!AT43)</f>
        <v/>
      </c>
      <c r="AU52" s="57" t="str">
        <f aca="false">IF(2_Daily_input!AU43="","",2_Daily_input!AU43)</f>
        <v/>
      </c>
      <c r="AV52" s="57" t="str">
        <f aca="false">IF(2_Daily_input!AV43="","",2_Daily_input!AV43)</f>
        <v/>
      </c>
      <c r="AW52" s="57" t="str">
        <f aca="false">IF(2_Daily_input!AW43="","",2_Daily_input!AW43)</f>
        <v/>
      </c>
      <c r="AX52" s="57" t="str">
        <f aca="false">IF(2_Daily_input!AX43="","",2_Daily_input!AX43)</f>
        <v/>
      </c>
      <c r="AY52" s="57" t="str">
        <f aca="false">IF(2_Daily_input!AY43="","",2_Daily_input!AY43)</f>
        <v/>
      </c>
      <c r="AZ52" s="57" t="str">
        <f aca="false">IF(2_Daily_input!AZ43="","",2_Daily_input!AZ43)</f>
        <v/>
      </c>
      <c r="BA52" s="57" t="str">
        <f aca="false">IF(2_Daily_input!BA43="","",2_Daily_input!BA43)</f>
        <v/>
      </c>
      <c r="BB52" s="57" t="str">
        <f aca="false">IF(2_Daily_input!BB43="","",2_Daily_input!BB43)</f>
        <v/>
      </c>
      <c r="BC52" s="57" t="str">
        <f aca="false">IF(2_Daily_input!BC43="","",2_Daily_input!BC43)</f>
        <v/>
      </c>
      <c r="BD52" s="57" t="str">
        <f aca="false">IF(2_Daily_input!BD43="","",2_Daily_input!BD43)</f>
        <v/>
      </c>
      <c r="BE52" s="57" t="str">
        <f aca="false">IF(2_Daily_input!BE43="","",2_Daily_input!BE43)</f>
        <v>Irrigation</v>
      </c>
      <c r="BF52" s="57" t="str">
        <f aca="false">IF(2_Daily_input!BF43="","",2_Daily_input!BF43)</f>
        <v/>
      </c>
      <c r="BG52" s="57" t="str">
        <f aca="false">IF(2_Daily_input!BG43="","",2_Daily_input!BG43)</f>
        <v>Irrigation</v>
      </c>
      <c r="BH52" s="57" t="str">
        <f aca="false">IF(2_Daily_input!BH43="","",2_Daily_input!BH43)</f>
        <v/>
      </c>
      <c r="BI52" s="57" t="str">
        <f aca="false">IF(2_Daily_input!BI43="","",2_Daily_input!BI43)</f>
        <v/>
      </c>
      <c r="BJ52" s="57" t="str">
        <f aca="false">IF(2_Daily_input!BJ43="","",2_Daily_input!BJ43)</f>
        <v/>
      </c>
      <c r="BK52" s="57" t="str">
        <f aca="false">IF(2_Daily_input!BK43="","",2_Daily_input!BK43)</f>
        <v>Irrigation</v>
      </c>
      <c r="BL52" s="57" t="str">
        <f aca="false">IF(2_Daily_input!BL43="","",2_Daily_input!BL43)</f>
        <v/>
      </c>
      <c r="BM52" s="57" t="str">
        <f aca="false">IF(2_Daily_input!BM43="","",2_Daily_input!BM43)</f>
        <v/>
      </c>
      <c r="BN52" s="57" t="str">
        <f aca="false">IF(2_Daily_input!BN43="","",2_Daily_input!BN43)</f>
        <v/>
      </c>
      <c r="BO52" s="57" t="str">
        <f aca="false">IF(2_Daily_input!BO43="","",2_Daily_input!BO43)</f>
        <v/>
      </c>
      <c r="BP52" s="57" t="str">
        <f aca="false">IF(2_Daily_input!BP43="","",2_Daily_input!BP43)</f>
        <v>Irrigation</v>
      </c>
      <c r="BQ52" s="57" t="str">
        <f aca="false">IF(2_Daily_input!BQ43="","",2_Daily_input!BQ43)</f>
        <v/>
      </c>
      <c r="BR52" s="57" t="str">
        <f aca="false">IF(2_Daily_input!BR43="","",2_Daily_input!BR43)</f>
        <v/>
      </c>
      <c r="BS52" s="57" t="str">
        <f aca="false">IF(2_Daily_input!BS43="","",2_Daily_input!BS43)</f>
        <v/>
      </c>
      <c r="BT52" s="57" t="str">
        <f aca="false">IF(2_Daily_input!BT43="","",2_Daily_input!BT43)</f>
        <v/>
      </c>
      <c r="BU52" s="57" t="str">
        <f aca="false">IF(2_Daily_input!BU43="","",2_Daily_input!BU43)</f>
        <v/>
      </c>
      <c r="BV52" s="57" t="str">
        <f aca="false">IF(2_Daily_input!BV43="","",2_Daily_input!BV43)</f>
        <v/>
      </c>
      <c r="BW52" s="57" t="str">
        <f aca="false">IF(2_Daily_input!BW43="","",2_Daily_input!BW43)</f>
        <v>Irrigation</v>
      </c>
      <c r="BX52" s="57" t="str">
        <f aca="false">IF(2_Daily_input!BX43="","",2_Daily_input!BX43)</f>
        <v/>
      </c>
      <c r="BY52" s="57" t="str">
        <f aca="false">IF(2_Daily_input!BY43="","",2_Daily_input!BY43)</f>
        <v/>
      </c>
      <c r="BZ52" s="57" t="str">
        <f aca="false">IF(2_Daily_input!BZ43="","",2_Daily_input!BZ43)</f>
        <v/>
      </c>
      <c r="CA52" s="57" t="str">
        <f aca="false">IF(2_Daily_input!CA43="","",2_Daily_input!CA43)</f>
        <v/>
      </c>
      <c r="CB52" s="57" t="str">
        <f aca="false">IF(2_Daily_input!CB43="","",2_Daily_input!CB43)</f>
        <v/>
      </c>
      <c r="CC52" s="57" t="str">
        <f aca="false">IF(2_Daily_input!CC43="","",2_Daily_input!CC43)</f>
        <v/>
      </c>
      <c r="CD52" s="57" t="str">
        <f aca="false">IF(2_Daily_input!CD43="","",2_Daily_input!CD43)</f>
        <v>Irrigation</v>
      </c>
      <c r="CE52" s="57" t="str">
        <f aca="false">IF(2_Daily_input!CE43="","",2_Daily_input!CE43)</f>
        <v/>
      </c>
      <c r="CF52" s="57" t="str">
        <f aca="false">IF(2_Daily_input!CF43="","",2_Daily_input!CF43)</f>
        <v/>
      </c>
      <c r="CG52" s="57" t="str">
        <f aca="false">IF(2_Daily_input!CG43="","",2_Daily_input!CG43)</f>
        <v/>
      </c>
      <c r="CH52" s="57" t="str">
        <f aca="false">IF(2_Daily_input!CH43="","",2_Daily_input!CH43)</f>
        <v>Irrigation</v>
      </c>
      <c r="CI52" s="57" t="str">
        <f aca="false">IF(2_Daily_input!CI43="","",2_Daily_input!CI43)</f>
        <v/>
      </c>
      <c r="CJ52" s="57" t="str">
        <f aca="false">IF(2_Daily_input!CJ43="","",2_Daily_input!CJ43)</f>
        <v/>
      </c>
      <c r="CK52" s="57" t="str">
        <f aca="false">IF(2_Daily_input!CK43="","",2_Daily_input!CK43)</f>
        <v/>
      </c>
      <c r="CL52" s="57" t="str">
        <f aca="false">IF(2_Daily_input!CL43="","",2_Daily_input!CL43)</f>
        <v/>
      </c>
      <c r="CM52" s="57" t="str">
        <f aca="false">IF(2_Daily_input!CM43="","",2_Daily_input!CM43)</f>
        <v/>
      </c>
      <c r="CN52" s="57" t="str">
        <f aca="false">IF(2_Daily_input!CN43="","",2_Daily_input!CN43)</f>
        <v/>
      </c>
      <c r="CO52" s="57" t="str">
        <f aca="false">IF(2_Daily_input!CO43="","",2_Daily_input!CO43)</f>
        <v/>
      </c>
      <c r="CP52" s="57" t="str">
        <f aca="false">IF(2_Daily_input!CP43="","",2_Daily_input!CP43)</f>
        <v/>
      </c>
      <c r="CQ52" s="57" t="str">
        <f aca="false">IF(2_Daily_input!CQ43="","",2_Daily_input!CQ43)</f>
        <v/>
      </c>
      <c r="CR52" s="57" t="str">
        <f aca="false">IF(2_Daily_input!CR43="","",2_Daily_input!CR43)</f>
        <v/>
      </c>
      <c r="CS52" s="57" t="str">
        <f aca="false">IF(2_Daily_input!CS43="","",2_Daily_input!CS43)</f>
        <v/>
      </c>
      <c r="CT52" s="57" t="str">
        <f aca="false">IF(2_Daily_input!CT43="","",2_Daily_input!CT43)</f>
        <v/>
      </c>
      <c r="CU52" s="57" t="str">
        <f aca="false">IF(2_Daily_input!CU43="","",2_Daily_input!CU43)</f>
        <v/>
      </c>
      <c r="CV52" s="57" t="str">
        <f aca="false">IF(2_Daily_input!CV43="","",2_Daily_input!CV43)</f>
        <v/>
      </c>
      <c r="CW52" s="57" t="str">
        <f aca="false">IF(2_Daily_input!CW43="","",2_Daily_input!CW43)</f>
        <v>Irrigation</v>
      </c>
      <c r="CX52" s="57" t="str">
        <f aca="false">IF(2_Daily_input!CX43="","",2_Daily_input!CX43)</f>
        <v/>
      </c>
      <c r="CY52" s="57" t="str">
        <f aca="false">IF(2_Daily_input!CY43="","",2_Daily_input!CY43)</f>
        <v/>
      </c>
      <c r="CZ52" s="57" t="str">
        <f aca="false">IF(2_Daily_input!CZ43="","",2_Daily_input!CZ43)</f>
        <v>Irrigation</v>
      </c>
      <c r="DA52" s="57" t="str">
        <f aca="false">IF(2_Daily_input!DA43="","",2_Daily_input!DA43)</f>
        <v/>
      </c>
      <c r="DB52" s="57" t="str">
        <f aca="false">IF(2_Daily_input!DB43="","",2_Daily_input!DB43)</f>
        <v/>
      </c>
      <c r="DC52" s="57" t="str">
        <f aca="false">IF(2_Daily_input!DC43="","",2_Daily_input!DC43)</f>
        <v>Irrigation</v>
      </c>
      <c r="DD52" s="57" t="str">
        <f aca="false">IF(2_Daily_input!DD43="","",2_Daily_input!DD43)</f>
        <v/>
      </c>
      <c r="DE52" s="57" t="str">
        <f aca="false">IF(2_Daily_input!DE43="","",2_Daily_input!DE43)</f>
        <v/>
      </c>
      <c r="DF52" s="57" t="str">
        <f aca="false">IF(2_Daily_input!DF43="","",2_Daily_input!DF43)</f>
        <v/>
      </c>
      <c r="DG52" s="57" t="str">
        <f aca="false">IF(2_Daily_input!DG43="","",2_Daily_input!DG43)</f>
        <v>Irrigation</v>
      </c>
      <c r="DH52" s="57" t="str">
        <f aca="false">IF(2_Daily_input!DH43="","",2_Daily_input!DH43)</f>
        <v/>
      </c>
      <c r="DI52" s="57" t="str">
        <f aca="false">IF(2_Daily_input!DI43="","",2_Daily_input!DI43)</f>
        <v/>
      </c>
      <c r="DJ52" s="57" t="str">
        <f aca="false">IF(2_Daily_input!DJ43="","",2_Daily_input!DJ43)</f>
        <v/>
      </c>
      <c r="DK52" s="57" t="str">
        <f aca="false">IF(2_Daily_input!DK43="","",2_Daily_input!DK43)</f>
        <v/>
      </c>
      <c r="DL52" s="57" t="str">
        <f aca="false">IF(2_Daily_input!DL43="","",2_Daily_input!DL43)</f>
        <v/>
      </c>
      <c r="DM52" s="57" t="str">
        <f aca="false">IF(2_Daily_input!DM43="","",2_Daily_input!DM43)</f>
        <v/>
      </c>
      <c r="DN52" s="57" t="str">
        <f aca="false">IF(2_Daily_input!DN43="","",2_Daily_input!DN43)</f>
        <v>Irrigation</v>
      </c>
      <c r="DO52" s="57" t="str">
        <f aca="false">IF(2_Daily_input!DO43="","",2_Daily_input!DO43)</f>
        <v/>
      </c>
      <c r="DP52" s="57" t="str">
        <f aca="false">IF(2_Daily_input!DP43="","",2_Daily_input!DP43)</f>
        <v/>
      </c>
      <c r="DQ52" s="57" t="str">
        <f aca="false">IF(2_Daily_input!DQ43="","",2_Daily_input!DQ43)</f>
        <v/>
      </c>
      <c r="DR52" s="57" t="str">
        <f aca="false">IF(2_Daily_input!DR43="","",2_Daily_input!DR43)</f>
        <v/>
      </c>
      <c r="DS52" s="57" t="str">
        <f aca="false">IF(2_Daily_input!DS43="","",2_Daily_input!DS43)</f>
        <v/>
      </c>
      <c r="DT52" s="57" t="str">
        <f aca="false">IF(2_Daily_input!DT43="","",2_Daily_input!DT43)</f>
        <v/>
      </c>
      <c r="DU52" s="57" t="str">
        <f aca="false">IF(2_Daily_input!DU43="","",2_Daily_input!DU43)</f>
        <v>Irrigation</v>
      </c>
      <c r="DV52" s="57" t="str">
        <f aca="false">IF(2_Daily_input!DV43="","",2_Daily_input!DV43)</f>
        <v/>
      </c>
      <c r="DW52" s="57" t="str">
        <f aca="false">IF(2_Daily_input!DW43="","",2_Daily_input!DW43)</f>
        <v/>
      </c>
      <c r="DX52" s="57" t="str">
        <f aca="false">IF(2_Daily_input!DX43="","",2_Daily_input!DX43)</f>
        <v/>
      </c>
      <c r="DY52" s="57" t="str">
        <f aca="false">IF(2_Daily_input!DY43="","",2_Daily_input!DY43)</f>
        <v/>
      </c>
      <c r="DZ52" s="57" t="str">
        <f aca="false">IF(2_Daily_input!DZ43="","",2_Daily_input!DZ43)</f>
        <v/>
      </c>
      <c r="EA52" s="57" t="str">
        <f aca="false">IF(2_Daily_input!EA43="","",2_Daily_input!EA43)</f>
        <v/>
      </c>
      <c r="EB52" s="57" t="str">
        <f aca="false">IF(2_Daily_input!EB43="","",2_Daily_input!EB43)</f>
        <v>Irrigation</v>
      </c>
      <c r="EC52" s="57" t="str">
        <f aca="false">IF(2_Daily_input!EC43="","",2_Daily_input!EC43)</f>
        <v/>
      </c>
      <c r="ED52" s="57" t="str">
        <f aca="false">IF(2_Daily_input!ED43="","",2_Daily_input!ED43)</f>
        <v/>
      </c>
      <c r="EE52" s="57" t="str">
        <f aca="false">IF(2_Daily_input!EE43="","",2_Daily_input!EE43)</f>
        <v/>
      </c>
      <c r="EF52" s="57" t="str">
        <f aca="false">IF(2_Daily_input!EF43="","",2_Daily_input!EF43)</f>
        <v/>
      </c>
      <c r="EG52" s="57" t="str">
        <f aca="false">IF(2_Daily_input!EG43="","",2_Daily_input!EG43)</f>
        <v/>
      </c>
      <c r="EH52" s="57" t="str">
        <f aca="false">IF(2_Daily_input!EH43="","",2_Daily_input!EH43)</f>
        <v/>
      </c>
      <c r="EI52" s="57" t="str">
        <f aca="false">IF(2_Daily_input!EI43="","",2_Daily_input!EI43)</f>
        <v/>
      </c>
      <c r="EJ52" s="57" t="str">
        <f aca="false">IF(2_Daily_input!EJ43="","",2_Daily_input!EJ43)</f>
        <v>Irrigation</v>
      </c>
      <c r="EK52" s="57" t="str">
        <f aca="false">IF(2_Daily_input!EK43="","",2_Daily_input!EK43)</f>
        <v/>
      </c>
      <c r="EL52" s="57" t="str">
        <f aca="false">IF(2_Daily_input!EL43="","",2_Daily_input!EL43)</f>
        <v/>
      </c>
      <c r="EM52" s="57" t="str">
        <f aca="false">IF(2_Daily_input!EM43="","",2_Daily_input!EM43)</f>
        <v/>
      </c>
      <c r="EN52" s="57" t="str">
        <f aca="false">IF(2_Daily_input!EN43="","",2_Daily_input!EN43)</f>
        <v/>
      </c>
      <c r="EO52" s="57" t="str">
        <f aca="false">IF(2_Daily_input!EO43="","",2_Daily_input!EO43)</f>
        <v/>
      </c>
      <c r="EP52" s="57" t="str">
        <f aca="false">IF(2_Daily_input!EP43="","",2_Daily_input!EP43)</f>
        <v/>
      </c>
      <c r="EQ52" s="57" t="str">
        <f aca="false">IF(2_Daily_input!EQ43="","",2_Daily_input!EQ43)</f>
        <v/>
      </c>
      <c r="ER52" s="57" t="str">
        <f aca="false">IF(2_Daily_input!ER43="","",2_Daily_input!ER43)</f>
        <v/>
      </c>
      <c r="ES52" s="57" t="str">
        <f aca="false">IF(2_Daily_input!ES43="","",2_Daily_input!ES43)</f>
        <v/>
      </c>
      <c r="ET52" s="57" t="str">
        <f aca="false">IF(2_Daily_input!ET43="","",2_Daily_input!ET43)</f>
        <v/>
      </c>
      <c r="EU52" s="57" t="str">
        <f aca="false">IF(2_Daily_input!EU43="","",2_Daily_input!EU43)</f>
        <v/>
      </c>
      <c r="EV52" s="57" t="str">
        <f aca="false">IF(2_Daily_input!EV43="","",2_Daily_input!EV43)</f>
        <v/>
      </c>
      <c r="EW52" s="57" t="str">
        <f aca="false">IF(2_Daily_input!EW43="","",2_Daily_input!EW43)</f>
        <v/>
      </c>
      <c r="EX52" s="57" t="str">
        <f aca="false">IF(2_Daily_input!EX43="","",2_Daily_input!EX43)</f>
        <v/>
      </c>
      <c r="EY52" s="57" t="str">
        <f aca="false">IF(2_Daily_input!EY43="","",2_Daily_input!EY43)</f>
        <v/>
      </c>
      <c r="EZ52" s="57" t="str">
        <f aca="false">IF(2_Daily_input!EZ43="","",2_Daily_input!EZ43)</f>
        <v/>
      </c>
      <c r="FA52" s="57" t="str">
        <f aca="false">IF(2_Daily_input!FA43="","",2_Daily_input!FA43)</f>
        <v/>
      </c>
      <c r="FB52" s="57" t="str">
        <f aca="false">IF(2_Daily_input!FB43="","",2_Daily_input!FB43)</f>
        <v/>
      </c>
      <c r="FC52" s="57" t="str">
        <f aca="false">IF(2_Daily_input!FC43="","",2_Daily_input!FC43)</f>
        <v/>
      </c>
      <c r="FD52" s="57" t="str">
        <f aca="false">IF(2_Daily_input!FD43="","",2_Daily_input!FD43)</f>
        <v/>
      </c>
      <c r="FE52" s="57" t="str">
        <f aca="false">IF(2_Daily_input!FE43="","",2_Daily_input!FE43)</f>
        <v/>
      </c>
      <c r="FF52" s="57" t="str">
        <f aca="false">IF(2_Daily_input!FF43="","",2_Daily_input!FF43)</f>
        <v/>
      </c>
      <c r="FG52" s="57" t="str">
        <f aca="false">IF(2_Daily_input!FG43="","",2_Daily_input!FG43)</f>
        <v/>
      </c>
      <c r="FH52" s="57" t="str">
        <f aca="false">IF(2_Daily_input!FH43="","",2_Daily_input!FH43)</f>
        <v/>
      </c>
      <c r="FI52" s="57" t="str">
        <f aca="false">IF(2_Daily_input!FI43="","",2_Daily_input!FI43)</f>
        <v/>
      </c>
      <c r="FJ52" s="57" t="str">
        <f aca="false">IF(2_Daily_input!FJ43="","",2_Daily_input!FJ43)</f>
        <v/>
      </c>
      <c r="FK52" s="57" t="str">
        <f aca="false">IF(2_Daily_input!FK43="","",2_Daily_input!FK43)</f>
        <v/>
      </c>
      <c r="FL52" s="57" t="str">
        <f aca="false">IF(2_Daily_input!FL43="","",2_Daily_input!FL43)</f>
        <v/>
      </c>
      <c r="FM52" s="57" t="str">
        <f aca="false">IF(2_Daily_input!FM43="","",2_Daily_input!FM43)</f>
        <v/>
      </c>
      <c r="FN52" s="57" t="str">
        <f aca="false">IF(2_Daily_input!FN43="","",2_Daily_input!FN43)</f>
        <v/>
      </c>
      <c r="FO52" s="57" t="str">
        <f aca="false">IF(2_Daily_input!FO43="","",2_Daily_input!FO43)</f>
        <v/>
      </c>
      <c r="FP52" s="57" t="str">
        <f aca="false">IF(2_Daily_input!FP43="","",2_Daily_input!FP43)</f>
        <v/>
      </c>
      <c r="FQ52" s="57" t="str">
        <f aca="false">IF(2_Daily_input!FQ43="","",2_Daily_input!FQ43)</f>
        <v/>
      </c>
    </row>
    <row r="53" customFormat="false" ht="15" hidden="false" customHeight="false" outlineLevel="0" collapsed="false">
      <c r="A53" s="33" t="s">
        <v>83</v>
      </c>
      <c r="B53" s="20" t="s">
        <v>427</v>
      </c>
      <c r="C53" s="48" t="n">
        <f aca="false">SUM($D$53:$FQ$53)</f>
        <v>0</v>
      </c>
      <c r="D53" s="57" t="str">
        <f aca="false">IF(2_Daily_input!D44="","",2_Daily_input!D44)</f>
        <v/>
      </c>
      <c r="E53" s="57" t="str">
        <f aca="false">IF(2_Daily_input!E44="","",2_Daily_input!E44)</f>
        <v/>
      </c>
      <c r="F53" s="57" t="str">
        <f aca="false">IF(2_Daily_input!F44="","",2_Daily_input!F44)</f>
        <v/>
      </c>
      <c r="G53" s="57" t="str">
        <f aca="false">IF(2_Daily_input!G44="","",2_Daily_input!G44)</f>
        <v/>
      </c>
      <c r="H53" s="57" t="str">
        <f aca="false">IF(2_Daily_input!H44="","",2_Daily_input!H44)</f>
        <v/>
      </c>
      <c r="I53" s="57" t="str">
        <f aca="false">IF(2_Daily_input!I44="","",2_Daily_input!I44)</f>
        <v/>
      </c>
      <c r="J53" s="57" t="str">
        <f aca="false">IF(2_Daily_input!J44="","",2_Daily_input!J44)</f>
        <v/>
      </c>
      <c r="K53" s="57" t="str">
        <f aca="false">IF(2_Daily_input!K44="","",2_Daily_input!K44)</f>
        <v/>
      </c>
      <c r="L53" s="57" t="str">
        <f aca="false">IF(2_Daily_input!L44="","",2_Daily_input!L44)</f>
        <v/>
      </c>
      <c r="M53" s="57" t="str">
        <f aca="false">IF(2_Daily_input!M44="","",2_Daily_input!M44)</f>
        <v/>
      </c>
      <c r="N53" s="57" t="str">
        <f aca="false">IF(2_Daily_input!N44="","",2_Daily_input!N44)</f>
        <v/>
      </c>
      <c r="O53" s="57" t="str">
        <f aca="false">IF(2_Daily_input!O44="","",2_Daily_input!O44)</f>
        <v/>
      </c>
      <c r="P53" s="57" t="str">
        <f aca="false">IF(2_Daily_input!P44="","",2_Daily_input!P44)</f>
        <v/>
      </c>
      <c r="Q53" s="57" t="str">
        <f aca="false">IF(2_Daily_input!Q44="","",2_Daily_input!Q44)</f>
        <v/>
      </c>
      <c r="R53" s="57" t="str">
        <f aca="false">IF(2_Daily_input!R44="","",2_Daily_input!R44)</f>
        <v/>
      </c>
      <c r="S53" s="57" t="str">
        <f aca="false">IF(2_Daily_input!S44="","",2_Daily_input!S44)</f>
        <v/>
      </c>
      <c r="T53" s="57" t="str">
        <f aca="false">IF(2_Daily_input!T44="","",2_Daily_input!T44)</f>
        <v/>
      </c>
      <c r="U53" s="57" t="str">
        <f aca="false">IF(2_Daily_input!U44="","",2_Daily_input!U44)</f>
        <v/>
      </c>
      <c r="V53" s="57" t="str">
        <f aca="false">IF(2_Daily_input!V44="","",2_Daily_input!V44)</f>
        <v/>
      </c>
      <c r="W53" s="57" t="str">
        <f aca="false">IF(2_Daily_input!W44="","",2_Daily_input!W44)</f>
        <v/>
      </c>
      <c r="X53" s="57" t="str">
        <f aca="false">IF(2_Daily_input!X44="","",2_Daily_input!X44)</f>
        <v/>
      </c>
      <c r="Y53" s="57" t="str">
        <f aca="false">IF(2_Daily_input!Y44="","",2_Daily_input!Y44)</f>
        <v/>
      </c>
      <c r="Z53" s="57" t="str">
        <f aca="false">IF(2_Daily_input!Z44="","",2_Daily_input!Z44)</f>
        <v/>
      </c>
      <c r="AA53" s="57" t="str">
        <f aca="false">IF(2_Daily_input!AA44="","",2_Daily_input!AA44)</f>
        <v/>
      </c>
      <c r="AB53" s="57" t="str">
        <f aca="false">IF(2_Daily_input!AB44="","",2_Daily_input!AB44)</f>
        <v/>
      </c>
      <c r="AC53" s="57" t="str">
        <f aca="false">IF(2_Daily_input!AC44="","",2_Daily_input!AC44)</f>
        <v/>
      </c>
      <c r="AD53" s="57" t="str">
        <f aca="false">IF(2_Daily_input!AD44="","",2_Daily_input!AD44)</f>
        <v/>
      </c>
      <c r="AE53" s="57" t="str">
        <f aca="false">IF(2_Daily_input!AE44="","",2_Daily_input!AE44)</f>
        <v/>
      </c>
      <c r="AF53" s="57" t="str">
        <f aca="false">IF(2_Daily_input!AF44="","",2_Daily_input!AF44)</f>
        <v/>
      </c>
      <c r="AG53" s="57" t="str">
        <f aca="false">IF(2_Daily_input!AG44="","",2_Daily_input!AG44)</f>
        <v/>
      </c>
      <c r="AH53" s="57" t="str">
        <f aca="false">IF(2_Daily_input!AH44="","",2_Daily_input!AH44)</f>
        <v/>
      </c>
      <c r="AI53" s="57" t="str">
        <f aca="false">IF(2_Daily_input!AI44="","",2_Daily_input!AI44)</f>
        <v/>
      </c>
      <c r="AJ53" s="57" t="str">
        <f aca="false">IF(2_Daily_input!AJ44="","",2_Daily_input!AJ44)</f>
        <v/>
      </c>
      <c r="AK53" s="57" t="str">
        <f aca="false">IF(2_Daily_input!AK44="","",2_Daily_input!AK44)</f>
        <v/>
      </c>
      <c r="AL53" s="57" t="str">
        <f aca="false">IF(2_Daily_input!AL44="","",2_Daily_input!AL44)</f>
        <v/>
      </c>
      <c r="AM53" s="57" t="str">
        <f aca="false">IF(2_Daily_input!AM44="","",2_Daily_input!AM44)</f>
        <v/>
      </c>
      <c r="AN53" s="57" t="str">
        <f aca="false">IF(2_Daily_input!AN44="","",2_Daily_input!AN44)</f>
        <v/>
      </c>
      <c r="AO53" s="57" t="str">
        <f aca="false">IF(2_Daily_input!AO44="","",2_Daily_input!AO44)</f>
        <v/>
      </c>
      <c r="AP53" s="57" t="str">
        <f aca="false">IF(2_Daily_input!AP44="","",2_Daily_input!AP44)</f>
        <v/>
      </c>
      <c r="AQ53" s="57" t="str">
        <f aca="false">IF(2_Daily_input!AQ44="","",2_Daily_input!AQ44)</f>
        <v/>
      </c>
      <c r="AR53" s="57" t="str">
        <f aca="false">IF(2_Daily_input!AR44="","",2_Daily_input!AR44)</f>
        <v/>
      </c>
      <c r="AS53" s="57" t="str">
        <f aca="false">IF(2_Daily_input!AS44="","",2_Daily_input!AS44)</f>
        <v/>
      </c>
      <c r="AT53" s="57" t="str">
        <f aca="false">IF(2_Daily_input!AT44="","",2_Daily_input!AT44)</f>
        <v/>
      </c>
      <c r="AU53" s="57" t="str">
        <f aca="false">IF(2_Daily_input!AU44="","",2_Daily_input!AU44)</f>
        <v/>
      </c>
      <c r="AV53" s="57" t="str">
        <f aca="false">IF(2_Daily_input!AV44="","",2_Daily_input!AV44)</f>
        <v/>
      </c>
      <c r="AW53" s="57" t="str">
        <f aca="false">IF(2_Daily_input!AW44="","",2_Daily_input!AW44)</f>
        <v/>
      </c>
      <c r="AX53" s="57" t="str">
        <f aca="false">IF(2_Daily_input!AX44="","",2_Daily_input!AX44)</f>
        <v/>
      </c>
      <c r="AY53" s="57" t="str">
        <f aca="false">IF(2_Daily_input!AY44="","",2_Daily_input!AY44)</f>
        <v/>
      </c>
      <c r="AZ53" s="57" t="str">
        <f aca="false">IF(2_Daily_input!AZ44="","",2_Daily_input!AZ44)</f>
        <v/>
      </c>
      <c r="BA53" s="57" t="str">
        <f aca="false">IF(2_Daily_input!BA44="","",2_Daily_input!BA44)</f>
        <v/>
      </c>
      <c r="BB53" s="57" t="str">
        <f aca="false">IF(2_Daily_input!BB44="","",2_Daily_input!BB44)</f>
        <v/>
      </c>
      <c r="BC53" s="57" t="str">
        <f aca="false">IF(2_Daily_input!BC44="","",2_Daily_input!BC44)</f>
        <v/>
      </c>
      <c r="BD53" s="57" t="str">
        <f aca="false">IF(2_Daily_input!BD44="","",2_Daily_input!BD44)</f>
        <v/>
      </c>
      <c r="BE53" s="57" t="str">
        <f aca="false">IF(2_Daily_input!BE44="","",2_Daily_input!BE44)</f>
        <v/>
      </c>
      <c r="BF53" s="57" t="str">
        <f aca="false">IF(2_Daily_input!BF44="","",2_Daily_input!BF44)</f>
        <v/>
      </c>
      <c r="BG53" s="57" t="str">
        <f aca="false">IF(2_Daily_input!BG44="","",2_Daily_input!BG44)</f>
        <v/>
      </c>
      <c r="BH53" s="57" t="str">
        <f aca="false">IF(2_Daily_input!BH44="","",2_Daily_input!BH44)</f>
        <v/>
      </c>
      <c r="BI53" s="57" t="str">
        <f aca="false">IF(2_Daily_input!BI44="","",2_Daily_input!BI44)</f>
        <v/>
      </c>
      <c r="BJ53" s="57" t="str">
        <f aca="false">IF(2_Daily_input!BJ44="","",2_Daily_input!BJ44)</f>
        <v/>
      </c>
      <c r="BK53" s="57" t="str">
        <f aca="false">IF(2_Daily_input!BK44="","",2_Daily_input!BK44)</f>
        <v/>
      </c>
      <c r="BL53" s="57" t="str">
        <f aca="false">IF(2_Daily_input!BL44="","",2_Daily_input!BL44)</f>
        <v/>
      </c>
      <c r="BM53" s="57" t="str">
        <f aca="false">IF(2_Daily_input!BM44="","",2_Daily_input!BM44)</f>
        <v/>
      </c>
      <c r="BN53" s="57" t="str">
        <f aca="false">IF(2_Daily_input!BN44="","",2_Daily_input!BN44)</f>
        <v/>
      </c>
      <c r="BO53" s="57" t="str">
        <f aca="false">IF(2_Daily_input!BO44="","",2_Daily_input!BO44)</f>
        <v/>
      </c>
      <c r="BP53" s="57" t="str">
        <f aca="false">IF(2_Daily_input!BP44="","",2_Daily_input!BP44)</f>
        <v/>
      </c>
      <c r="BQ53" s="57" t="str">
        <f aca="false">IF(2_Daily_input!BQ44="","",2_Daily_input!BQ44)</f>
        <v/>
      </c>
      <c r="BR53" s="57" t="str">
        <f aca="false">IF(2_Daily_input!BR44="","",2_Daily_input!BR44)</f>
        <v/>
      </c>
      <c r="BS53" s="57" t="str">
        <f aca="false">IF(2_Daily_input!BS44="","",2_Daily_input!BS44)</f>
        <v/>
      </c>
      <c r="BT53" s="57" t="str">
        <f aca="false">IF(2_Daily_input!BT44="","",2_Daily_input!BT44)</f>
        <v/>
      </c>
      <c r="BU53" s="57" t="str">
        <f aca="false">IF(2_Daily_input!BU44="","",2_Daily_input!BU44)</f>
        <v/>
      </c>
      <c r="BV53" s="57" t="str">
        <f aca="false">IF(2_Daily_input!BV44="","",2_Daily_input!BV44)</f>
        <v/>
      </c>
      <c r="BW53" s="57" t="str">
        <f aca="false">IF(2_Daily_input!BW44="","",2_Daily_input!BW44)</f>
        <v/>
      </c>
      <c r="BX53" s="57" t="str">
        <f aca="false">IF(2_Daily_input!BX44="","",2_Daily_input!BX44)</f>
        <v/>
      </c>
      <c r="BY53" s="57" t="str">
        <f aca="false">IF(2_Daily_input!BY44="","",2_Daily_input!BY44)</f>
        <v/>
      </c>
      <c r="BZ53" s="57" t="str">
        <f aca="false">IF(2_Daily_input!BZ44="","",2_Daily_input!BZ44)</f>
        <v/>
      </c>
      <c r="CA53" s="57" t="str">
        <f aca="false">IF(2_Daily_input!CA44="","",2_Daily_input!CA44)</f>
        <v/>
      </c>
      <c r="CB53" s="57" t="str">
        <f aca="false">IF(2_Daily_input!CB44="","",2_Daily_input!CB44)</f>
        <v/>
      </c>
      <c r="CC53" s="57" t="str">
        <f aca="false">IF(2_Daily_input!CC44="","",2_Daily_input!CC44)</f>
        <v/>
      </c>
      <c r="CD53" s="57" t="str">
        <f aca="false">IF(2_Daily_input!CD44="","",2_Daily_input!CD44)</f>
        <v/>
      </c>
      <c r="CE53" s="57" t="str">
        <f aca="false">IF(2_Daily_input!CE44="","",2_Daily_input!CE44)</f>
        <v/>
      </c>
      <c r="CF53" s="57" t="str">
        <f aca="false">IF(2_Daily_input!CF44="","",2_Daily_input!CF44)</f>
        <v/>
      </c>
      <c r="CG53" s="57" t="str">
        <f aca="false">IF(2_Daily_input!CG44="","",2_Daily_input!CG44)</f>
        <v/>
      </c>
      <c r="CH53" s="57" t="str">
        <f aca="false">IF(2_Daily_input!CH44="","",2_Daily_input!CH44)</f>
        <v/>
      </c>
      <c r="CI53" s="57" t="str">
        <f aca="false">IF(2_Daily_input!CI44="","",2_Daily_input!CI44)</f>
        <v/>
      </c>
      <c r="CJ53" s="57" t="str">
        <f aca="false">IF(2_Daily_input!CJ44="","",2_Daily_input!CJ44)</f>
        <v/>
      </c>
      <c r="CK53" s="57" t="str">
        <f aca="false">IF(2_Daily_input!CK44="","",2_Daily_input!CK44)</f>
        <v/>
      </c>
      <c r="CL53" s="57" t="str">
        <f aca="false">IF(2_Daily_input!CL44="","",2_Daily_input!CL44)</f>
        <v/>
      </c>
      <c r="CM53" s="57" t="str">
        <f aca="false">IF(2_Daily_input!CM44="","",2_Daily_input!CM44)</f>
        <v/>
      </c>
      <c r="CN53" s="57" t="str">
        <f aca="false">IF(2_Daily_input!CN44="","",2_Daily_input!CN44)</f>
        <v/>
      </c>
      <c r="CO53" s="57" t="str">
        <f aca="false">IF(2_Daily_input!CO44="","",2_Daily_input!CO44)</f>
        <v/>
      </c>
      <c r="CP53" s="57" t="str">
        <f aca="false">IF(2_Daily_input!CP44="","",2_Daily_input!CP44)</f>
        <v/>
      </c>
      <c r="CQ53" s="57" t="str">
        <f aca="false">IF(2_Daily_input!CQ44="","",2_Daily_input!CQ44)</f>
        <v/>
      </c>
      <c r="CR53" s="57" t="str">
        <f aca="false">IF(2_Daily_input!CR44="","",2_Daily_input!CR44)</f>
        <v/>
      </c>
      <c r="CS53" s="57" t="str">
        <f aca="false">IF(2_Daily_input!CS44="","",2_Daily_input!CS44)</f>
        <v/>
      </c>
      <c r="CT53" s="57" t="str">
        <f aca="false">IF(2_Daily_input!CT44="","",2_Daily_input!CT44)</f>
        <v/>
      </c>
      <c r="CU53" s="57" t="str">
        <f aca="false">IF(2_Daily_input!CU44="","",2_Daily_input!CU44)</f>
        <v/>
      </c>
      <c r="CV53" s="57" t="str">
        <f aca="false">IF(2_Daily_input!CV44="","",2_Daily_input!CV44)</f>
        <v/>
      </c>
      <c r="CW53" s="57" t="str">
        <f aca="false">IF(2_Daily_input!CW44="","",2_Daily_input!CW44)</f>
        <v/>
      </c>
      <c r="CX53" s="57" t="str">
        <f aca="false">IF(2_Daily_input!CX44="","",2_Daily_input!CX44)</f>
        <v/>
      </c>
      <c r="CY53" s="57" t="str">
        <f aca="false">IF(2_Daily_input!CY44="","",2_Daily_input!CY44)</f>
        <v/>
      </c>
      <c r="CZ53" s="57" t="str">
        <f aca="false">IF(2_Daily_input!CZ44="","",2_Daily_input!CZ44)</f>
        <v/>
      </c>
      <c r="DA53" s="57" t="str">
        <f aca="false">IF(2_Daily_input!DA44="","",2_Daily_input!DA44)</f>
        <v/>
      </c>
      <c r="DB53" s="57" t="str">
        <f aca="false">IF(2_Daily_input!DB44="","",2_Daily_input!DB44)</f>
        <v/>
      </c>
      <c r="DC53" s="57" t="str">
        <f aca="false">IF(2_Daily_input!DC44="","",2_Daily_input!DC44)</f>
        <v/>
      </c>
      <c r="DD53" s="57" t="str">
        <f aca="false">IF(2_Daily_input!DD44="","",2_Daily_input!DD44)</f>
        <v/>
      </c>
      <c r="DE53" s="57" t="str">
        <f aca="false">IF(2_Daily_input!DE44="","",2_Daily_input!DE44)</f>
        <v/>
      </c>
      <c r="DF53" s="57" t="str">
        <f aca="false">IF(2_Daily_input!DF44="","",2_Daily_input!DF44)</f>
        <v/>
      </c>
      <c r="DG53" s="57" t="str">
        <f aca="false">IF(2_Daily_input!DG44="","",2_Daily_input!DG44)</f>
        <v/>
      </c>
      <c r="DH53" s="57" t="str">
        <f aca="false">IF(2_Daily_input!DH44="","",2_Daily_input!DH44)</f>
        <v/>
      </c>
      <c r="DI53" s="57" t="str">
        <f aca="false">IF(2_Daily_input!DI44="","",2_Daily_input!DI44)</f>
        <v/>
      </c>
      <c r="DJ53" s="57" t="str">
        <f aca="false">IF(2_Daily_input!DJ44="","",2_Daily_input!DJ44)</f>
        <v/>
      </c>
      <c r="DK53" s="57" t="str">
        <f aca="false">IF(2_Daily_input!DK44="","",2_Daily_input!DK44)</f>
        <v/>
      </c>
      <c r="DL53" s="57" t="str">
        <f aca="false">IF(2_Daily_input!DL44="","",2_Daily_input!DL44)</f>
        <v/>
      </c>
      <c r="DM53" s="57" t="str">
        <f aca="false">IF(2_Daily_input!DM44="","",2_Daily_input!DM44)</f>
        <v/>
      </c>
      <c r="DN53" s="57" t="str">
        <f aca="false">IF(2_Daily_input!DN44="","",2_Daily_input!DN44)</f>
        <v/>
      </c>
      <c r="DO53" s="57" t="str">
        <f aca="false">IF(2_Daily_input!DO44="","",2_Daily_input!DO44)</f>
        <v/>
      </c>
      <c r="DP53" s="57" t="str">
        <f aca="false">IF(2_Daily_input!DP44="","",2_Daily_input!DP44)</f>
        <v/>
      </c>
      <c r="DQ53" s="57" t="str">
        <f aca="false">IF(2_Daily_input!DQ44="","",2_Daily_input!DQ44)</f>
        <v/>
      </c>
      <c r="DR53" s="57" t="str">
        <f aca="false">IF(2_Daily_input!DR44="","",2_Daily_input!DR44)</f>
        <v/>
      </c>
      <c r="DS53" s="57" t="str">
        <f aca="false">IF(2_Daily_input!DS44="","",2_Daily_input!DS44)</f>
        <v/>
      </c>
      <c r="DT53" s="57" t="str">
        <f aca="false">IF(2_Daily_input!DT44="","",2_Daily_input!DT44)</f>
        <v/>
      </c>
      <c r="DU53" s="57" t="str">
        <f aca="false">IF(2_Daily_input!DU44="","",2_Daily_input!DU44)</f>
        <v/>
      </c>
      <c r="DV53" s="57" t="str">
        <f aca="false">IF(2_Daily_input!DV44="","",2_Daily_input!DV44)</f>
        <v/>
      </c>
      <c r="DW53" s="57" t="str">
        <f aca="false">IF(2_Daily_input!DW44="","",2_Daily_input!DW44)</f>
        <v/>
      </c>
      <c r="DX53" s="57" t="str">
        <f aca="false">IF(2_Daily_input!DX44="","",2_Daily_input!DX44)</f>
        <v/>
      </c>
      <c r="DY53" s="57" t="str">
        <f aca="false">IF(2_Daily_input!DY44="","",2_Daily_input!DY44)</f>
        <v/>
      </c>
      <c r="DZ53" s="57" t="str">
        <f aca="false">IF(2_Daily_input!DZ44="","",2_Daily_input!DZ44)</f>
        <v/>
      </c>
      <c r="EA53" s="57" t="str">
        <f aca="false">IF(2_Daily_input!EA44="","",2_Daily_input!EA44)</f>
        <v/>
      </c>
      <c r="EB53" s="57" t="str">
        <f aca="false">IF(2_Daily_input!EB44="","",2_Daily_input!EB44)</f>
        <v/>
      </c>
      <c r="EC53" s="57" t="str">
        <f aca="false">IF(2_Daily_input!EC44="","",2_Daily_input!EC44)</f>
        <v/>
      </c>
      <c r="ED53" s="57" t="str">
        <f aca="false">IF(2_Daily_input!ED44="","",2_Daily_input!ED44)</f>
        <v/>
      </c>
      <c r="EE53" s="57" t="str">
        <f aca="false">IF(2_Daily_input!EE44="","",2_Daily_input!EE44)</f>
        <v/>
      </c>
      <c r="EF53" s="57" t="str">
        <f aca="false">IF(2_Daily_input!EF44="","",2_Daily_input!EF44)</f>
        <v/>
      </c>
      <c r="EG53" s="57" t="str">
        <f aca="false">IF(2_Daily_input!EG44="","",2_Daily_input!EG44)</f>
        <v/>
      </c>
      <c r="EH53" s="57" t="str">
        <f aca="false">IF(2_Daily_input!EH44="","",2_Daily_input!EH44)</f>
        <v/>
      </c>
      <c r="EI53" s="57" t="str">
        <f aca="false">IF(2_Daily_input!EI44="","",2_Daily_input!EI44)</f>
        <v/>
      </c>
      <c r="EJ53" s="57" t="str">
        <f aca="false">IF(2_Daily_input!EJ44="","",2_Daily_input!EJ44)</f>
        <v/>
      </c>
      <c r="EK53" s="57" t="str">
        <f aca="false">IF(2_Daily_input!EK44="","",2_Daily_input!EK44)</f>
        <v/>
      </c>
      <c r="EL53" s="57" t="str">
        <f aca="false">IF(2_Daily_input!EL44="","",2_Daily_input!EL44)</f>
        <v/>
      </c>
      <c r="EM53" s="57" t="str">
        <f aca="false">IF(2_Daily_input!EM44="","",2_Daily_input!EM44)</f>
        <v/>
      </c>
      <c r="EN53" s="57" t="str">
        <f aca="false">IF(2_Daily_input!EN44="","",2_Daily_input!EN44)</f>
        <v/>
      </c>
      <c r="EO53" s="57" t="str">
        <f aca="false">IF(2_Daily_input!EO44="","",2_Daily_input!EO44)</f>
        <v/>
      </c>
      <c r="EP53" s="57" t="str">
        <f aca="false">IF(2_Daily_input!EP44="","",2_Daily_input!EP44)</f>
        <v/>
      </c>
      <c r="EQ53" s="57" t="str">
        <f aca="false">IF(2_Daily_input!EQ44="","",2_Daily_input!EQ44)</f>
        <v/>
      </c>
      <c r="ER53" s="57" t="str">
        <f aca="false">IF(2_Daily_input!ER44="","",2_Daily_input!ER44)</f>
        <v/>
      </c>
      <c r="ES53" s="57" t="str">
        <f aca="false">IF(2_Daily_input!ES44="","",2_Daily_input!ES44)</f>
        <v/>
      </c>
      <c r="ET53" s="57" t="str">
        <f aca="false">IF(2_Daily_input!ET44="","",2_Daily_input!ET44)</f>
        <v/>
      </c>
      <c r="EU53" s="57" t="str">
        <f aca="false">IF(2_Daily_input!EU44="","",2_Daily_input!EU44)</f>
        <v/>
      </c>
      <c r="EV53" s="57" t="str">
        <f aca="false">IF(2_Daily_input!EV44="","",2_Daily_input!EV44)</f>
        <v/>
      </c>
      <c r="EW53" s="57" t="str">
        <f aca="false">IF(2_Daily_input!EW44="","",2_Daily_input!EW44)</f>
        <v/>
      </c>
      <c r="EX53" s="57" t="str">
        <f aca="false">IF(2_Daily_input!EX44="","",2_Daily_input!EX44)</f>
        <v/>
      </c>
      <c r="EY53" s="57" t="str">
        <f aca="false">IF(2_Daily_input!EY44="","",2_Daily_input!EY44)</f>
        <v/>
      </c>
      <c r="EZ53" s="57" t="str">
        <f aca="false">IF(2_Daily_input!EZ44="","",2_Daily_input!EZ44)</f>
        <v/>
      </c>
      <c r="FA53" s="57" t="str">
        <f aca="false">IF(2_Daily_input!FA44="","",2_Daily_input!FA44)</f>
        <v/>
      </c>
      <c r="FB53" s="57" t="str">
        <f aca="false">IF(2_Daily_input!FB44="","",2_Daily_input!FB44)</f>
        <v/>
      </c>
      <c r="FC53" s="57" t="str">
        <f aca="false">IF(2_Daily_input!FC44="","",2_Daily_input!FC44)</f>
        <v/>
      </c>
      <c r="FD53" s="57" t="str">
        <f aca="false">IF(2_Daily_input!FD44="","",2_Daily_input!FD44)</f>
        <v/>
      </c>
      <c r="FE53" s="57" t="str">
        <f aca="false">IF(2_Daily_input!FE44="","",2_Daily_input!FE44)</f>
        <v/>
      </c>
      <c r="FF53" s="57" t="str">
        <f aca="false">IF(2_Daily_input!FF44="","",2_Daily_input!FF44)</f>
        <v/>
      </c>
      <c r="FG53" s="57" t="str">
        <f aca="false">IF(2_Daily_input!FG44="","",2_Daily_input!FG44)</f>
        <v/>
      </c>
      <c r="FH53" s="57" t="str">
        <f aca="false">IF(2_Daily_input!FH44="","",2_Daily_input!FH44)</f>
        <v/>
      </c>
      <c r="FI53" s="57" t="str">
        <f aca="false">IF(2_Daily_input!FI44="","",2_Daily_input!FI44)</f>
        <v/>
      </c>
      <c r="FJ53" s="57" t="str">
        <f aca="false">IF(2_Daily_input!FJ44="","",2_Daily_input!FJ44)</f>
        <v/>
      </c>
      <c r="FK53" s="57" t="str">
        <f aca="false">IF(2_Daily_input!FK44="","",2_Daily_input!FK44)</f>
        <v/>
      </c>
      <c r="FL53" s="57" t="str">
        <f aca="false">IF(2_Daily_input!FL44="","",2_Daily_input!FL44)</f>
        <v/>
      </c>
      <c r="FM53" s="57" t="str">
        <f aca="false">IF(2_Daily_input!FM44="","",2_Daily_input!FM44)</f>
        <v/>
      </c>
      <c r="FN53" s="57" t="str">
        <f aca="false">IF(2_Daily_input!FN44="","",2_Daily_input!FN44)</f>
        <v/>
      </c>
      <c r="FO53" s="57" t="str">
        <f aca="false">IF(2_Daily_input!FO44="","",2_Daily_input!FO44)</f>
        <v/>
      </c>
      <c r="FP53" s="57" t="str">
        <f aca="false">IF(2_Daily_input!FP44="","",2_Daily_input!FP44)</f>
        <v/>
      </c>
      <c r="FQ53" s="57" t="str">
        <f aca="false">IF(2_Daily_input!FQ44="","",2_Daily_input!FQ44)</f>
        <v/>
      </c>
    </row>
    <row r="54" customFormat="false" ht="15" hidden="false" customHeight="false" outlineLevel="0" collapsed="false">
      <c r="A54" s="33" t="s">
        <v>83</v>
      </c>
      <c r="B54" s="20" t="s">
        <v>428</v>
      </c>
      <c r="D54" s="57" t="str">
        <f aca="false">IF(2_Daily_input!D45="","",2_Daily_input!D45)</f>
        <v/>
      </c>
      <c r="E54" s="57" t="str">
        <f aca="false">IF(2_Daily_input!E45="","",2_Daily_input!E45)</f>
        <v/>
      </c>
      <c r="F54" s="57" t="str">
        <f aca="false">IF(2_Daily_input!F45="","",2_Daily_input!F45)</f>
        <v/>
      </c>
      <c r="G54" s="57" t="str">
        <f aca="false">IF(2_Daily_input!G45="","",2_Daily_input!G45)</f>
        <v/>
      </c>
      <c r="H54" s="57" t="str">
        <f aca="false">IF(2_Daily_input!H45="","",2_Daily_input!H45)</f>
        <v/>
      </c>
      <c r="I54" s="57" t="str">
        <f aca="false">IF(2_Daily_input!I45="","",2_Daily_input!I45)</f>
        <v/>
      </c>
      <c r="J54" s="57" t="str">
        <f aca="false">IF(2_Daily_input!J45="","",2_Daily_input!J45)</f>
        <v/>
      </c>
      <c r="K54" s="57" t="str">
        <f aca="false">IF(2_Daily_input!K45="","",2_Daily_input!K45)</f>
        <v/>
      </c>
      <c r="L54" s="57" t="str">
        <f aca="false">IF(2_Daily_input!L45="","",2_Daily_input!L45)</f>
        <v/>
      </c>
      <c r="M54" s="57" t="str">
        <f aca="false">IF(2_Daily_input!M45="","",2_Daily_input!M45)</f>
        <v/>
      </c>
      <c r="N54" s="57" t="str">
        <f aca="false">IF(2_Daily_input!N45="","",2_Daily_input!N45)</f>
        <v/>
      </c>
      <c r="O54" s="57" t="str">
        <f aca="false">IF(2_Daily_input!O45="","",2_Daily_input!O45)</f>
        <v/>
      </c>
      <c r="P54" s="57" t="str">
        <f aca="false">IF(2_Daily_input!P45="","",2_Daily_input!P45)</f>
        <v/>
      </c>
      <c r="Q54" s="57" t="str">
        <f aca="false">IF(2_Daily_input!Q45="","",2_Daily_input!Q45)</f>
        <v/>
      </c>
      <c r="R54" s="57" t="str">
        <f aca="false">IF(2_Daily_input!R45="","",2_Daily_input!R45)</f>
        <v/>
      </c>
      <c r="S54" s="57" t="str">
        <f aca="false">IF(2_Daily_input!S45="","",2_Daily_input!S45)</f>
        <v/>
      </c>
      <c r="T54" s="57" t="str">
        <f aca="false">IF(2_Daily_input!T45="","",2_Daily_input!T45)</f>
        <v/>
      </c>
      <c r="U54" s="57" t="str">
        <f aca="false">IF(2_Daily_input!U45="","",2_Daily_input!U45)</f>
        <v/>
      </c>
      <c r="V54" s="57" t="str">
        <f aca="false">IF(2_Daily_input!V45="","",2_Daily_input!V45)</f>
        <v/>
      </c>
      <c r="W54" s="57" t="str">
        <f aca="false">IF(2_Daily_input!W45="","",2_Daily_input!W45)</f>
        <v/>
      </c>
      <c r="X54" s="57" t="str">
        <f aca="false">IF(2_Daily_input!X45="","",2_Daily_input!X45)</f>
        <v/>
      </c>
      <c r="Y54" s="57" t="str">
        <f aca="false">IF(2_Daily_input!Y45="","",2_Daily_input!Y45)</f>
        <v/>
      </c>
      <c r="Z54" s="57" t="str">
        <f aca="false">IF(2_Daily_input!Z45="","",2_Daily_input!Z45)</f>
        <v/>
      </c>
      <c r="AA54" s="57" t="str">
        <f aca="false">IF(2_Daily_input!AA45="","",2_Daily_input!AA45)</f>
        <v/>
      </c>
      <c r="AB54" s="57" t="str">
        <f aca="false">IF(2_Daily_input!AB45="","",2_Daily_input!AB45)</f>
        <v/>
      </c>
      <c r="AC54" s="57" t="str">
        <f aca="false">IF(2_Daily_input!AC45="","",2_Daily_input!AC45)</f>
        <v/>
      </c>
      <c r="AD54" s="57" t="str">
        <f aca="false">IF(2_Daily_input!AD45="","",2_Daily_input!AD45)</f>
        <v/>
      </c>
      <c r="AE54" s="57" t="str">
        <f aca="false">IF(2_Daily_input!AE45="","",2_Daily_input!AE45)</f>
        <v/>
      </c>
      <c r="AF54" s="57" t="str">
        <f aca="false">IF(2_Daily_input!AF45="","",2_Daily_input!AF45)</f>
        <v/>
      </c>
      <c r="AG54" s="57" t="str">
        <f aca="false">IF(2_Daily_input!AG45="","",2_Daily_input!AG45)</f>
        <v/>
      </c>
      <c r="AH54" s="57" t="str">
        <f aca="false">IF(2_Daily_input!AH45="","",2_Daily_input!AH45)</f>
        <v/>
      </c>
      <c r="AI54" s="57" t="str">
        <f aca="false">IF(2_Daily_input!AI45="","",2_Daily_input!AI45)</f>
        <v/>
      </c>
      <c r="AJ54" s="57" t="str">
        <f aca="false">IF(2_Daily_input!AJ45="","",2_Daily_input!AJ45)</f>
        <v/>
      </c>
      <c r="AK54" s="57" t="str">
        <f aca="false">IF(2_Daily_input!AK45="","",2_Daily_input!AK45)</f>
        <v/>
      </c>
      <c r="AL54" s="57" t="str">
        <f aca="false">IF(2_Daily_input!AL45="","",2_Daily_input!AL45)</f>
        <v/>
      </c>
      <c r="AM54" s="57" t="str">
        <f aca="false">IF(2_Daily_input!AM45="","",2_Daily_input!AM45)</f>
        <v/>
      </c>
      <c r="AN54" s="57" t="str">
        <f aca="false">IF(2_Daily_input!AN45="","",2_Daily_input!AN45)</f>
        <v/>
      </c>
      <c r="AO54" s="57" t="str">
        <f aca="false">IF(2_Daily_input!AO45="","",2_Daily_input!AO45)</f>
        <v/>
      </c>
      <c r="AP54" s="57" t="str">
        <f aca="false">IF(2_Daily_input!AP45="","",2_Daily_input!AP45)</f>
        <v/>
      </c>
      <c r="AQ54" s="57" t="str">
        <f aca="false">IF(2_Daily_input!AQ45="","",2_Daily_input!AQ45)</f>
        <v/>
      </c>
      <c r="AR54" s="57" t="str">
        <f aca="false">IF(2_Daily_input!AR45="","",2_Daily_input!AR45)</f>
        <v/>
      </c>
      <c r="AS54" s="57" t="str">
        <f aca="false">IF(2_Daily_input!AS45="","",2_Daily_input!AS45)</f>
        <v/>
      </c>
      <c r="AT54" s="57" t="str">
        <f aca="false">IF(2_Daily_input!AT45="","",2_Daily_input!AT45)</f>
        <v/>
      </c>
      <c r="AU54" s="57" t="str">
        <f aca="false">IF(2_Daily_input!AU45="","",2_Daily_input!AU45)</f>
        <v/>
      </c>
      <c r="AV54" s="57" t="str">
        <f aca="false">IF(2_Daily_input!AV45="","",2_Daily_input!AV45)</f>
        <v/>
      </c>
      <c r="AW54" s="57" t="str">
        <f aca="false">IF(2_Daily_input!AW45="","",2_Daily_input!AW45)</f>
        <v/>
      </c>
      <c r="AX54" s="57" t="str">
        <f aca="false">IF(2_Daily_input!AX45="","",2_Daily_input!AX45)</f>
        <v/>
      </c>
      <c r="AY54" s="57" t="str">
        <f aca="false">IF(2_Daily_input!AY45="","",2_Daily_input!AY45)</f>
        <v/>
      </c>
      <c r="AZ54" s="57" t="str">
        <f aca="false">IF(2_Daily_input!AZ45="","",2_Daily_input!AZ45)</f>
        <v/>
      </c>
      <c r="BA54" s="57" t="str">
        <f aca="false">IF(2_Daily_input!BA45="","",2_Daily_input!BA45)</f>
        <v/>
      </c>
      <c r="BB54" s="57" t="str">
        <f aca="false">IF(2_Daily_input!BB45="","",2_Daily_input!BB45)</f>
        <v/>
      </c>
      <c r="BC54" s="57" t="str">
        <f aca="false">IF(2_Daily_input!BC45="","",2_Daily_input!BC45)</f>
        <v/>
      </c>
      <c r="BD54" s="57" t="str">
        <f aca="false">IF(2_Daily_input!BD45="","",2_Daily_input!BD45)</f>
        <v/>
      </c>
      <c r="BE54" s="57" t="str">
        <f aca="false">IF(2_Daily_input!BE45="","",2_Daily_input!BE45)</f>
        <v/>
      </c>
      <c r="BF54" s="57" t="str">
        <f aca="false">IF(2_Daily_input!BF45="","",2_Daily_input!BF45)</f>
        <v/>
      </c>
      <c r="BG54" s="57" t="str">
        <f aca="false">IF(2_Daily_input!BG45="","",2_Daily_input!BG45)</f>
        <v/>
      </c>
      <c r="BH54" s="57" t="str">
        <f aca="false">IF(2_Daily_input!BH45="","",2_Daily_input!BH45)</f>
        <v/>
      </c>
      <c r="BI54" s="57" t="str">
        <f aca="false">IF(2_Daily_input!BI45="","",2_Daily_input!BI45)</f>
        <v/>
      </c>
      <c r="BJ54" s="57" t="str">
        <f aca="false">IF(2_Daily_input!BJ45="","",2_Daily_input!BJ45)</f>
        <v/>
      </c>
      <c r="BK54" s="57" t="str">
        <f aca="false">IF(2_Daily_input!BK45="","",2_Daily_input!BK45)</f>
        <v/>
      </c>
      <c r="BL54" s="57" t="str">
        <f aca="false">IF(2_Daily_input!BL45="","",2_Daily_input!BL45)</f>
        <v/>
      </c>
      <c r="BM54" s="57" t="str">
        <f aca="false">IF(2_Daily_input!BM45="","",2_Daily_input!BM45)</f>
        <v/>
      </c>
      <c r="BN54" s="57" t="str">
        <f aca="false">IF(2_Daily_input!BN45="","",2_Daily_input!BN45)</f>
        <v/>
      </c>
      <c r="BO54" s="57" t="str">
        <f aca="false">IF(2_Daily_input!BO45="","",2_Daily_input!BO45)</f>
        <v/>
      </c>
      <c r="BP54" s="57" t="str">
        <f aca="false">IF(2_Daily_input!BP45="","",2_Daily_input!BP45)</f>
        <v/>
      </c>
      <c r="BQ54" s="57" t="str">
        <f aca="false">IF(2_Daily_input!BQ45="","",2_Daily_input!BQ45)</f>
        <v/>
      </c>
      <c r="BR54" s="57" t="str">
        <f aca="false">IF(2_Daily_input!BR45="","",2_Daily_input!BR45)</f>
        <v/>
      </c>
      <c r="BS54" s="57" t="str">
        <f aca="false">IF(2_Daily_input!BS45="","",2_Daily_input!BS45)</f>
        <v/>
      </c>
      <c r="BT54" s="57" t="str">
        <f aca="false">IF(2_Daily_input!BT45="","",2_Daily_input!BT45)</f>
        <v/>
      </c>
      <c r="BU54" s="57" t="str">
        <f aca="false">IF(2_Daily_input!BU45="","",2_Daily_input!BU45)</f>
        <v/>
      </c>
      <c r="BV54" s="57" t="str">
        <f aca="false">IF(2_Daily_input!BV45="","",2_Daily_input!BV45)</f>
        <v/>
      </c>
      <c r="BW54" s="57" t="str">
        <f aca="false">IF(2_Daily_input!BW45="","",2_Daily_input!BW45)</f>
        <v/>
      </c>
      <c r="BX54" s="57" t="str">
        <f aca="false">IF(2_Daily_input!BX45="","",2_Daily_input!BX45)</f>
        <v/>
      </c>
      <c r="BY54" s="57" t="str">
        <f aca="false">IF(2_Daily_input!BY45="","",2_Daily_input!BY45)</f>
        <v/>
      </c>
      <c r="BZ54" s="57" t="str">
        <f aca="false">IF(2_Daily_input!BZ45="","",2_Daily_input!BZ45)</f>
        <v/>
      </c>
      <c r="CA54" s="57" t="str">
        <f aca="false">IF(2_Daily_input!CA45="","",2_Daily_input!CA45)</f>
        <v/>
      </c>
      <c r="CB54" s="57" t="str">
        <f aca="false">IF(2_Daily_input!CB45="","",2_Daily_input!CB45)</f>
        <v/>
      </c>
      <c r="CC54" s="57" t="str">
        <f aca="false">IF(2_Daily_input!CC45="","",2_Daily_input!CC45)</f>
        <v/>
      </c>
      <c r="CD54" s="57" t="str">
        <f aca="false">IF(2_Daily_input!CD45="","",2_Daily_input!CD45)</f>
        <v/>
      </c>
      <c r="CE54" s="57" t="str">
        <f aca="false">IF(2_Daily_input!CE45="","",2_Daily_input!CE45)</f>
        <v/>
      </c>
      <c r="CF54" s="57" t="str">
        <f aca="false">IF(2_Daily_input!CF45="","",2_Daily_input!CF45)</f>
        <v/>
      </c>
      <c r="CG54" s="57" t="str">
        <f aca="false">IF(2_Daily_input!CG45="","",2_Daily_input!CG45)</f>
        <v/>
      </c>
      <c r="CH54" s="57" t="str">
        <f aca="false">IF(2_Daily_input!CH45="","",2_Daily_input!CH45)</f>
        <v/>
      </c>
      <c r="CI54" s="57" t="str">
        <f aca="false">IF(2_Daily_input!CI45="","",2_Daily_input!CI45)</f>
        <v/>
      </c>
      <c r="CJ54" s="57" t="str">
        <f aca="false">IF(2_Daily_input!CJ45="","",2_Daily_input!CJ45)</f>
        <v/>
      </c>
      <c r="CK54" s="57" t="str">
        <f aca="false">IF(2_Daily_input!CK45="","",2_Daily_input!CK45)</f>
        <v/>
      </c>
      <c r="CL54" s="57" t="str">
        <f aca="false">IF(2_Daily_input!CL45="","",2_Daily_input!CL45)</f>
        <v/>
      </c>
      <c r="CM54" s="57" t="str">
        <f aca="false">IF(2_Daily_input!CM45="","",2_Daily_input!CM45)</f>
        <v/>
      </c>
      <c r="CN54" s="57" t="str">
        <f aca="false">IF(2_Daily_input!CN45="","",2_Daily_input!CN45)</f>
        <v/>
      </c>
      <c r="CO54" s="57" t="str">
        <f aca="false">IF(2_Daily_input!CO45="","",2_Daily_input!CO45)</f>
        <v/>
      </c>
      <c r="CP54" s="57" t="str">
        <f aca="false">IF(2_Daily_input!CP45="","",2_Daily_input!CP45)</f>
        <v/>
      </c>
      <c r="CQ54" s="57" t="str">
        <f aca="false">IF(2_Daily_input!CQ45="","",2_Daily_input!CQ45)</f>
        <v/>
      </c>
      <c r="CR54" s="57" t="str">
        <f aca="false">IF(2_Daily_input!CR45="","",2_Daily_input!CR45)</f>
        <v/>
      </c>
      <c r="CS54" s="57" t="str">
        <f aca="false">IF(2_Daily_input!CS45="","",2_Daily_input!CS45)</f>
        <v/>
      </c>
      <c r="CT54" s="57" t="str">
        <f aca="false">IF(2_Daily_input!CT45="","",2_Daily_input!CT45)</f>
        <v/>
      </c>
      <c r="CU54" s="57" t="str">
        <f aca="false">IF(2_Daily_input!CU45="","",2_Daily_input!CU45)</f>
        <v/>
      </c>
      <c r="CV54" s="57" t="str">
        <f aca="false">IF(2_Daily_input!CV45="","",2_Daily_input!CV45)</f>
        <v/>
      </c>
      <c r="CW54" s="57" t="str">
        <f aca="false">IF(2_Daily_input!CW45="","",2_Daily_input!CW45)</f>
        <v/>
      </c>
      <c r="CX54" s="57" t="str">
        <f aca="false">IF(2_Daily_input!CX45="","",2_Daily_input!CX45)</f>
        <v/>
      </c>
      <c r="CY54" s="57" t="str">
        <f aca="false">IF(2_Daily_input!CY45="","",2_Daily_input!CY45)</f>
        <v/>
      </c>
      <c r="CZ54" s="57" t="str">
        <f aca="false">IF(2_Daily_input!CZ45="","",2_Daily_input!CZ45)</f>
        <v/>
      </c>
      <c r="DA54" s="57" t="str">
        <f aca="false">IF(2_Daily_input!DA45="","",2_Daily_input!DA45)</f>
        <v/>
      </c>
      <c r="DB54" s="57" t="str">
        <f aca="false">IF(2_Daily_input!DB45="","",2_Daily_input!DB45)</f>
        <v/>
      </c>
      <c r="DC54" s="57" t="str">
        <f aca="false">IF(2_Daily_input!DC45="","",2_Daily_input!DC45)</f>
        <v/>
      </c>
      <c r="DD54" s="57" t="str">
        <f aca="false">IF(2_Daily_input!DD45="","",2_Daily_input!DD45)</f>
        <v/>
      </c>
      <c r="DE54" s="57" t="str">
        <f aca="false">IF(2_Daily_input!DE45="","",2_Daily_input!DE45)</f>
        <v/>
      </c>
      <c r="DF54" s="57" t="str">
        <f aca="false">IF(2_Daily_input!DF45="","",2_Daily_input!DF45)</f>
        <v/>
      </c>
      <c r="DG54" s="57" t="str">
        <f aca="false">IF(2_Daily_input!DG45="","",2_Daily_input!DG45)</f>
        <v/>
      </c>
      <c r="DH54" s="57" t="str">
        <f aca="false">IF(2_Daily_input!DH45="","",2_Daily_input!DH45)</f>
        <v/>
      </c>
      <c r="DI54" s="57" t="str">
        <f aca="false">IF(2_Daily_input!DI45="","",2_Daily_input!DI45)</f>
        <v/>
      </c>
      <c r="DJ54" s="57" t="str">
        <f aca="false">IF(2_Daily_input!DJ45="","",2_Daily_input!DJ45)</f>
        <v/>
      </c>
      <c r="DK54" s="57" t="str">
        <f aca="false">IF(2_Daily_input!DK45="","",2_Daily_input!DK45)</f>
        <v/>
      </c>
      <c r="DL54" s="57" t="str">
        <f aca="false">IF(2_Daily_input!DL45="","",2_Daily_input!DL45)</f>
        <v/>
      </c>
      <c r="DM54" s="57" t="str">
        <f aca="false">IF(2_Daily_input!DM45="","",2_Daily_input!DM45)</f>
        <v/>
      </c>
      <c r="DN54" s="57" t="str">
        <f aca="false">IF(2_Daily_input!DN45="","",2_Daily_input!DN45)</f>
        <v/>
      </c>
      <c r="DO54" s="57" t="str">
        <f aca="false">IF(2_Daily_input!DO45="","",2_Daily_input!DO45)</f>
        <v/>
      </c>
      <c r="DP54" s="57" t="str">
        <f aca="false">IF(2_Daily_input!DP45="","",2_Daily_input!DP45)</f>
        <v/>
      </c>
      <c r="DQ54" s="57" t="str">
        <f aca="false">IF(2_Daily_input!DQ45="","",2_Daily_input!DQ45)</f>
        <v/>
      </c>
      <c r="DR54" s="57" t="str">
        <f aca="false">IF(2_Daily_input!DR45="","",2_Daily_input!DR45)</f>
        <v/>
      </c>
      <c r="DS54" s="57" t="str">
        <f aca="false">IF(2_Daily_input!DS45="","",2_Daily_input!DS45)</f>
        <v/>
      </c>
      <c r="DT54" s="57" t="str">
        <f aca="false">IF(2_Daily_input!DT45="","",2_Daily_input!DT45)</f>
        <v/>
      </c>
      <c r="DU54" s="57" t="str">
        <f aca="false">IF(2_Daily_input!DU45="","",2_Daily_input!DU45)</f>
        <v/>
      </c>
      <c r="DV54" s="57" t="str">
        <f aca="false">IF(2_Daily_input!DV45="","",2_Daily_input!DV45)</f>
        <v/>
      </c>
      <c r="DW54" s="57" t="str">
        <f aca="false">IF(2_Daily_input!DW45="","",2_Daily_input!DW45)</f>
        <v/>
      </c>
      <c r="DX54" s="57" t="str">
        <f aca="false">IF(2_Daily_input!DX45="","",2_Daily_input!DX45)</f>
        <v/>
      </c>
      <c r="DY54" s="57" t="str">
        <f aca="false">IF(2_Daily_input!DY45="","",2_Daily_input!DY45)</f>
        <v/>
      </c>
      <c r="DZ54" s="57" t="str">
        <f aca="false">IF(2_Daily_input!DZ45="","",2_Daily_input!DZ45)</f>
        <v/>
      </c>
      <c r="EA54" s="57" t="str">
        <f aca="false">IF(2_Daily_input!EA45="","",2_Daily_input!EA45)</f>
        <v/>
      </c>
      <c r="EB54" s="57" t="str">
        <f aca="false">IF(2_Daily_input!EB45="","",2_Daily_input!EB45)</f>
        <v/>
      </c>
      <c r="EC54" s="57" t="str">
        <f aca="false">IF(2_Daily_input!EC45="","",2_Daily_input!EC45)</f>
        <v/>
      </c>
      <c r="ED54" s="57" t="str">
        <f aca="false">IF(2_Daily_input!ED45="","",2_Daily_input!ED45)</f>
        <v/>
      </c>
      <c r="EE54" s="57" t="str">
        <f aca="false">IF(2_Daily_input!EE45="","",2_Daily_input!EE45)</f>
        <v/>
      </c>
      <c r="EF54" s="57" t="str">
        <f aca="false">IF(2_Daily_input!EF45="","",2_Daily_input!EF45)</f>
        <v/>
      </c>
      <c r="EG54" s="57" t="str">
        <f aca="false">IF(2_Daily_input!EG45="","",2_Daily_input!EG45)</f>
        <v/>
      </c>
      <c r="EH54" s="57" t="str">
        <f aca="false">IF(2_Daily_input!EH45="","",2_Daily_input!EH45)</f>
        <v/>
      </c>
      <c r="EI54" s="57" t="str">
        <f aca="false">IF(2_Daily_input!EI45="","",2_Daily_input!EI45)</f>
        <v/>
      </c>
      <c r="EJ54" s="57" t="str">
        <f aca="false">IF(2_Daily_input!EJ45="","",2_Daily_input!EJ45)</f>
        <v/>
      </c>
      <c r="EK54" s="57" t="str">
        <f aca="false">IF(2_Daily_input!EK45="","",2_Daily_input!EK45)</f>
        <v/>
      </c>
      <c r="EL54" s="57" t="str">
        <f aca="false">IF(2_Daily_input!EL45="","",2_Daily_input!EL45)</f>
        <v/>
      </c>
      <c r="EM54" s="57" t="str">
        <f aca="false">IF(2_Daily_input!EM45="","",2_Daily_input!EM45)</f>
        <v/>
      </c>
      <c r="EN54" s="57" t="str">
        <f aca="false">IF(2_Daily_input!EN45="","",2_Daily_input!EN45)</f>
        <v/>
      </c>
      <c r="EO54" s="57" t="str">
        <f aca="false">IF(2_Daily_input!EO45="","",2_Daily_input!EO45)</f>
        <v/>
      </c>
      <c r="EP54" s="57" t="str">
        <f aca="false">IF(2_Daily_input!EP45="","",2_Daily_input!EP45)</f>
        <v/>
      </c>
      <c r="EQ54" s="57" t="str">
        <f aca="false">IF(2_Daily_input!EQ45="","",2_Daily_input!EQ45)</f>
        <v/>
      </c>
      <c r="ER54" s="57" t="str">
        <f aca="false">IF(2_Daily_input!ER45="","",2_Daily_input!ER45)</f>
        <v/>
      </c>
      <c r="ES54" s="57" t="str">
        <f aca="false">IF(2_Daily_input!ES45="","",2_Daily_input!ES45)</f>
        <v/>
      </c>
      <c r="ET54" s="57" t="str">
        <f aca="false">IF(2_Daily_input!ET45="","",2_Daily_input!ET45)</f>
        <v/>
      </c>
      <c r="EU54" s="57" t="str">
        <f aca="false">IF(2_Daily_input!EU45="","",2_Daily_input!EU45)</f>
        <v/>
      </c>
      <c r="EV54" s="57" t="str">
        <f aca="false">IF(2_Daily_input!EV45="","",2_Daily_input!EV45)</f>
        <v/>
      </c>
      <c r="EW54" s="57" t="str">
        <f aca="false">IF(2_Daily_input!EW45="","",2_Daily_input!EW45)</f>
        <v/>
      </c>
      <c r="EX54" s="57" t="str">
        <f aca="false">IF(2_Daily_input!EX45="","",2_Daily_input!EX45)</f>
        <v/>
      </c>
      <c r="EY54" s="57" t="str">
        <f aca="false">IF(2_Daily_input!EY45="","",2_Daily_input!EY45)</f>
        <v/>
      </c>
      <c r="EZ54" s="57" t="str">
        <f aca="false">IF(2_Daily_input!EZ45="","",2_Daily_input!EZ45)</f>
        <v/>
      </c>
      <c r="FA54" s="57" t="str">
        <f aca="false">IF(2_Daily_input!FA45="","",2_Daily_input!FA45)</f>
        <v/>
      </c>
      <c r="FB54" s="57" t="str">
        <f aca="false">IF(2_Daily_input!FB45="","",2_Daily_input!FB45)</f>
        <v/>
      </c>
      <c r="FC54" s="57" t="str">
        <f aca="false">IF(2_Daily_input!FC45="","",2_Daily_input!FC45)</f>
        <v/>
      </c>
      <c r="FD54" s="57" t="str">
        <f aca="false">IF(2_Daily_input!FD45="","",2_Daily_input!FD45)</f>
        <v/>
      </c>
      <c r="FE54" s="57" t="str">
        <f aca="false">IF(2_Daily_input!FE45="","",2_Daily_input!FE45)</f>
        <v/>
      </c>
      <c r="FF54" s="57" t="str">
        <f aca="false">IF(2_Daily_input!FF45="","",2_Daily_input!FF45)</f>
        <v/>
      </c>
      <c r="FG54" s="57" t="str">
        <f aca="false">IF(2_Daily_input!FG45="","",2_Daily_input!FG45)</f>
        <v/>
      </c>
      <c r="FH54" s="57" t="str">
        <f aca="false">IF(2_Daily_input!FH45="","",2_Daily_input!FH45)</f>
        <v/>
      </c>
      <c r="FI54" s="57" t="str">
        <f aca="false">IF(2_Daily_input!FI45="","",2_Daily_input!FI45)</f>
        <v/>
      </c>
      <c r="FJ54" s="57" t="str">
        <f aca="false">IF(2_Daily_input!FJ45="","",2_Daily_input!FJ45)</f>
        <v/>
      </c>
      <c r="FK54" s="57" t="str">
        <f aca="false">IF(2_Daily_input!FK45="","",2_Daily_input!FK45)</f>
        <v/>
      </c>
      <c r="FL54" s="57" t="str">
        <f aca="false">IF(2_Daily_input!FL45="","",2_Daily_input!FL45)</f>
        <v/>
      </c>
      <c r="FM54" s="57" t="str">
        <f aca="false">IF(2_Daily_input!FM45="","",2_Daily_input!FM45)</f>
        <v/>
      </c>
      <c r="FN54" s="57" t="str">
        <f aca="false">IF(2_Daily_input!FN45="","",2_Daily_input!FN45)</f>
        <v/>
      </c>
      <c r="FO54" s="57" t="str">
        <f aca="false">IF(2_Daily_input!FO45="","",2_Daily_input!FO45)</f>
        <v/>
      </c>
      <c r="FP54" s="57" t="str">
        <f aca="false">IF(2_Daily_input!FP45="","",2_Daily_input!FP45)</f>
        <v/>
      </c>
      <c r="FQ54" s="57" t="str">
        <f aca="false">IF(2_Daily_input!FQ45="","",2_Daily_input!FQ45)</f>
        <v/>
      </c>
    </row>
    <row r="55" customFormat="false" ht="15" hidden="false" customHeight="false" outlineLevel="0" collapsed="false">
      <c r="A55" s="33" t="s">
        <v>83</v>
      </c>
      <c r="B55" s="20" t="s">
        <v>429</v>
      </c>
      <c r="D55" s="36" t="str">
        <f aca="false"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36" t="str">
        <f aca="false"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36" t="str">
        <f aca="false"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36" t="str">
        <f aca="false"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36" t="str">
        <f aca="false"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36" t="str">
        <f aca="false"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36" t="str">
        <f aca="false"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36" t="str">
        <f aca="false"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36" t="str">
        <f aca="false"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36" t="str">
        <f aca="false"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36" t="str">
        <f aca="false"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36" t="str">
        <f aca="false"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36" t="str">
        <f aca="false"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36" t="str">
        <f aca="false"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36" t="str">
        <f aca="false"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36" t="str">
        <f aca="false"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36" t="str">
        <f aca="false"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36" t="str">
        <f aca="false"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36" t="str">
        <f aca="false"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36" t="str">
        <f aca="false"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36" t="str">
        <f aca="false"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36" t="str">
        <f aca="false"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36" t="str">
        <f aca="false"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36" t="str">
        <f aca="false"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36" t="str">
        <f aca="false"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36" t="str">
        <f aca="false"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36" t="str">
        <f aca="false"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36" t="str">
        <f aca="false"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36" t="str">
        <f aca="false"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36" t="str">
        <f aca="false"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36" t="str">
        <f aca="false"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36" t="str">
        <f aca="false"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36" t="str">
        <f aca="false"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36" t="str">
        <f aca="false"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36" t="str">
        <f aca="false"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36" t="str">
        <f aca="false"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36" t="str">
        <f aca="false"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36" t="str">
        <f aca="false"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36" t="str">
        <f aca="false"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36" t="str">
        <f aca="false"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36" t="str">
        <f aca="false"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36" t="str">
        <f aca="false"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36" t="str">
        <f aca="false"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36" t="str">
        <f aca="false"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36" t="str">
        <f aca="false"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36" t="str">
        <f aca="false"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36" t="str">
        <f aca="false"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36" t="str">
        <f aca="false"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36" t="str">
        <f aca="false"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36" t="str">
        <f aca="false"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36" t="str">
        <f aca="false"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36" t="str">
        <f aca="false"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36" t="str">
        <f aca="false"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36" t="str">
        <f aca="false"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36" t="str">
        <f aca="false"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36" t="str">
        <f aca="false"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36" t="str">
        <f aca="false"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36" t="str">
        <f aca="false"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36" t="str">
        <f aca="false"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36" t="str">
        <f aca="false"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36" t="str">
        <f aca="false"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36" t="str">
        <f aca="false"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36" t="str">
        <f aca="false"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36" t="str">
        <f aca="false"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36" t="str">
        <f aca="false"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36" t="str">
        <f aca="false"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36" t="str">
        <f aca="false"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36" t="str">
        <f aca="false"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36" t="str">
        <f aca="false"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36" t="str">
        <f aca="false"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36" t="str">
        <f aca="false"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36" t="str">
        <f aca="false"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36" t="str">
        <f aca="false"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36" t="str">
        <f aca="false"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36" t="str">
        <f aca="false"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36" t="str">
        <f aca="false"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36" t="str">
        <f aca="false"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36" t="str">
        <f aca="false"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36" t="str">
        <f aca="false"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36" t="str">
        <f aca="false"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36" t="str">
        <f aca="false"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36" t="str">
        <f aca="false"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36" t="str">
        <f aca="false"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36" t="str">
        <f aca="false"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36" t="str">
        <f aca="false"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36" t="str">
        <f aca="false"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36" t="str">
        <f aca="false"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36" t="str">
        <f aca="false"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36" t="str">
        <f aca="false"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36" t="str">
        <f aca="false"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36" t="str">
        <f aca="false"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36" t="str">
        <f aca="false"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>WL jump &gt;5 cm; </v>
      </c>
      <c r="CR55" s="36" t="str">
        <f aca="false"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36" t="str">
        <f aca="false"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36" t="str">
        <f aca="false"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36" t="str">
        <f aca="false"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36" t="str">
        <f aca="false"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36" t="str">
        <f aca="false"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36" t="str">
        <f aca="false"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36" t="str">
        <f aca="false"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36" t="str">
        <f aca="false"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36" t="str">
        <f aca="false"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36" t="str">
        <f aca="false"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36" t="str">
        <f aca="false"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36" t="str">
        <f aca="false"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36" t="str">
        <f aca="false"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36" t="str">
        <f aca="false"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36" t="str">
        <f aca="false"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36" t="str">
        <f aca="false"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36" t="str">
        <f aca="false"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36" t="str">
        <f aca="false"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36" t="str">
        <f aca="false"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36" t="str">
        <f aca="false"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36" t="str">
        <f aca="false"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36" t="str">
        <f aca="false"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36" t="str">
        <f aca="false"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36" t="str">
        <f aca="false"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36" t="str">
        <f aca="false"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36" t="str">
        <f aca="false"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36" t="str">
        <f aca="false"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36" t="str">
        <f aca="false"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36" t="str">
        <f aca="false"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36" t="str">
        <f aca="false"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36" t="str">
        <f aca="false"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36" t="str">
        <f aca="false"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36" t="str">
        <f aca="false"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36" t="str">
        <f aca="false"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36" t="str">
        <f aca="false"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36" t="str">
        <f aca="false"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36" t="str">
        <f aca="false"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36" t="str">
        <f aca="false"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36" t="str">
        <f aca="false"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36" t="str">
        <f aca="false"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36" t="str">
        <f aca="false"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36" t="str">
        <f aca="false"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>WL jump &gt;5 cm; </v>
      </c>
      <c r="EI55" s="36" t="str">
        <f aca="false"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36" t="str">
        <f aca="false"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36" t="str">
        <f aca="false"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36" t="str">
        <f aca="false"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36" t="str">
        <f aca="false"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36" t="str">
        <f aca="false"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36" t="str">
        <f aca="false"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36" t="str">
        <f aca="false"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36" t="str">
        <f aca="false"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>WL jump &gt;5 cm; </v>
      </c>
      <c r="ER55" s="36" t="str">
        <f aca="false"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36" t="str">
        <f aca="false"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36" t="str">
        <f aca="false"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36" t="str">
        <f aca="false"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36" t="str">
        <f aca="false"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36" t="str">
        <f aca="false"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36" t="str">
        <f aca="false"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36" t="str">
        <f aca="false"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36" t="str">
        <f aca="false"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36" t="str">
        <f aca="false"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36" t="str">
        <f aca="false"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36" t="str">
        <f aca="false"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36" t="str">
        <f aca="false"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36" t="str">
        <f aca="false"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36" t="str">
        <f aca="false"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36" t="str">
        <f aca="false"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36" t="str">
        <f aca="false"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36" t="str">
        <f aca="false"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36" t="str">
        <f aca="false"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36" t="str">
        <f aca="false"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36" t="str">
        <f aca="false"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36" t="str">
        <f aca="false"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36" t="str">
        <f aca="false"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36" t="str">
        <f aca="false"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36" t="str">
        <f aca="false"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36" t="str">
        <f aca="false"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customFormat="false" ht="15" hidden="true" customHeight="false" outlineLevel="0" collapsed="false">
      <c r="A56" s="33" t="s">
        <v>83</v>
      </c>
      <c r="B56" s="62" t="s">
        <v>430</v>
      </c>
      <c r="D56" s="60" t="n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>46038</v>
      </c>
      <c r="E56" s="60" t="n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>46038</v>
      </c>
      <c r="F56" s="60" t="n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>46038</v>
      </c>
      <c r="G56" s="60" t="n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>46038</v>
      </c>
      <c r="H56" s="60" t="n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>46038</v>
      </c>
      <c r="I56" s="60" t="n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>46038</v>
      </c>
      <c r="J56" s="60" t="n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>46038</v>
      </c>
      <c r="K56" s="60" t="n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>46038</v>
      </c>
      <c r="L56" s="60" t="n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>46038</v>
      </c>
      <c r="M56" s="60" t="n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>46038</v>
      </c>
      <c r="N56" s="60" t="n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>46038</v>
      </c>
      <c r="O56" s="60" t="n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>46038</v>
      </c>
      <c r="P56" s="60" t="n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>46038</v>
      </c>
      <c r="Q56" s="60" t="n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>46038</v>
      </c>
      <c r="R56" s="60" t="n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>46038</v>
      </c>
      <c r="S56" s="60" t="n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>46038</v>
      </c>
      <c r="T56" s="60" t="n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>46038</v>
      </c>
      <c r="U56" s="60" t="n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>46038</v>
      </c>
      <c r="V56" s="60" t="n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>46038</v>
      </c>
      <c r="W56" s="60" t="n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>46038</v>
      </c>
      <c r="X56" s="60" t="n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>46038</v>
      </c>
      <c r="Y56" s="60" t="n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>46038</v>
      </c>
      <c r="Z56" s="60" t="n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>46038</v>
      </c>
      <c r="AA56" s="60" t="n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>46038</v>
      </c>
      <c r="AB56" s="60" t="n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>46038</v>
      </c>
      <c r="AC56" s="60" t="n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>46038</v>
      </c>
      <c r="AD56" s="60" t="n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>46038</v>
      </c>
      <c r="AE56" s="60" t="n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>46038</v>
      </c>
      <c r="AF56" s="60" t="n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>46038</v>
      </c>
      <c r="AG56" s="60" t="n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>46038</v>
      </c>
      <c r="AH56" s="60" t="n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>46038</v>
      </c>
      <c r="AI56" s="60" t="n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>46038</v>
      </c>
      <c r="AJ56" s="60" t="n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>46038</v>
      </c>
      <c r="AK56" s="60" t="n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>46038</v>
      </c>
      <c r="AL56" s="60" t="n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>46038</v>
      </c>
      <c r="AM56" s="60" t="n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>46038</v>
      </c>
      <c r="AN56" s="60" t="n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>46038</v>
      </c>
      <c r="AO56" s="60" t="n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>46038</v>
      </c>
      <c r="AP56" s="60" t="n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>46038</v>
      </c>
      <c r="AQ56" s="60" t="n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>46038</v>
      </c>
      <c r="AR56" s="60" t="n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>46038</v>
      </c>
      <c r="AS56" s="60" t="n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>46038</v>
      </c>
      <c r="AT56" s="60" t="n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>46038</v>
      </c>
      <c r="AU56" s="60" t="n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>46038</v>
      </c>
      <c r="AV56" s="60" t="n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>46038</v>
      </c>
      <c r="AW56" s="60" t="n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>46038</v>
      </c>
      <c r="AX56" s="60" t="n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>46038</v>
      </c>
      <c r="AY56" s="60" t="n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>46038</v>
      </c>
      <c r="AZ56" s="60" t="n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>46038</v>
      </c>
      <c r="BA56" s="60" t="n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>46038</v>
      </c>
      <c r="BB56" s="60" t="n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>46038</v>
      </c>
      <c r="BC56" s="60" t="n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>46038</v>
      </c>
      <c r="BD56" s="60" t="n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>46038</v>
      </c>
      <c r="BE56" s="60" t="n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>46038</v>
      </c>
      <c r="BF56" s="60" t="n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>46038</v>
      </c>
      <c r="BG56" s="60" t="n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>46038</v>
      </c>
      <c r="BH56" s="60" t="n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>46038</v>
      </c>
      <c r="BI56" s="60" t="n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>46038</v>
      </c>
      <c r="BJ56" s="60" t="n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>46038</v>
      </c>
      <c r="BK56" s="60" t="n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>46038</v>
      </c>
      <c r="BL56" s="60" t="n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>46038</v>
      </c>
      <c r="BM56" s="60" t="n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>46038</v>
      </c>
      <c r="BN56" s="60" t="n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>46038</v>
      </c>
      <c r="BO56" s="60" t="n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>46038</v>
      </c>
      <c r="BP56" s="60" t="n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>46038</v>
      </c>
      <c r="BQ56" s="60" t="n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>46038</v>
      </c>
      <c r="BR56" s="60" t="n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>46038</v>
      </c>
      <c r="BS56" s="60" t="n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>46038</v>
      </c>
      <c r="BT56" s="60" t="n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>46038</v>
      </c>
      <c r="BU56" s="60" t="n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>46038</v>
      </c>
      <c r="BV56" s="60" t="n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>46038</v>
      </c>
      <c r="BW56" s="60" t="n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>46038</v>
      </c>
      <c r="BX56" s="60" t="n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>46038</v>
      </c>
      <c r="BY56" s="60" t="n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>46038</v>
      </c>
      <c r="BZ56" s="60" t="n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>46038</v>
      </c>
      <c r="CA56" s="60" t="n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>46038</v>
      </c>
      <c r="CB56" s="60" t="n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>46038</v>
      </c>
      <c r="CC56" s="60" t="n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>46038</v>
      </c>
      <c r="CD56" s="60" t="n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>46038</v>
      </c>
      <c r="CE56" s="60" t="n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>46038</v>
      </c>
      <c r="CF56" s="60" t="n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>46038</v>
      </c>
      <c r="CG56" s="60" t="n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>46038</v>
      </c>
      <c r="CH56" s="60" t="n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>46038</v>
      </c>
      <c r="CI56" s="60" t="n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>46038</v>
      </c>
      <c r="CJ56" s="60" t="n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>46038</v>
      </c>
      <c r="CK56" s="60" t="n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>46071</v>
      </c>
      <c r="CL56" s="60" t="n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>46071</v>
      </c>
      <c r="CM56" s="60" t="n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>46071</v>
      </c>
      <c r="CN56" s="60" t="n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>46071</v>
      </c>
      <c r="CO56" s="60" t="n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>46071</v>
      </c>
      <c r="CP56" s="60" t="n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>46071</v>
      </c>
      <c r="CQ56" s="60" t="n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>46071</v>
      </c>
      <c r="CR56" s="60" t="n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>46071</v>
      </c>
      <c r="CS56" s="60" t="n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>46071</v>
      </c>
      <c r="CT56" s="60" t="n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>46071</v>
      </c>
      <c r="CU56" s="60" t="n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>46071</v>
      </c>
      <c r="CV56" s="60" t="n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>46071</v>
      </c>
      <c r="CW56" s="60" t="n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>46071</v>
      </c>
      <c r="CX56" s="60" t="n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>46071</v>
      </c>
      <c r="CY56" s="60" t="n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>46071</v>
      </c>
      <c r="CZ56" s="60" t="n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>46071</v>
      </c>
      <c r="DA56" s="60" t="n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>46071</v>
      </c>
      <c r="DB56" s="60" t="n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>46071</v>
      </c>
      <c r="DC56" s="60" t="n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>46071</v>
      </c>
      <c r="DD56" s="60" t="n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>46071</v>
      </c>
      <c r="DE56" s="60" t="n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>46071</v>
      </c>
      <c r="DF56" s="60" t="n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>46071</v>
      </c>
      <c r="DG56" s="60" t="n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>46071</v>
      </c>
      <c r="DH56" s="60" t="n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>46071</v>
      </c>
      <c r="DI56" s="60" t="n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>46071</v>
      </c>
      <c r="DJ56" s="60" t="n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>46071</v>
      </c>
      <c r="DK56" s="60" t="n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>46071</v>
      </c>
      <c r="DL56" s="60" t="n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>46071</v>
      </c>
      <c r="DM56" s="60" t="n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>46071</v>
      </c>
      <c r="DN56" s="60" t="n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>46071</v>
      </c>
      <c r="DO56" s="60" t="n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>46071</v>
      </c>
      <c r="DP56" s="60" t="n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>46071</v>
      </c>
      <c r="DQ56" s="60" t="n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>46071</v>
      </c>
      <c r="DR56" s="60" t="n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>46071</v>
      </c>
      <c r="DS56" s="60" t="n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>46071</v>
      </c>
      <c r="DT56" s="60" t="n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>46071</v>
      </c>
      <c r="DU56" s="60" t="n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>46071</v>
      </c>
      <c r="DV56" s="60" t="n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>46071</v>
      </c>
      <c r="DW56" s="60" t="n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>46071</v>
      </c>
      <c r="DX56" s="60" t="n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>46071</v>
      </c>
      <c r="DY56" s="60" t="n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>46071</v>
      </c>
      <c r="DZ56" s="60" t="n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>46071</v>
      </c>
      <c r="EA56" s="60" t="n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>46071</v>
      </c>
      <c r="EB56" s="60" t="n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>46071</v>
      </c>
      <c r="EC56" s="60" t="n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>46071</v>
      </c>
      <c r="ED56" s="60" t="n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>46071</v>
      </c>
      <c r="EE56" s="60" t="n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>46071</v>
      </c>
      <c r="EF56" s="60" t="n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>46071</v>
      </c>
      <c r="EG56" s="60" t="n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>46071</v>
      </c>
      <c r="EH56" s="60" t="n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>46071</v>
      </c>
      <c r="EI56" s="60" t="n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>46071</v>
      </c>
      <c r="EJ56" s="60" t="n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>46071</v>
      </c>
      <c r="EK56" s="60" t="n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>46071</v>
      </c>
      <c r="EL56" s="60" t="n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>46071</v>
      </c>
      <c r="EM56" s="60" t="n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>46071</v>
      </c>
      <c r="EN56" s="60" t="n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>46071</v>
      </c>
      <c r="EO56" s="60" t="n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>46071</v>
      </c>
      <c r="EP56" s="60" t="n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>46071</v>
      </c>
      <c r="EQ56" s="60" t="n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>46071</v>
      </c>
      <c r="ER56" s="60" t="n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>46071</v>
      </c>
      <c r="ES56" s="60" t="n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>46071</v>
      </c>
      <c r="ET56" s="60" t="n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>46071</v>
      </c>
      <c r="EU56" s="60" t="n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>46071</v>
      </c>
      <c r="EV56" s="60" t="n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>46071</v>
      </c>
      <c r="EW56" s="60" t="n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>46071</v>
      </c>
      <c r="EX56" s="60" t="n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>46071</v>
      </c>
      <c r="EY56" s="60" t="n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>46071</v>
      </c>
      <c r="EZ56" s="60" t="n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>46071</v>
      </c>
      <c r="FA56" s="60" t="n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>46071</v>
      </c>
      <c r="FB56" s="60" t="n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>46071</v>
      </c>
      <c r="FC56" s="60" t="n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>46071</v>
      </c>
      <c r="FD56" s="60" t="n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>46071</v>
      </c>
      <c r="FE56" s="60" t="n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>46071</v>
      </c>
      <c r="FF56" s="60" t="n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>46071</v>
      </c>
      <c r="FG56" s="60" t="n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>46071</v>
      </c>
      <c r="FH56" s="60" t="n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>46071</v>
      </c>
      <c r="FI56" s="60" t="n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>46071</v>
      </c>
      <c r="FJ56" s="60" t="n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>46071</v>
      </c>
      <c r="FK56" s="60" t="n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>46071</v>
      </c>
      <c r="FL56" s="60" t="n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>46071</v>
      </c>
      <c r="FM56" s="60" t="n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>46071</v>
      </c>
      <c r="FN56" s="60" t="n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>46071</v>
      </c>
      <c r="FO56" s="60" t="n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>46071</v>
      </c>
      <c r="FP56" s="60" t="n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>46071</v>
      </c>
      <c r="FQ56" s="60" t="n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>46071</v>
      </c>
    </row>
    <row r="57" customFormat="false" ht="15" hidden="true" customHeight="false" outlineLevel="0" collapsed="false">
      <c r="A57" s="33" t="s">
        <v>83</v>
      </c>
      <c r="B57" s="62" t="s">
        <v>431</v>
      </c>
      <c r="D57" s="27" t="str">
        <f aca="false">IF(D38="","",IF(ISNUMBER(D45),D45,D38))</f>
        <v/>
      </c>
      <c r="E57" s="27" t="str">
        <f aca="false">IF(E38="","",IF(ISNUMBER(E45),E45,E38))</f>
        <v/>
      </c>
      <c r="F57" s="27" t="str">
        <f aca="false">IF(F38="","",IF(ISNUMBER(F45),F45,F38))</f>
        <v/>
      </c>
      <c r="G57" s="27" t="str">
        <f aca="false">IF(G38="","",IF(ISNUMBER(G45),G45,G38))</f>
        <v/>
      </c>
      <c r="H57" s="27" t="str">
        <f aca="false">IF(H38="","",IF(ISNUMBER(H45),H45,H38))</f>
        <v/>
      </c>
      <c r="I57" s="27" t="str">
        <f aca="false">IF(I38="","",IF(ISNUMBER(I45),I45,I38))</f>
        <v/>
      </c>
      <c r="J57" s="27" t="str">
        <f aca="false">IF(J38="","",IF(ISNUMBER(J45),J45,J38))</f>
        <v/>
      </c>
      <c r="K57" s="27" t="str">
        <f aca="false">IF(K38="","",IF(ISNUMBER(K45),K45,K38))</f>
        <v/>
      </c>
      <c r="L57" s="27" t="str">
        <f aca="false">IF(L38="","",IF(ISNUMBER(L45),L45,L38))</f>
        <v/>
      </c>
      <c r="M57" s="27" t="str">
        <f aca="false">IF(M38="","",IF(ISNUMBER(M45),M45,M38))</f>
        <v/>
      </c>
      <c r="N57" s="27" t="str">
        <f aca="false">IF(N38="","",IF(ISNUMBER(N45),N45,N38))</f>
        <v/>
      </c>
      <c r="O57" s="27" t="str">
        <f aca="false">IF(O38="","",IF(ISNUMBER(O45),O45,O38))</f>
        <v/>
      </c>
      <c r="P57" s="27" t="str">
        <f aca="false">IF(P38="","",IF(ISNUMBER(P45),P45,P38))</f>
        <v/>
      </c>
      <c r="Q57" s="27" t="str">
        <f aca="false">IF(Q38="","",IF(ISNUMBER(Q45),Q45,Q38))</f>
        <v/>
      </c>
      <c r="R57" s="27" t="str">
        <f aca="false">IF(R38="","",IF(ISNUMBER(R45),R45,R38))</f>
        <v/>
      </c>
      <c r="S57" s="27" t="str">
        <f aca="false">IF(S38="","",IF(ISNUMBER(S45),S45,S38))</f>
        <v/>
      </c>
      <c r="T57" s="27" t="str">
        <f aca="false">IF(T38="","",IF(ISNUMBER(T45),T45,T38))</f>
        <v/>
      </c>
      <c r="U57" s="27" t="str">
        <f aca="false">IF(U38="","",IF(ISNUMBER(U45),U45,U38))</f>
        <v/>
      </c>
      <c r="V57" s="27" t="str">
        <f aca="false">IF(V38="","",IF(ISNUMBER(V45),V45,V38))</f>
        <v/>
      </c>
      <c r="W57" s="27" t="str">
        <f aca="false">IF(W38="","",IF(ISNUMBER(W45),W45,W38))</f>
        <v/>
      </c>
      <c r="X57" s="27" t="str">
        <f aca="false">IF(X38="","",IF(ISNUMBER(X45),X45,X38))</f>
        <v/>
      </c>
      <c r="Y57" s="27" t="str">
        <f aca="false">IF(Y38="","",IF(ISNUMBER(Y45),Y45,Y38))</f>
        <v/>
      </c>
      <c r="Z57" s="27" t="str">
        <f aca="false">IF(Z38="","",IF(ISNUMBER(Z45),Z45,Z38))</f>
        <v/>
      </c>
      <c r="AA57" s="27" t="str">
        <f aca="false">IF(AA38="","",IF(ISNUMBER(AA45),AA45,AA38))</f>
        <v/>
      </c>
      <c r="AB57" s="27" t="str">
        <f aca="false">IF(AB38="","",IF(ISNUMBER(AB45),AB45,AB38))</f>
        <v/>
      </c>
      <c r="AC57" s="27" t="str">
        <f aca="false">IF(AC38="","",IF(ISNUMBER(AC45),AC45,AC38))</f>
        <v/>
      </c>
      <c r="AD57" s="27" t="str">
        <f aca="false">IF(AD38="","",IF(ISNUMBER(AD45),AD45,AD38))</f>
        <v/>
      </c>
      <c r="AE57" s="27" t="str">
        <f aca="false">IF(AE38="","",IF(ISNUMBER(AE45),AE45,AE38))</f>
        <v/>
      </c>
      <c r="AF57" s="27" t="str">
        <f aca="false">IF(AF38="","",IF(ISNUMBER(AF45),AF45,AF38))</f>
        <v/>
      </c>
      <c r="AG57" s="27" t="str">
        <f aca="false">IF(AG38="","",IF(ISNUMBER(AG45),AG45,AG38))</f>
        <v/>
      </c>
      <c r="AH57" s="27" t="str">
        <f aca="false">IF(AH38="","",IF(ISNUMBER(AH45),AH45,AH38))</f>
        <v/>
      </c>
      <c r="AI57" s="27" t="str">
        <f aca="false">IF(AI38="","",IF(ISNUMBER(AI45),AI45,AI38))</f>
        <v/>
      </c>
      <c r="AJ57" s="27" t="str">
        <f aca="false">IF(AJ38="","",IF(ISNUMBER(AJ45),AJ45,AJ38))</f>
        <v/>
      </c>
      <c r="AK57" s="27" t="str">
        <f aca="false">IF(AK38="","",IF(ISNUMBER(AK45),AK45,AK38))</f>
        <v/>
      </c>
      <c r="AL57" s="27" t="str">
        <f aca="false">IF(AL38="","",IF(ISNUMBER(AL45),AL45,AL38))</f>
        <v/>
      </c>
      <c r="AM57" s="27" t="str">
        <f aca="false">IF(AM38="","",IF(ISNUMBER(AM45),AM45,AM38))</f>
        <v/>
      </c>
      <c r="AN57" s="27" t="str">
        <f aca="false">IF(AN38="","",IF(ISNUMBER(AN45),AN45,AN38))</f>
        <v/>
      </c>
      <c r="AO57" s="27" t="str">
        <f aca="false">IF(AO38="","",IF(ISNUMBER(AO45),AO45,AO38))</f>
        <v/>
      </c>
      <c r="AP57" s="27" t="str">
        <f aca="false">IF(AP38="","",IF(ISNUMBER(AP45),AP45,AP38))</f>
        <v/>
      </c>
      <c r="AQ57" s="27" t="str">
        <f aca="false">IF(AQ38="","",IF(ISNUMBER(AQ45),AQ45,AQ38))</f>
        <v/>
      </c>
      <c r="AR57" s="27" t="str">
        <f aca="false">IF(AR38="","",IF(ISNUMBER(AR45),AR45,AR38))</f>
        <v/>
      </c>
      <c r="AS57" s="27" t="str">
        <f aca="false">IF(AS38="","",IF(ISNUMBER(AS45),AS45,AS38))</f>
        <v/>
      </c>
      <c r="AT57" s="27" t="str">
        <f aca="false">IF(AT38="","",IF(ISNUMBER(AT45),AT45,AT38))</f>
        <v/>
      </c>
      <c r="AU57" s="27" t="str">
        <f aca="false">IF(AU38="","",IF(ISNUMBER(AU45),AU45,AU38))</f>
        <v/>
      </c>
      <c r="AV57" s="27" t="str">
        <f aca="false">IF(AV38="","",IF(ISNUMBER(AV45),AV45,AV38))</f>
        <v/>
      </c>
      <c r="AW57" s="27" t="str">
        <f aca="false">IF(AW38="","",IF(ISNUMBER(AW45),AW45,AW38))</f>
        <v/>
      </c>
      <c r="AX57" s="27" t="str">
        <f aca="false">IF(AX38="","",IF(ISNUMBER(AX45),AX45,AX38))</f>
        <v/>
      </c>
      <c r="AY57" s="27" t="str">
        <f aca="false">IF(AY38="","",IF(ISNUMBER(AY45),AY45,AY38))</f>
        <v/>
      </c>
      <c r="AZ57" s="27" t="str">
        <f aca="false">IF(AZ38="","",IF(ISNUMBER(AZ45),AZ45,AZ38))</f>
        <v/>
      </c>
      <c r="BA57" s="27" t="str">
        <f aca="false">IF(BA38="","",IF(ISNUMBER(BA45),BA45,BA38))</f>
        <v/>
      </c>
      <c r="BB57" s="27" t="str">
        <f aca="false">IF(BB38="","",IF(ISNUMBER(BB45),BB45,BB38))</f>
        <v/>
      </c>
      <c r="BC57" s="27" t="str">
        <f aca="false">IF(BC38="","",IF(ISNUMBER(BC45),BC45,BC38))</f>
        <v/>
      </c>
      <c r="BD57" s="27" t="n">
        <f aca="false">IF(BD38="","",IF(ISNUMBER(BD45),BD45,BD38))</f>
        <v>1.3</v>
      </c>
      <c r="BE57" s="27" t="n">
        <f aca="false">IF(BE38="","",IF(ISNUMBER(BE45),BE45,BE38))</f>
        <v>1.5</v>
      </c>
      <c r="BF57" s="27" t="n">
        <f aca="false">IF(BF38="","",IF(ISNUMBER(BF45),BF45,BF38))</f>
        <v>1.3</v>
      </c>
      <c r="BG57" s="27" t="n">
        <f aca="false">IF(BG38="","",IF(ISNUMBER(BG45),BG45,BG38))</f>
        <v>3.4</v>
      </c>
      <c r="BH57" s="27" t="n">
        <f aca="false">IF(BH38="","",IF(ISNUMBER(BH45),BH45,BH38))</f>
        <v>3.2</v>
      </c>
      <c r="BI57" s="27" t="n">
        <f aca="false">IF(BI38="","",IF(ISNUMBER(BI45),BI45,BI38))</f>
        <v>2.3</v>
      </c>
      <c r="BJ57" s="27" t="n">
        <f aca="false">IF(BJ38="","",IF(ISNUMBER(BJ45),BJ45,BJ38))</f>
        <v>2.1</v>
      </c>
      <c r="BK57" s="27" t="n">
        <f aca="false">IF(BK38="","",IF(ISNUMBER(BK45),BK45,BK38))</f>
        <v>3.3</v>
      </c>
      <c r="BL57" s="27" t="n">
        <f aca="false">IF(BL38="","",IF(ISNUMBER(BL45),BL45,BL38))</f>
        <v>3</v>
      </c>
      <c r="BM57" s="27" t="n">
        <f aca="false">IF(BM38="","",IF(ISNUMBER(BM45),BM45,BM38))</f>
        <v>2.5</v>
      </c>
      <c r="BN57" s="27" t="n">
        <f aca="false">IF(BN38="","",IF(ISNUMBER(BN45),BN45,BN38))</f>
        <v>2</v>
      </c>
      <c r="BO57" s="27" t="n">
        <f aca="false">IF(BO38="","",IF(ISNUMBER(BO45),BO45,BO38))</f>
        <v>1.5</v>
      </c>
      <c r="BP57" s="27" t="n">
        <f aca="false">IF(BP38="","",IF(ISNUMBER(BP45),BP45,BP38))</f>
        <v>2.9</v>
      </c>
      <c r="BQ57" s="27" t="n">
        <f aca="false">IF(BQ38="","",IF(ISNUMBER(BQ45),BQ45,BQ38))</f>
        <v>2.5</v>
      </c>
      <c r="BR57" s="27" t="n">
        <f aca="false">IF(BR38="","",IF(ISNUMBER(BR45),BR45,BR38))</f>
        <v>2</v>
      </c>
      <c r="BS57" s="27" t="n">
        <f aca="false">IF(BS38="","",IF(ISNUMBER(BS45),BS45,BS38))</f>
        <v>1.5</v>
      </c>
      <c r="BT57" s="27" t="n">
        <f aca="false">IF(BT38="","",IF(ISNUMBER(BT45),BT45,BT38))</f>
        <v>1.3</v>
      </c>
      <c r="BU57" s="27" t="n">
        <f aca="false">IF(BU38="","",IF(ISNUMBER(BU45),BU45,BU38))</f>
        <v>1.1</v>
      </c>
      <c r="BV57" s="27" t="n">
        <f aca="false">IF(BV38="","",IF(ISNUMBER(BV45),BV45,BV38))</f>
        <v>1</v>
      </c>
      <c r="BW57" s="27" t="n">
        <f aca="false">IF(BW38="","",IF(ISNUMBER(BW45),BW45,BW38))</f>
        <v>2.4</v>
      </c>
      <c r="BX57" s="27" t="n">
        <f aca="false">IF(BX38="","",IF(ISNUMBER(BX45),BX45,BX38))</f>
        <v>2.3</v>
      </c>
      <c r="BY57" s="27" t="n">
        <f aca="false">IF(BY38="","",IF(ISNUMBER(BY45),BY45,BY38))</f>
        <v>2</v>
      </c>
      <c r="BZ57" s="27" t="n">
        <f aca="false">IF(BZ38="","",IF(ISNUMBER(BZ45),BZ45,BZ38))</f>
        <v>1.5</v>
      </c>
      <c r="CA57" s="27" t="str">
        <f aca="false">IF(CA38="","",IF(ISNUMBER(CA45),CA45,CA38))</f>
        <v/>
      </c>
      <c r="CB57" s="27" t="n">
        <f aca="false">IF(CB38="","",IF(ISNUMBER(CB45),CB45,CB38))</f>
        <v>1</v>
      </c>
      <c r="CC57" s="27" t="n">
        <f aca="false">IF(CC38="","",IF(ISNUMBER(CC45),CC45,CC38))</f>
        <v>-0.2</v>
      </c>
      <c r="CD57" s="27" t="n">
        <f aca="false">IF(CD38="","",IF(ISNUMBER(CD45),CD45,CD38))</f>
        <v>2.2</v>
      </c>
      <c r="CE57" s="27" t="n">
        <f aca="false">IF(CE38="","",IF(ISNUMBER(CE45),CE45,CE38))</f>
        <v>2</v>
      </c>
      <c r="CF57" s="27" t="n">
        <f aca="false">IF(CF38="","",IF(ISNUMBER(CF45),CF45,CF38))</f>
        <v>1.7</v>
      </c>
      <c r="CG57" s="27" t="n">
        <f aca="false">IF(CG38="","",IF(ISNUMBER(CG45),CG45,CG38))</f>
        <v>1.5</v>
      </c>
      <c r="CH57" s="27" t="n">
        <f aca="false">IF(CH38="","",IF(ISNUMBER(CH45),CH45,CH38))</f>
        <v>3.9</v>
      </c>
      <c r="CI57" s="27" t="n">
        <f aca="false">IF(CI38="","",IF(ISNUMBER(CI45),CI45,CI38))</f>
        <v>3.8</v>
      </c>
      <c r="CJ57" s="27" t="n">
        <f aca="false">IF(CJ38="","",IF(ISNUMBER(CJ45),CJ45,CJ38))</f>
        <v>3.2</v>
      </c>
      <c r="CK57" s="27" t="n">
        <f aca="false">IF(CK38="","",IF(ISNUMBER(CK45),CK45,CK38))</f>
        <v>1.5</v>
      </c>
      <c r="CL57" s="27" t="n">
        <f aca="false">IF(CL38="","",IF(ISNUMBER(CL45),CL45,CL38))</f>
        <v>0</v>
      </c>
      <c r="CM57" s="27" t="n">
        <f aca="false">IF(CM38="","",IF(ISNUMBER(CM45),CM45,CM38))</f>
        <v>-0.3</v>
      </c>
      <c r="CN57" s="27" t="n">
        <f aca="false">IF(CN38="","",IF(ISNUMBER(CN45),CN45,CN38))</f>
        <v>-1</v>
      </c>
      <c r="CO57" s="27" t="n">
        <f aca="false">IF(CO38="","",IF(ISNUMBER(CO45),CO45,CO38))</f>
        <v>-5</v>
      </c>
      <c r="CP57" s="27" t="n">
        <f aca="false">IF(CP38="","",IF(ISNUMBER(CP45),CP45,CP38))</f>
        <v>-8</v>
      </c>
      <c r="CQ57" s="27" t="n">
        <f aca="false">IF(CQ38="","",IF(ISNUMBER(CQ45),CQ45,CQ38))</f>
        <v>-15</v>
      </c>
      <c r="CR57" s="27" t="n">
        <f aca="false">IF(CR38="","",IF(ISNUMBER(CR45),CR45,CR38))</f>
        <v>-15</v>
      </c>
      <c r="CS57" s="27" t="n">
        <f aca="false">IF(CS38="","",IF(ISNUMBER(CS45),CS45,CS38))</f>
        <v>-15</v>
      </c>
      <c r="CT57" s="27" t="n">
        <f aca="false">IF(CT38="","",IF(ISNUMBER(CT45),CT45,CT38))</f>
        <v>-15</v>
      </c>
      <c r="CU57" s="27" t="n">
        <f aca="false">IF(CU38="","",IF(ISNUMBER(CU45),CU45,CU38))</f>
        <v>-15</v>
      </c>
      <c r="CV57" s="27" t="n">
        <f aca="false">IF(CV38="","",IF(ISNUMBER(CV45),CV45,CV38))</f>
        <v>-15</v>
      </c>
      <c r="CW57" s="27" t="n">
        <f aca="false">IF(CW38="","",IF(ISNUMBER(CW45),CW45,CW38))</f>
        <v>1</v>
      </c>
      <c r="CX57" s="27" t="n">
        <f aca="false">IF(CX38="","",IF(ISNUMBER(CX45),CX45,CX38))</f>
        <v>1</v>
      </c>
      <c r="CY57" s="27" t="n">
        <f aca="false">IF(CY38="","",IF(ISNUMBER(CY45),CY45,CY38))</f>
        <v>0.7</v>
      </c>
      <c r="CZ57" s="27" t="n">
        <f aca="false">IF(CZ38="","",IF(ISNUMBER(CZ45),CZ45,CZ38))</f>
        <v>1.9</v>
      </c>
      <c r="DA57" s="27" t="n">
        <f aca="false">IF(DA38="","",IF(ISNUMBER(DA45),DA45,DA38))</f>
        <v>1.7</v>
      </c>
      <c r="DB57" s="27" t="n">
        <f aca="false">IF(DB38="","",IF(ISNUMBER(DB45),DB45,DB38))</f>
        <v>1</v>
      </c>
      <c r="DC57" s="27" t="n">
        <f aca="false">IF(DC38="","",IF(ISNUMBER(DC45),DC45,DC38))</f>
        <v>2.6</v>
      </c>
      <c r="DD57" s="27" t="n">
        <f aca="false">IF(DD38="","",IF(ISNUMBER(DD45),DD45,DD38))</f>
        <v>1.6</v>
      </c>
      <c r="DE57" s="27" t="n">
        <f aca="false">IF(DE38="","",IF(ISNUMBER(DE45),DE45,DE38))</f>
        <v>1</v>
      </c>
      <c r="DF57" s="27" t="n">
        <f aca="false">IF(DF38="","",IF(ISNUMBER(DF45),DF45,DF38))</f>
        <v>0.7</v>
      </c>
      <c r="DG57" s="27" t="n">
        <f aca="false">IF(DG38="","",IF(ISNUMBER(DG45),DG45,DG38))</f>
        <v>1.3</v>
      </c>
      <c r="DH57" s="27" t="n">
        <f aca="false">IF(DH38="","",IF(ISNUMBER(DH45),DH45,DH38))</f>
        <v>0.8</v>
      </c>
      <c r="DI57" s="27" t="n">
        <f aca="false">IF(DI38="","",IF(ISNUMBER(DI45),DI45,DI38))</f>
        <v>0.4</v>
      </c>
      <c r="DJ57" s="27" t="n">
        <f aca="false">IF(DJ38="","",IF(ISNUMBER(DJ45),DJ45,DJ38))</f>
        <v>-3</v>
      </c>
      <c r="DK57" s="27" t="n">
        <f aca="false">IF(DK38="","",IF(ISNUMBER(DK45),DK45,DK38))</f>
        <v>-6</v>
      </c>
      <c r="DL57" s="27" t="str">
        <f aca="false">IF(DL38="","",IF(ISNUMBER(DL45),DL45,DL38))</f>
        <v/>
      </c>
      <c r="DM57" s="27" t="n">
        <f aca="false">IF(DM38="","",IF(ISNUMBER(DM45),DM45,DM38))</f>
        <v>-11</v>
      </c>
      <c r="DN57" s="27" t="n">
        <f aca="false">IF(DN38="","",IF(ISNUMBER(DN45),DN45,DN38))</f>
        <v>1.1</v>
      </c>
      <c r="DO57" s="27" t="n">
        <f aca="false">IF(DO38="","",IF(ISNUMBER(DO45),DO45,DO38))</f>
        <v>1</v>
      </c>
      <c r="DP57" s="27" t="n">
        <f aca="false">IF(DP38="","",IF(ISNUMBER(DP45),DP45,DP38))</f>
        <v>0.5</v>
      </c>
      <c r="DQ57" s="27" t="n">
        <f aca="false">IF(DQ38="","",IF(ISNUMBER(DQ45),DQ45,DQ38))</f>
        <v>-4</v>
      </c>
      <c r="DR57" s="27" t="n">
        <f aca="false">IF(DR38="","",IF(ISNUMBER(DR45),DR45,DR38))</f>
        <v>-9</v>
      </c>
      <c r="DS57" s="27" t="n">
        <f aca="false">IF(DS38="","",IF(ISNUMBER(DS45),DS45,DS38))</f>
        <v>-12</v>
      </c>
      <c r="DT57" s="27" t="n">
        <f aca="false">IF(DT38="","",IF(ISNUMBER(DT45),DT45,DT38))</f>
        <v>-15</v>
      </c>
      <c r="DU57" s="27" t="n">
        <f aca="false">IF(DU38="","",IF(ISNUMBER(DU45),DU45,DU38))</f>
        <v>1.5</v>
      </c>
      <c r="DV57" s="27" t="n">
        <f aca="false">IF(DV38="","",IF(ISNUMBER(DV45),DV45,DV38))</f>
        <v>1</v>
      </c>
      <c r="DW57" s="27" t="n">
        <f aca="false">IF(DW38="","",IF(ISNUMBER(DW45),DW45,DW38))</f>
        <v>0.5</v>
      </c>
      <c r="DX57" s="27" t="n">
        <f aca="false">IF(DX38="","",IF(ISNUMBER(DX45),DX45,DX38))</f>
        <v>-2</v>
      </c>
      <c r="DY57" s="27" t="n">
        <f aca="false">IF(DY38="","",IF(ISNUMBER(DY45),DY45,DY38))</f>
        <v>-7</v>
      </c>
      <c r="DZ57" s="27" t="n">
        <f aca="false">IF(DZ38="","",IF(ISNUMBER(DZ45),DZ45,DZ38))</f>
        <v>-12</v>
      </c>
      <c r="EA57" s="27" t="n">
        <f aca="false">IF(EA38="","",IF(ISNUMBER(EA45),EA45,EA38))</f>
        <v>-15</v>
      </c>
      <c r="EB57" s="27" t="n">
        <f aca="false">IF(EB38="","",IF(ISNUMBER(EB45),EB45,EB38))</f>
        <v>1.5</v>
      </c>
      <c r="EC57" s="27" t="n">
        <f aca="false">IF(EC38="","",IF(ISNUMBER(EC45),EC45,EC38))</f>
        <v>1.5</v>
      </c>
      <c r="ED57" s="27" t="n">
        <f aca="false">IF(ED38="","",IF(ISNUMBER(ED45),ED45,ED38))</f>
        <v>0.3</v>
      </c>
      <c r="EE57" s="27" t="n">
        <f aca="false">IF(EE38="","",IF(ISNUMBER(EE45),EE45,EE38))</f>
        <v>2</v>
      </c>
      <c r="EF57" s="27" t="n">
        <f aca="false">IF(EF38="","",IF(ISNUMBER(EF45),EF45,EF38))</f>
        <v>-1</v>
      </c>
      <c r="EG57" s="27" t="n">
        <f aca="false">IF(EG38="","",IF(ISNUMBER(EG45),EG45,EG38))</f>
        <v>-5.7</v>
      </c>
      <c r="EH57" s="27" t="n">
        <f aca="false">IF(EH38="","",IF(ISNUMBER(EH45),EH45,EH38))</f>
        <v>-11</v>
      </c>
      <c r="EI57" s="27" t="n">
        <f aca="false">IF(EI38="","",IF(ISNUMBER(EI45),EI45,EI38))</f>
        <v>-14</v>
      </c>
      <c r="EJ57" s="27" t="n">
        <f aca="false">IF(EJ38="","",IF(ISNUMBER(EJ45),EJ45,EJ38))</f>
        <v>3.9</v>
      </c>
      <c r="EK57" s="27" t="n">
        <f aca="false">IF(EK38="","",IF(ISNUMBER(EK45),EK45,EK38))</f>
        <v>3</v>
      </c>
      <c r="EL57" s="27" t="n">
        <f aca="false">IF(EL38="","",IF(ISNUMBER(EL45),EL45,EL38))</f>
        <v>2</v>
      </c>
      <c r="EM57" s="27" t="n">
        <f aca="false">IF(EM38="","",IF(ISNUMBER(EM45),EM45,EM38))</f>
        <v>3</v>
      </c>
      <c r="EN57" s="27" t="n">
        <f aca="false">IF(EN38="","",IF(ISNUMBER(EN45),EN45,EN38))</f>
        <v>2</v>
      </c>
      <c r="EO57" s="27" t="n">
        <f aca="false">IF(EO38="","",IF(ISNUMBER(EO45),EO45,EO38))</f>
        <v>0</v>
      </c>
      <c r="EP57" s="27" t="n">
        <f aca="false">IF(EP38="","",IF(ISNUMBER(EP45),EP45,EP38))</f>
        <v>-3</v>
      </c>
      <c r="EQ57" s="27" t="n">
        <f aca="false">IF(EQ38="","",IF(ISNUMBER(EQ45),EQ45,EQ38))</f>
        <v>-10</v>
      </c>
      <c r="ER57" s="27" t="n">
        <f aca="false">IF(ER38="","",IF(ISNUMBER(ER45),ER45,ER38))</f>
        <v>-15</v>
      </c>
      <c r="ES57" s="27" t="n">
        <f aca="false">IF(ES38="","",IF(ISNUMBER(ES45),ES45,ES38))</f>
        <v>-15</v>
      </c>
      <c r="ET57" s="27" t="n">
        <f aca="false">IF(ET38="","",IF(ISNUMBER(ET45),ET45,ET38))</f>
        <v>-15</v>
      </c>
      <c r="EU57" s="27" t="str">
        <f aca="false">IF(EU38="","",IF(ISNUMBER(EU45),EU45,EU38))</f>
        <v/>
      </c>
      <c r="EV57" s="27" t="str">
        <f aca="false">IF(EV38="","",IF(ISNUMBER(EV45),EV45,EV38))</f>
        <v/>
      </c>
      <c r="EW57" s="27" t="str">
        <f aca="false">IF(EW38="","",IF(ISNUMBER(EW45),EW45,EW38))</f>
        <v/>
      </c>
      <c r="EX57" s="27" t="str">
        <f aca="false">IF(EX38="","",IF(ISNUMBER(EX45),EX45,EX38))</f>
        <v/>
      </c>
      <c r="EY57" s="27" t="str">
        <f aca="false">IF(EY38="","",IF(ISNUMBER(EY45),EY45,EY38))</f>
        <v/>
      </c>
      <c r="EZ57" s="27" t="str">
        <f aca="false">IF(EZ38="","",IF(ISNUMBER(EZ45),EZ45,EZ38))</f>
        <v/>
      </c>
      <c r="FA57" s="27" t="str">
        <f aca="false">IF(FA38="","",IF(ISNUMBER(FA45),FA45,FA38))</f>
        <v/>
      </c>
      <c r="FB57" s="27" t="str">
        <f aca="false">IF(FB38="","",IF(ISNUMBER(FB45),FB45,FB38))</f>
        <v/>
      </c>
      <c r="FC57" s="27" t="str">
        <f aca="false">IF(FC38="","",IF(ISNUMBER(FC45),FC45,FC38))</f>
        <v/>
      </c>
      <c r="FD57" s="27" t="str">
        <f aca="false">IF(FD38="","",IF(ISNUMBER(FD45),FD45,FD38))</f>
        <v/>
      </c>
      <c r="FE57" s="27" t="str">
        <f aca="false">IF(FE38="","",IF(ISNUMBER(FE45),FE45,FE38))</f>
        <v/>
      </c>
      <c r="FF57" s="27" t="str">
        <f aca="false">IF(FF38="","",IF(ISNUMBER(FF45),FF45,FF38))</f>
        <v/>
      </c>
      <c r="FG57" s="27" t="str">
        <f aca="false">IF(FG38="","",IF(ISNUMBER(FG45),FG45,FG38))</f>
        <v/>
      </c>
      <c r="FH57" s="27" t="str">
        <f aca="false">IF(FH38="","",IF(ISNUMBER(FH45),FH45,FH38))</f>
        <v/>
      </c>
      <c r="FI57" s="27" t="str">
        <f aca="false">IF(FI38="","",IF(ISNUMBER(FI45),FI45,FI38))</f>
        <v/>
      </c>
      <c r="FJ57" s="27" t="str">
        <f aca="false">IF(FJ38="","",IF(ISNUMBER(FJ45),FJ45,FJ38))</f>
        <v/>
      </c>
      <c r="FK57" s="27" t="str">
        <f aca="false">IF(FK38="","",IF(ISNUMBER(FK45),FK45,FK38))</f>
        <v/>
      </c>
      <c r="FL57" s="27" t="str">
        <f aca="false">IF(FL38="","",IF(ISNUMBER(FL45),FL45,FL38))</f>
        <v/>
      </c>
      <c r="FM57" s="27" t="str">
        <f aca="false">IF(FM38="","",IF(ISNUMBER(FM45),FM45,FM38))</f>
        <v/>
      </c>
      <c r="FN57" s="27" t="str">
        <f aca="false">IF(FN38="","",IF(ISNUMBER(FN45),FN45,FN38))</f>
        <v/>
      </c>
      <c r="FO57" s="27" t="str">
        <f aca="false">IF(FO38="","",IF(ISNUMBER(FO45),FO45,FO38))</f>
        <v/>
      </c>
      <c r="FP57" s="27" t="str">
        <f aca="false">IF(FP38="","",IF(ISNUMBER(FP45),FP45,FP38))</f>
        <v/>
      </c>
      <c r="FQ57" s="27" t="str">
        <f aca="false">IF(FQ38="","",IF(ISNUMBER(FQ45),FQ45,FQ38))</f>
        <v/>
      </c>
    </row>
    <row r="58" customFormat="false" ht="15" hidden="true" customHeight="false" outlineLevel="0" collapsed="false">
      <c r="A58" s="33" t="s">
        <v>83</v>
      </c>
      <c r="B58" s="62" t="s">
        <v>432</v>
      </c>
      <c r="D58" s="27" t="n">
        <f aca="false">IF(ISNUMBER(D38),1,0)</f>
        <v>0</v>
      </c>
      <c r="E58" s="27" t="n">
        <f aca="false">IF(ISNUMBER(E38),1,0)</f>
        <v>0</v>
      </c>
      <c r="F58" s="27" t="n">
        <f aca="false">IF(ISNUMBER(F38),1,0)</f>
        <v>0</v>
      </c>
      <c r="G58" s="27" t="n">
        <f aca="false">IF(ISNUMBER(G38),1,0)</f>
        <v>0</v>
      </c>
      <c r="H58" s="27" t="n">
        <f aca="false">IF(ISNUMBER(H38),1,0)</f>
        <v>0</v>
      </c>
      <c r="I58" s="27" t="n">
        <f aca="false">IF(ISNUMBER(I38),1,0)</f>
        <v>0</v>
      </c>
      <c r="J58" s="27" t="n">
        <f aca="false">IF(ISNUMBER(J38),1,0)</f>
        <v>0</v>
      </c>
      <c r="K58" s="27" t="n">
        <f aca="false">IF(ISNUMBER(K38),1,0)</f>
        <v>0</v>
      </c>
      <c r="L58" s="27" t="n">
        <f aca="false">IF(ISNUMBER(L38),1,0)</f>
        <v>0</v>
      </c>
      <c r="M58" s="27" t="n">
        <f aca="false">IF(ISNUMBER(M38),1,0)</f>
        <v>0</v>
      </c>
      <c r="N58" s="27" t="n">
        <f aca="false">IF(ISNUMBER(N38),1,0)</f>
        <v>0</v>
      </c>
      <c r="O58" s="27" t="n">
        <f aca="false">IF(ISNUMBER(O38),1,0)</f>
        <v>0</v>
      </c>
      <c r="P58" s="27" t="n">
        <f aca="false">IF(ISNUMBER(P38),1,0)</f>
        <v>0</v>
      </c>
      <c r="Q58" s="27" t="n">
        <f aca="false">IF(ISNUMBER(Q38),1,0)</f>
        <v>0</v>
      </c>
      <c r="R58" s="27" t="n">
        <f aca="false">IF(ISNUMBER(R38),1,0)</f>
        <v>0</v>
      </c>
      <c r="S58" s="27" t="n">
        <f aca="false">IF(ISNUMBER(S38),1,0)</f>
        <v>0</v>
      </c>
      <c r="T58" s="27" t="n">
        <f aca="false">IF(ISNUMBER(T38),1,0)</f>
        <v>0</v>
      </c>
      <c r="U58" s="27" t="n">
        <f aca="false">IF(ISNUMBER(U38),1,0)</f>
        <v>0</v>
      </c>
      <c r="V58" s="27" t="n">
        <f aca="false">IF(ISNUMBER(V38),1,0)</f>
        <v>0</v>
      </c>
      <c r="W58" s="27" t="n">
        <f aca="false">IF(ISNUMBER(W38),1,0)</f>
        <v>0</v>
      </c>
      <c r="X58" s="27" t="n">
        <f aca="false">IF(ISNUMBER(X38),1,0)</f>
        <v>0</v>
      </c>
      <c r="Y58" s="27" t="n">
        <f aca="false">IF(ISNUMBER(Y38),1,0)</f>
        <v>0</v>
      </c>
      <c r="Z58" s="27" t="n">
        <f aca="false">IF(ISNUMBER(Z38),1,0)</f>
        <v>0</v>
      </c>
      <c r="AA58" s="27" t="n">
        <f aca="false">IF(ISNUMBER(AA38),1,0)</f>
        <v>0</v>
      </c>
      <c r="AB58" s="27" t="n">
        <f aca="false">IF(ISNUMBER(AB38),1,0)</f>
        <v>0</v>
      </c>
      <c r="AC58" s="27" t="n">
        <f aca="false">IF(ISNUMBER(AC38),1,0)</f>
        <v>0</v>
      </c>
      <c r="AD58" s="27" t="n">
        <f aca="false">IF(ISNUMBER(AD38),1,0)</f>
        <v>0</v>
      </c>
      <c r="AE58" s="27" t="n">
        <f aca="false">IF(ISNUMBER(AE38),1,0)</f>
        <v>0</v>
      </c>
      <c r="AF58" s="27" t="n">
        <f aca="false">IF(ISNUMBER(AF38),1,0)</f>
        <v>0</v>
      </c>
      <c r="AG58" s="27" t="n">
        <f aca="false">IF(ISNUMBER(AG38),1,0)</f>
        <v>0</v>
      </c>
      <c r="AH58" s="27" t="n">
        <f aca="false">IF(ISNUMBER(AH38),1,0)</f>
        <v>0</v>
      </c>
      <c r="AI58" s="27" t="n">
        <f aca="false">IF(ISNUMBER(AI38),1,0)</f>
        <v>0</v>
      </c>
      <c r="AJ58" s="27" t="n">
        <f aca="false">IF(ISNUMBER(AJ38),1,0)</f>
        <v>0</v>
      </c>
      <c r="AK58" s="27" t="n">
        <f aca="false">IF(ISNUMBER(AK38),1,0)</f>
        <v>0</v>
      </c>
      <c r="AL58" s="27" t="n">
        <f aca="false">IF(ISNUMBER(AL38),1,0)</f>
        <v>0</v>
      </c>
      <c r="AM58" s="27" t="n">
        <f aca="false">IF(ISNUMBER(AM38),1,0)</f>
        <v>0</v>
      </c>
      <c r="AN58" s="27" t="n">
        <f aca="false">IF(ISNUMBER(AN38),1,0)</f>
        <v>0</v>
      </c>
      <c r="AO58" s="27" t="n">
        <f aca="false">IF(ISNUMBER(AO38),1,0)</f>
        <v>0</v>
      </c>
      <c r="AP58" s="27" t="n">
        <f aca="false">IF(ISNUMBER(AP38),1,0)</f>
        <v>0</v>
      </c>
      <c r="AQ58" s="27" t="n">
        <f aca="false">IF(ISNUMBER(AQ38),1,0)</f>
        <v>0</v>
      </c>
      <c r="AR58" s="27" t="n">
        <f aca="false">IF(ISNUMBER(AR38),1,0)</f>
        <v>0</v>
      </c>
      <c r="AS58" s="27" t="n">
        <f aca="false">IF(ISNUMBER(AS38),1,0)</f>
        <v>0</v>
      </c>
      <c r="AT58" s="27" t="n">
        <f aca="false">IF(ISNUMBER(AT38),1,0)</f>
        <v>0</v>
      </c>
      <c r="AU58" s="27" t="n">
        <f aca="false">IF(ISNUMBER(AU38),1,0)</f>
        <v>0</v>
      </c>
      <c r="AV58" s="27" t="n">
        <f aca="false">IF(ISNUMBER(AV38),1,0)</f>
        <v>0</v>
      </c>
      <c r="AW58" s="27" t="n">
        <f aca="false">IF(ISNUMBER(AW38),1,0)</f>
        <v>0</v>
      </c>
      <c r="AX58" s="27" t="n">
        <f aca="false">IF(ISNUMBER(AX38),1,0)</f>
        <v>0</v>
      </c>
      <c r="AY58" s="27" t="n">
        <f aca="false">IF(ISNUMBER(AY38),1,0)</f>
        <v>0</v>
      </c>
      <c r="AZ58" s="27" t="n">
        <f aca="false">IF(ISNUMBER(AZ38),1,0)</f>
        <v>0</v>
      </c>
      <c r="BA58" s="27" t="n">
        <f aca="false">IF(ISNUMBER(BA38),1,0)</f>
        <v>0</v>
      </c>
      <c r="BB58" s="27" t="n">
        <f aca="false">IF(ISNUMBER(BB38),1,0)</f>
        <v>0</v>
      </c>
      <c r="BC58" s="27" t="n">
        <f aca="false">IF(ISNUMBER(BC38),1,0)</f>
        <v>0</v>
      </c>
      <c r="BD58" s="27" t="n">
        <f aca="false">IF(ISNUMBER(BD38),1,0)</f>
        <v>1</v>
      </c>
      <c r="BE58" s="27" t="n">
        <f aca="false">IF(ISNUMBER(BE38),1,0)</f>
        <v>1</v>
      </c>
      <c r="BF58" s="27" t="n">
        <f aca="false">IF(ISNUMBER(BF38),1,0)</f>
        <v>1</v>
      </c>
      <c r="BG58" s="27" t="n">
        <f aca="false">IF(ISNUMBER(BG38),1,0)</f>
        <v>1</v>
      </c>
      <c r="BH58" s="27" t="n">
        <f aca="false">IF(ISNUMBER(BH38),1,0)</f>
        <v>1</v>
      </c>
      <c r="BI58" s="27" t="n">
        <f aca="false">IF(ISNUMBER(BI38),1,0)</f>
        <v>1</v>
      </c>
      <c r="BJ58" s="27" t="n">
        <f aca="false">IF(ISNUMBER(BJ38),1,0)</f>
        <v>1</v>
      </c>
      <c r="BK58" s="27" t="n">
        <f aca="false">IF(ISNUMBER(BK38),1,0)</f>
        <v>1</v>
      </c>
      <c r="BL58" s="27" t="n">
        <f aca="false">IF(ISNUMBER(BL38),1,0)</f>
        <v>1</v>
      </c>
      <c r="BM58" s="27" t="n">
        <f aca="false">IF(ISNUMBER(BM38),1,0)</f>
        <v>1</v>
      </c>
      <c r="BN58" s="27" t="n">
        <f aca="false">IF(ISNUMBER(BN38),1,0)</f>
        <v>1</v>
      </c>
      <c r="BO58" s="27" t="n">
        <f aca="false">IF(ISNUMBER(BO38),1,0)</f>
        <v>1</v>
      </c>
      <c r="BP58" s="27" t="n">
        <f aca="false">IF(ISNUMBER(BP38),1,0)</f>
        <v>1</v>
      </c>
      <c r="BQ58" s="27" t="n">
        <f aca="false">IF(ISNUMBER(BQ38),1,0)</f>
        <v>1</v>
      </c>
      <c r="BR58" s="27" t="n">
        <f aca="false">IF(ISNUMBER(BR38),1,0)</f>
        <v>1</v>
      </c>
      <c r="BS58" s="27" t="n">
        <f aca="false">IF(ISNUMBER(BS38),1,0)</f>
        <v>1</v>
      </c>
      <c r="BT58" s="27" t="n">
        <f aca="false">IF(ISNUMBER(BT38),1,0)</f>
        <v>1</v>
      </c>
      <c r="BU58" s="27" t="n">
        <f aca="false">IF(ISNUMBER(BU38),1,0)</f>
        <v>1</v>
      </c>
      <c r="BV58" s="27" t="n">
        <f aca="false">IF(ISNUMBER(BV38),1,0)</f>
        <v>1</v>
      </c>
      <c r="BW58" s="27" t="n">
        <f aca="false">IF(ISNUMBER(BW38),1,0)</f>
        <v>1</v>
      </c>
      <c r="BX58" s="27" t="n">
        <f aca="false">IF(ISNUMBER(BX38),1,0)</f>
        <v>1</v>
      </c>
      <c r="BY58" s="27" t="n">
        <f aca="false">IF(ISNUMBER(BY38),1,0)</f>
        <v>1</v>
      </c>
      <c r="BZ58" s="27" t="n">
        <f aca="false">IF(ISNUMBER(BZ38),1,0)</f>
        <v>1</v>
      </c>
      <c r="CA58" s="27" t="n">
        <f aca="false">IF(ISNUMBER(CA38),1,0)</f>
        <v>0</v>
      </c>
      <c r="CB58" s="27" t="n">
        <f aca="false">IF(ISNUMBER(CB38),1,0)</f>
        <v>1</v>
      </c>
      <c r="CC58" s="27" t="n">
        <f aca="false">IF(ISNUMBER(CC38),1,0)</f>
        <v>1</v>
      </c>
      <c r="CD58" s="27" t="n">
        <f aca="false">IF(ISNUMBER(CD38),1,0)</f>
        <v>1</v>
      </c>
      <c r="CE58" s="27" t="n">
        <f aca="false">IF(ISNUMBER(CE38),1,0)</f>
        <v>1</v>
      </c>
      <c r="CF58" s="27" t="n">
        <f aca="false">IF(ISNUMBER(CF38),1,0)</f>
        <v>1</v>
      </c>
      <c r="CG58" s="27" t="n">
        <f aca="false">IF(ISNUMBER(CG38),1,0)</f>
        <v>1</v>
      </c>
      <c r="CH58" s="27" t="n">
        <f aca="false">IF(ISNUMBER(CH38),1,0)</f>
        <v>1</v>
      </c>
      <c r="CI58" s="27" t="n">
        <f aca="false">IF(ISNUMBER(CI38),1,0)</f>
        <v>1</v>
      </c>
      <c r="CJ58" s="27" t="n">
        <f aca="false">IF(ISNUMBER(CJ38),1,0)</f>
        <v>1</v>
      </c>
      <c r="CK58" s="27" t="n">
        <f aca="false">IF(ISNUMBER(CK38),1,0)</f>
        <v>1</v>
      </c>
      <c r="CL58" s="27" t="n">
        <f aca="false">IF(ISNUMBER(CL38),1,0)</f>
        <v>1</v>
      </c>
      <c r="CM58" s="27" t="n">
        <f aca="false">IF(ISNUMBER(CM38),1,0)</f>
        <v>1</v>
      </c>
      <c r="CN58" s="27" t="n">
        <f aca="false">IF(ISNUMBER(CN38),1,0)</f>
        <v>1</v>
      </c>
      <c r="CO58" s="27" t="n">
        <f aca="false">IF(ISNUMBER(CO38),1,0)</f>
        <v>1</v>
      </c>
      <c r="CP58" s="27" t="n">
        <f aca="false">IF(ISNUMBER(CP38),1,0)</f>
        <v>1</v>
      </c>
      <c r="CQ58" s="27" t="n">
        <f aca="false">IF(ISNUMBER(CQ38),1,0)</f>
        <v>1</v>
      </c>
      <c r="CR58" s="27" t="n">
        <f aca="false">IF(ISNUMBER(CR38),1,0)</f>
        <v>1</v>
      </c>
      <c r="CS58" s="27" t="n">
        <f aca="false">IF(ISNUMBER(CS38),1,0)</f>
        <v>1</v>
      </c>
      <c r="CT58" s="27" t="n">
        <f aca="false">IF(ISNUMBER(CT38),1,0)</f>
        <v>1</v>
      </c>
      <c r="CU58" s="27" t="n">
        <f aca="false">IF(ISNUMBER(CU38),1,0)</f>
        <v>1</v>
      </c>
      <c r="CV58" s="27" t="n">
        <f aca="false">IF(ISNUMBER(CV38),1,0)</f>
        <v>1</v>
      </c>
      <c r="CW58" s="27" t="n">
        <f aca="false">IF(ISNUMBER(CW38),1,0)</f>
        <v>1</v>
      </c>
      <c r="CX58" s="27" t="n">
        <f aca="false">IF(ISNUMBER(CX38),1,0)</f>
        <v>1</v>
      </c>
      <c r="CY58" s="27" t="n">
        <f aca="false">IF(ISNUMBER(CY38),1,0)</f>
        <v>1</v>
      </c>
      <c r="CZ58" s="27" t="n">
        <f aca="false">IF(ISNUMBER(CZ38),1,0)</f>
        <v>1</v>
      </c>
      <c r="DA58" s="27" t="n">
        <f aca="false">IF(ISNUMBER(DA38),1,0)</f>
        <v>1</v>
      </c>
      <c r="DB58" s="27" t="n">
        <f aca="false">IF(ISNUMBER(DB38),1,0)</f>
        <v>1</v>
      </c>
      <c r="DC58" s="27" t="n">
        <f aca="false">IF(ISNUMBER(DC38),1,0)</f>
        <v>1</v>
      </c>
      <c r="DD58" s="27" t="n">
        <f aca="false">IF(ISNUMBER(DD38),1,0)</f>
        <v>1</v>
      </c>
      <c r="DE58" s="27" t="n">
        <f aca="false">IF(ISNUMBER(DE38),1,0)</f>
        <v>1</v>
      </c>
      <c r="DF58" s="27" t="n">
        <f aca="false">IF(ISNUMBER(DF38),1,0)</f>
        <v>1</v>
      </c>
      <c r="DG58" s="27" t="n">
        <f aca="false">IF(ISNUMBER(DG38),1,0)</f>
        <v>1</v>
      </c>
      <c r="DH58" s="27" t="n">
        <f aca="false">IF(ISNUMBER(DH38),1,0)</f>
        <v>1</v>
      </c>
      <c r="DI58" s="27" t="n">
        <f aca="false">IF(ISNUMBER(DI38),1,0)</f>
        <v>1</v>
      </c>
      <c r="DJ58" s="27" t="n">
        <f aca="false">IF(ISNUMBER(DJ38),1,0)</f>
        <v>1</v>
      </c>
      <c r="DK58" s="27" t="n">
        <f aca="false">IF(ISNUMBER(DK38),1,0)</f>
        <v>1</v>
      </c>
      <c r="DL58" s="27" t="n">
        <f aca="false">IF(ISNUMBER(DL38),1,0)</f>
        <v>0</v>
      </c>
      <c r="DM58" s="27" t="n">
        <f aca="false">IF(ISNUMBER(DM38),1,0)</f>
        <v>1</v>
      </c>
      <c r="DN58" s="27" t="n">
        <f aca="false">IF(ISNUMBER(DN38),1,0)</f>
        <v>1</v>
      </c>
      <c r="DO58" s="27" t="n">
        <f aca="false">IF(ISNUMBER(DO38),1,0)</f>
        <v>1</v>
      </c>
      <c r="DP58" s="27" t="n">
        <f aca="false">IF(ISNUMBER(DP38),1,0)</f>
        <v>1</v>
      </c>
      <c r="DQ58" s="27" t="n">
        <f aca="false">IF(ISNUMBER(DQ38),1,0)</f>
        <v>1</v>
      </c>
      <c r="DR58" s="27" t="n">
        <f aca="false">IF(ISNUMBER(DR38),1,0)</f>
        <v>1</v>
      </c>
      <c r="DS58" s="27" t="n">
        <f aca="false">IF(ISNUMBER(DS38),1,0)</f>
        <v>1</v>
      </c>
      <c r="DT58" s="27" t="n">
        <f aca="false">IF(ISNUMBER(DT38),1,0)</f>
        <v>1</v>
      </c>
      <c r="DU58" s="27" t="n">
        <f aca="false">IF(ISNUMBER(DU38),1,0)</f>
        <v>1</v>
      </c>
      <c r="DV58" s="27" t="n">
        <f aca="false">IF(ISNUMBER(DV38),1,0)</f>
        <v>1</v>
      </c>
      <c r="DW58" s="27" t="n">
        <f aca="false">IF(ISNUMBER(DW38),1,0)</f>
        <v>1</v>
      </c>
      <c r="DX58" s="27" t="n">
        <f aca="false">IF(ISNUMBER(DX38),1,0)</f>
        <v>1</v>
      </c>
      <c r="DY58" s="27" t="n">
        <f aca="false">IF(ISNUMBER(DY38),1,0)</f>
        <v>1</v>
      </c>
      <c r="DZ58" s="27" t="n">
        <f aca="false">IF(ISNUMBER(DZ38),1,0)</f>
        <v>1</v>
      </c>
      <c r="EA58" s="27" t="n">
        <f aca="false">IF(ISNUMBER(EA38),1,0)</f>
        <v>1</v>
      </c>
      <c r="EB58" s="27" t="n">
        <f aca="false">IF(ISNUMBER(EB38),1,0)</f>
        <v>1</v>
      </c>
      <c r="EC58" s="27" t="n">
        <f aca="false">IF(ISNUMBER(EC38),1,0)</f>
        <v>1</v>
      </c>
      <c r="ED58" s="27" t="n">
        <f aca="false">IF(ISNUMBER(ED38),1,0)</f>
        <v>1</v>
      </c>
      <c r="EE58" s="27" t="n">
        <f aca="false">IF(ISNUMBER(EE38),1,0)</f>
        <v>1</v>
      </c>
      <c r="EF58" s="27" t="n">
        <f aca="false">IF(ISNUMBER(EF38),1,0)</f>
        <v>1</v>
      </c>
      <c r="EG58" s="27" t="n">
        <f aca="false">IF(ISNUMBER(EG38),1,0)</f>
        <v>1</v>
      </c>
      <c r="EH58" s="27" t="n">
        <f aca="false">IF(ISNUMBER(EH38),1,0)</f>
        <v>1</v>
      </c>
      <c r="EI58" s="27" t="n">
        <f aca="false">IF(ISNUMBER(EI38),1,0)</f>
        <v>1</v>
      </c>
      <c r="EJ58" s="27" t="n">
        <f aca="false">IF(ISNUMBER(EJ38),1,0)</f>
        <v>1</v>
      </c>
      <c r="EK58" s="27" t="n">
        <f aca="false">IF(ISNUMBER(EK38),1,0)</f>
        <v>1</v>
      </c>
      <c r="EL58" s="27" t="n">
        <f aca="false">IF(ISNUMBER(EL38),1,0)</f>
        <v>1</v>
      </c>
      <c r="EM58" s="27" t="n">
        <f aca="false">IF(ISNUMBER(EM38),1,0)</f>
        <v>1</v>
      </c>
      <c r="EN58" s="27" t="n">
        <f aca="false">IF(ISNUMBER(EN38),1,0)</f>
        <v>1</v>
      </c>
      <c r="EO58" s="27" t="n">
        <f aca="false">IF(ISNUMBER(EO38),1,0)</f>
        <v>1</v>
      </c>
      <c r="EP58" s="27" t="n">
        <f aca="false">IF(ISNUMBER(EP38),1,0)</f>
        <v>1</v>
      </c>
      <c r="EQ58" s="27" t="n">
        <f aca="false">IF(ISNUMBER(EQ38),1,0)</f>
        <v>1</v>
      </c>
      <c r="ER58" s="27" t="n">
        <f aca="false">IF(ISNUMBER(ER38),1,0)</f>
        <v>1</v>
      </c>
      <c r="ES58" s="27" t="n">
        <f aca="false">IF(ISNUMBER(ES38),1,0)</f>
        <v>1</v>
      </c>
      <c r="ET58" s="27" t="n">
        <f aca="false">IF(ISNUMBER(ET38),1,0)</f>
        <v>1</v>
      </c>
      <c r="EU58" s="27" t="n">
        <f aca="false">IF(ISNUMBER(EU38),1,0)</f>
        <v>0</v>
      </c>
      <c r="EV58" s="27" t="n">
        <f aca="false">IF(ISNUMBER(EV38),1,0)</f>
        <v>0</v>
      </c>
      <c r="EW58" s="27" t="n">
        <f aca="false">IF(ISNUMBER(EW38),1,0)</f>
        <v>0</v>
      </c>
      <c r="EX58" s="27" t="n">
        <f aca="false">IF(ISNUMBER(EX38),1,0)</f>
        <v>0</v>
      </c>
      <c r="EY58" s="27" t="n">
        <f aca="false">IF(ISNUMBER(EY38),1,0)</f>
        <v>0</v>
      </c>
      <c r="EZ58" s="27" t="n">
        <f aca="false">IF(ISNUMBER(EZ38),1,0)</f>
        <v>0</v>
      </c>
      <c r="FA58" s="27" t="n">
        <f aca="false">IF(ISNUMBER(FA38),1,0)</f>
        <v>0</v>
      </c>
      <c r="FB58" s="27" t="n">
        <f aca="false">IF(ISNUMBER(FB38),1,0)</f>
        <v>0</v>
      </c>
      <c r="FC58" s="27" t="n">
        <f aca="false">IF(ISNUMBER(FC38),1,0)</f>
        <v>0</v>
      </c>
      <c r="FD58" s="27" t="n">
        <f aca="false">IF(ISNUMBER(FD38),1,0)</f>
        <v>0</v>
      </c>
      <c r="FE58" s="27" t="n">
        <f aca="false">IF(ISNUMBER(FE38),1,0)</f>
        <v>0</v>
      </c>
      <c r="FF58" s="27" t="n">
        <f aca="false">IF(ISNUMBER(FF38),1,0)</f>
        <v>0</v>
      </c>
      <c r="FG58" s="27" t="n">
        <f aca="false">IF(ISNUMBER(FG38),1,0)</f>
        <v>0</v>
      </c>
      <c r="FH58" s="27" t="n">
        <f aca="false">IF(ISNUMBER(FH38),1,0)</f>
        <v>0</v>
      </c>
      <c r="FI58" s="27" t="n">
        <f aca="false">IF(ISNUMBER(FI38),1,0)</f>
        <v>0</v>
      </c>
      <c r="FJ58" s="27" t="n">
        <f aca="false">IF(ISNUMBER(FJ38),1,0)</f>
        <v>0</v>
      </c>
      <c r="FK58" s="27" t="n">
        <f aca="false">IF(ISNUMBER(FK38),1,0)</f>
        <v>0</v>
      </c>
      <c r="FL58" s="27" t="n">
        <f aca="false">IF(ISNUMBER(FL38),1,0)</f>
        <v>0</v>
      </c>
      <c r="FM58" s="27" t="n">
        <f aca="false">IF(ISNUMBER(FM38),1,0)</f>
        <v>0</v>
      </c>
      <c r="FN58" s="27" t="n">
        <f aca="false">IF(ISNUMBER(FN38),1,0)</f>
        <v>0</v>
      </c>
      <c r="FO58" s="27" t="n">
        <f aca="false">IF(ISNUMBER(FO38),1,0)</f>
        <v>0</v>
      </c>
      <c r="FP58" s="27" t="n">
        <f aca="false">IF(ISNUMBER(FP38),1,0)</f>
        <v>0</v>
      </c>
      <c r="FQ58" s="27" t="n">
        <f aca="false">IF(ISNUMBER(FQ38),1,0)</f>
        <v>0</v>
      </c>
    </row>
    <row r="60" customFormat="false" ht="15" hidden="false" customHeight="false" outlineLevel="0" collapsed="false">
      <c r="A60" s="58" t="s">
        <v>328</v>
      </c>
      <c r="B60" s="17" t="s">
        <v>433</v>
      </c>
    </row>
    <row r="61" customFormat="false" ht="15" hidden="false" customHeight="false" outlineLevel="0" collapsed="false">
      <c r="A61" s="31" t="s">
        <v>328</v>
      </c>
      <c r="B61" s="31" t="s">
        <v>434</v>
      </c>
      <c r="D61" s="57" t="str">
        <f aca="false">IF(2_Daily_input!D51="","",2_Daily_input!D51)</f>
        <v/>
      </c>
      <c r="E61" s="57" t="str">
        <f aca="false">IF(2_Daily_input!E51="","",2_Daily_input!E51)</f>
        <v/>
      </c>
      <c r="F61" s="57" t="str">
        <f aca="false">IF(2_Daily_input!F51="","",2_Daily_input!F51)</f>
        <v/>
      </c>
      <c r="G61" s="57" t="str">
        <f aca="false">IF(2_Daily_input!G51="","",2_Daily_input!G51)</f>
        <v/>
      </c>
      <c r="H61" s="57" t="str">
        <f aca="false">IF(2_Daily_input!H51="","",2_Daily_input!H51)</f>
        <v/>
      </c>
      <c r="I61" s="57" t="str">
        <f aca="false">IF(2_Daily_input!I51="","",2_Daily_input!I51)</f>
        <v/>
      </c>
      <c r="J61" s="57" t="str">
        <f aca="false">IF(2_Daily_input!J51="","",2_Daily_input!J51)</f>
        <v/>
      </c>
      <c r="K61" s="57" t="str">
        <f aca="false">IF(2_Daily_input!K51="","",2_Daily_input!K51)</f>
        <v/>
      </c>
      <c r="L61" s="57" t="str">
        <f aca="false">IF(2_Daily_input!L51="","",2_Daily_input!L51)</f>
        <v/>
      </c>
      <c r="M61" s="57" t="str">
        <f aca="false">IF(2_Daily_input!M51="","",2_Daily_input!M51)</f>
        <v/>
      </c>
      <c r="N61" s="57" t="str">
        <f aca="false">IF(2_Daily_input!N51="","",2_Daily_input!N51)</f>
        <v/>
      </c>
      <c r="O61" s="57" t="str">
        <f aca="false">IF(2_Daily_input!O51="","",2_Daily_input!O51)</f>
        <v/>
      </c>
      <c r="P61" s="57" t="str">
        <f aca="false">IF(2_Daily_input!P51="","",2_Daily_input!P51)</f>
        <v/>
      </c>
      <c r="Q61" s="57" t="str">
        <f aca="false">IF(2_Daily_input!Q51="","",2_Daily_input!Q51)</f>
        <v/>
      </c>
      <c r="R61" s="57" t="str">
        <f aca="false">IF(2_Daily_input!R51="","",2_Daily_input!R51)</f>
        <v/>
      </c>
      <c r="S61" s="57" t="str">
        <f aca="false">IF(2_Daily_input!S51="","",2_Daily_input!S51)</f>
        <v/>
      </c>
      <c r="T61" s="57" t="str">
        <f aca="false">IF(2_Daily_input!T51="","",2_Daily_input!T51)</f>
        <v/>
      </c>
      <c r="U61" s="57" t="str">
        <f aca="false">IF(2_Daily_input!U51="","",2_Daily_input!U51)</f>
        <v/>
      </c>
      <c r="V61" s="57" t="str">
        <f aca="false">IF(2_Daily_input!V51="","",2_Daily_input!V51)</f>
        <v/>
      </c>
      <c r="W61" s="57" t="str">
        <f aca="false">IF(2_Daily_input!W51="","",2_Daily_input!W51)</f>
        <v/>
      </c>
      <c r="X61" s="57" t="str">
        <f aca="false">IF(2_Daily_input!X51="","",2_Daily_input!X51)</f>
        <v/>
      </c>
      <c r="Y61" s="57" t="str">
        <f aca="false">IF(2_Daily_input!Y51="","",2_Daily_input!Y51)</f>
        <v/>
      </c>
      <c r="Z61" s="57" t="str">
        <f aca="false">IF(2_Daily_input!Z51="","",2_Daily_input!Z51)</f>
        <v/>
      </c>
      <c r="AA61" s="57" t="str">
        <f aca="false">IF(2_Daily_input!AA51="","",2_Daily_input!AA51)</f>
        <v/>
      </c>
      <c r="AB61" s="57" t="str">
        <f aca="false">IF(2_Daily_input!AB51="","",2_Daily_input!AB51)</f>
        <v/>
      </c>
      <c r="AC61" s="57" t="str">
        <f aca="false">IF(2_Daily_input!AC51="","",2_Daily_input!AC51)</f>
        <v/>
      </c>
      <c r="AD61" s="57" t="str">
        <f aca="false">IF(2_Daily_input!AD51="","",2_Daily_input!AD51)</f>
        <v/>
      </c>
      <c r="AE61" s="57" t="str">
        <f aca="false">IF(2_Daily_input!AE51="","",2_Daily_input!AE51)</f>
        <v/>
      </c>
      <c r="AF61" s="57" t="str">
        <f aca="false">IF(2_Daily_input!AF51="","",2_Daily_input!AF51)</f>
        <v/>
      </c>
      <c r="AG61" s="57" t="str">
        <f aca="false">IF(2_Daily_input!AG51="","",2_Daily_input!AG51)</f>
        <v/>
      </c>
      <c r="AH61" s="57" t="str">
        <f aca="false">IF(2_Daily_input!AH51="","",2_Daily_input!AH51)</f>
        <v/>
      </c>
      <c r="AI61" s="57" t="str">
        <f aca="false">IF(2_Daily_input!AI51="","",2_Daily_input!AI51)</f>
        <v/>
      </c>
      <c r="AJ61" s="57" t="str">
        <f aca="false">IF(2_Daily_input!AJ51="","",2_Daily_input!AJ51)</f>
        <v/>
      </c>
      <c r="AK61" s="57" t="str">
        <f aca="false">IF(2_Daily_input!AK51="","",2_Daily_input!AK51)</f>
        <v/>
      </c>
      <c r="AL61" s="57" t="str">
        <f aca="false">IF(2_Daily_input!AL51="","",2_Daily_input!AL51)</f>
        <v/>
      </c>
      <c r="AM61" s="57" t="str">
        <f aca="false">IF(2_Daily_input!AM51="","",2_Daily_input!AM51)</f>
        <v/>
      </c>
      <c r="AN61" s="57" t="str">
        <f aca="false">IF(2_Daily_input!AN51="","",2_Daily_input!AN51)</f>
        <v/>
      </c>
      <c r="AO61" s="57" t="str">
        <f aca="false">IF(2_Daily_input!AO51="","",2_Daily_input!AO51)</f>
        <v/>
      </c>
      <c r="AP61" s="57" t="str">
        <f aca="false">IF(2_Daily_input!AP51="","",2_Daily_input!AP51)</f>
        <v/>
      </c>
      <c r="AQ61" s="57" t="str">
        <f aca="false">IF(2_Daily_input!AQ51="","",2_Daily_input!AQ51)</f>
        <v/>
      </c>
      <c r="AR61" s="57" t="str">
        <f aca="false">IF(2_Daily_input!AR51="","",2_Daily_input!AR51)</f>
        <v/>
      </c>
      <c r="AS61" s="57" t="str">
        <f aca="false">IF(2_Daily_input!AS51="","",2_Daily_input!AS51)</f>
        <v/>
      </c>
      <c r="AT61" s="57" t="str">
        <f aca="false">IF(2_Daily_input!AT51="","",2_Daily_input!AT51)</f>
        <v/>
      </c>
      <c r="AU61" s="57" t="str">
        <f aca="false">IF(2_Daily_input!AU51="","",2_Daily_input!AU51)</f>
        <v/>
      </c>
      <c r="AV61" s="57" t="str">
        <f aca="false">IF(2_Daily_input!AV51="","",2_Daily_input!AV51)</f>
        <v/>
      </c>
      <c r="AW61" s="57" t="str">
        <f aca="false">IF(2_Daily_input!AW51="","",2_Daily_input!AW51)</f>
        <v/>
      </c>
      <c r="AX61" s="57" t="str">
        <f aca="false">IF(2_Daily_input!AX51="","",2_Daily_input!AX51)</f>
        <v/>
      </c>
      <c r="AY61" s="57" t="str">
        <f aca="false">IF(2_Daily_input!AY51="","",2_Daily_input!AY51)</f>
        <v/>
      </c>
      <c r="AZ61" s="57" t="str">
        <f aca="false">IF(2_Daily_input!AZ51="","",2_Daily_input!AZ51)</f>
        <v/>
      </c>
      <c r="BA61" s="57" t="str">
        <f aca="false">IF(2_Daily_input!BA51="","",2_Daily_input!BA51)</f>
        <v/>
      </c>
      <c r="BB61" s="57" t="str">
        <f aca="false">IF(2_Daily_input!BB51="","",2_Daily_input!BB51)</f>
        <v/>
      </c>
      <c r="BC61" s="57" t="str">
        <f aca="false">IF(2_Daily_input!BC51="","",2_Daily_input!BC51)</f>
        <v/>
      </c>
      <c r="BD61" s="57" t="str">
        <f aca="false">IF(2_Daily_input!BD51="","",2_Daily_input!BD51)</f>
        <v/>
      </c>
      <c r="BE61" s="57" t="str">
        <f aca="false">IF(2_Daily_input!BE51="","",2_Daily_input!BE51)</f>
        <v/>
      </c>
      <c r="BF61" s="57" t="str">
        <f aca="false">IF(2_Daily_input!BF51="","",2_Daily_input!BF51)</f>
        <v/>
      </c>
      <c r="BG61" s="57" t="str">
        <f aca="false">IF(2_Daily_input!BG51="","",2_Daily_input!BG51)</f>
        <v/>
      </c>
      <c r="BH61" s="57" t="str">
        <f aca="false">IF(2_Daily_input!BH51="","",2_Daily_input!BH51)</f>
        <v/>
      </c>
      <c r="BI61" s="57" t="str">
        <f aca="false">IF(2_Daily_input!BI51="","",2_Daily_input!BI51)</f>
        <v/>
      </c>
      <c r="BJ61" s="57" t="str">
        <f aca="false">IF(2_Daily_input!BJ51="","",2_Daily_input!BJ51)</f>
        <v/>
      </c>
      <c r="BK61" s="57" t="str">
        <f aca="false">IF(2_Daily_input!BK51="","",2_Daily_input!BK51)</f>
        <v/>
      </c>
      <c r="BL61" s="57" t="str">
        <f aca="false">IF(2_Daily_input!BL51="","",2_Daily_input!BL51)</f>
        <v/>
      </c>
      <c r="BM61" s="57" t="str">
        <f aca="false">IF(2_Daily_input!BM51="","",2_Daily_input!BM51)</f>
        <v/>
      </c>
      <c r="BN61" s="57" t="str">
        <f aca="false">IF(2_Daily_input!BN51="","",2_Daily_input!BN51)</f>
        <v/>
      </c>
      <c r="BO61" s="57" t="str">
        <f aca="false">IF(2_Daily_input!BO51="","",2_Daily_input!BO51)</f>
        <v/>
      </c>
      <c r="BP61" s="57" t="str">
        <f aca="false">IF(2_Daily_input!BP51="","",2_Daily_input!BP51)</f>
        <v/>
      </c>
      <c r="BQ61" s="57" t="str">
        <f aca="false">IF(2_Daily_input!BQ51="","",2_Daily_input!BQ51)</f>
        <v/>
      </c>
      <c r="BR61" s="57" t="str">
        <f aca="false">IF(2_Daily_input!BR51="","",2_Daily_input!BR51)</f>
        <v/>
      </c>
      <c r="BS61" s="57" t="str">
        <f aca="false">IF(2_Daily_input!BS51="","",2_Daily_input!BS51)</f>
        <v/>
      </c>
      <c r="BT61" s="57" t="str">
        <f aca="false">IF(2_Daily_input!BT51="","",2_Daily_input!BT51)</f>
        <v/>
      </c>
      <c r="BU61" s="57" t="str">
        <f aca="false">IF(2_Daily_input!BU51="","",2_Daily_input!BU51)</f>
        <v/>
      </c>
      <c r="BV61" s="57" t="str">
        <f aca="false">IF(2_Daily_input!BV51="","",2_Daily_input!BV51)</f>
        <v/>
      </c>
      <c r="BW61" s="57" t="str">
        <f aca="false">IF(2_Daily_input!BW51="","",2_Daily_input!BW51)</f>
        <v/>
      </c>
      <c r="BX61" s="57" t="str">
        <f aca="false">IF(2_Daily_input!BX51="","",2_Daily_input!BX51)</f>
        <v/>
      </c>
      <c r="BY61" s="57" t="n">
        <f aca="false">IF(2_Daily_input!BY51="","",2_Daily_input!BY51)</f>
        <v>7</v>
      </c>
      <c r="BZ61" s="57" t="str">
        <f aca="false">IF(2_Daily_input!BZ51="","",2_Daily_input!BZ51)</f>
        <v/>
      </c>
      <c r="CA61" s="57" t="str">
        <f aca="false">IF(2_Daily_input!CA51="","",2_Daily_input!CA51)</f>
        <v/>
      </c>
      <c r="CB61" s="57" t="str">
        <f aca="false">IF(2_Daily_input!CB51="","",2_Daily_input!CB51)</f>
        <v/>
      </c>
      <c r="CC61" s="57" t="str">
        <f aca="false">IF(2_Daily_input!CC51="","",2_Daily_input!CC51)</f>
        <v/>
      </c>
      <c r="CD61" s="57" t="str">
        <f aca="false">IF(2_Daily_input!CD51="","",2_Daily_input!CD51)</f>
        <v/>
      </c>
      <c r="CE61" s="57" t="str">
        <f aca="false">IF(2_Daily_input!CE51="","",2_Daily_input!CE51)</f>
        <v/>
      </c>
      <c r="CF61" s="57" t="str">
        <f aca="false">IF(2_Daily_input!CF51="","",2_Daily_input!CF51)</f>
        <v/>
      </c>
      <c r="CG61" s="57" t="str">
        <f aca="false">IF(2_Daily_input!CG51="","",2_Daily_input!CG51)</f>
        <v/>
      </c>
      <c r="CH61" s="57" t="str">
        <f aca="false">IF(2_Daily_input!CH51="","",2_Daily_input!CH51)</f>
        <v/>
      </c>
      <c r="CI61" s="57" t="str">
        <f aca="false">IF(2_Daily_input!CI51="","",2_Daily_input!CI51)</f>
        <v/>
      </c>
      <c r="CJ61" s="57" t="str">
        <f aca="false">IF(2_Daily_input!CJ51="","",2_Daily_input!CJ51)</f>
        <v/>
      </c>
      <c r="CK61" s="57" t="str">
        <f aca="false">IF(2_Daily_input!CK51="","",2_Daily_input!CK51)</f>
        <v/>
      </c>
      <c r="CL61" s="57" t="str">
        <f aca="false">IF(2_Daily_input!CL51="","",2_Daily_input!CL51)</f>
        <v/>
      </c>
      <c r="CM61" s="57" t="str">
        <f aca="false">IF(2_Daily_input!CM51="","",2_Daily_input!CM51)</f>
        <v/>
      </c>
      <c r="CN61" s="57" t="n">
        <f aca="false">IF(2_Daily_input!CN51="","",2_Daily_input!CN51)</f>
        <v>13</v>
      </c>
      <c r="CO61" s="57" t="str">
        <f aca="false">IF(2_Daily_input!CO51="","",2_Daily_input!CO51)</f>
        <v/>
      </c>
      <c r="CP61" s="57" t="str">
        <f aca="false">IF(2_Daily_input!CP51="","",2_Daily_input!CP51)</f>
        <v/>
      </c>
      <c r="CQ61" s="57" t="str">
        <f aca="false">IF(2_Daily_input!CQ51="","",2_Daily_input!CQ51)</f>
        <v/>
      </c>
      <c r="CR61" s="57" t="str">
        <f aca="false">IF(2_Daily_input!CR51="","",2_Daily_input!CR51)</f>
        <v/>
      </c>
      <c r="CS61" s="57" t="str">
        <f aca="false">IF(2_Daily_input!CS51="","",2_Daily_input!CS51)</f>
        <v/>
      </c>
      <c r="CT61" s="57" t="str">
        <f aca="false">IF(2_Daily_input!CT51="","",2_Daily_input!CT51)</f>
        <v/>
      </c>
      <c r="CU61" s="57" t="str">
        <f aca="false">IF(2_Daily_input!CU51="","",2_Daily_input!CU51)</f>
        <v/>
      </c>
      <c r="CV61" s="57" t="str">
        <f aca="false">IF(2_Daily_input!CV51="","",2_Daily_input!CV51)</f>
        <v/>
      </c>
      <c r="CW61" s="57" t="str">
        <f aca="false">IF(2_Daily_input!CW51="","",2_Daily_input!CW51)</f>
        <v/>
      </c>
      <c r="CX61" s="57" t="str">
        <f aca="false">IF(2_Daily_input!CX51="","",2_Daily_input!CX51)</f>
        <v/>
      </c>
      <c r="CY61" s="57" t="str">
        <f aca="false">IF(2_Daily_input!CY51="","",2_Daily_input!CY51)</f>
        <v/>
      </c>
      <c r="CZ61" s="57" t="str">
        <f aca="false">IF(2_Daily_input!CZ51="","",2_Daily_input!CZ51)</f>
        <v/>
      </c>
      <c r="DA61" s="57" t="str">
        <f aca="false">IF(2_Daily_input!DA51="","",2_Daily_input!DA51)</f>
        <v/>
      </c>
      <c r="DB61" s="57" t="str">
        <f aca="false">IF(2_Daily_input!DB51="","",2_Daily_input!DB51)</f>
        <v/>
      </c>
      <c r="DC61" s="57" t="n">
        <f aca="false">IF(2_Daily_input!DC51="","",2_Daily_input!DC51)</f>
        <v>18</v>
      </c>
      <c r="DD61" s="57" t="str">
        <f aca="false">IF(2_Daily_input!DD51="","",2_Daily_input!DD51)</f>
        <v/>
      </c>
      <c r="DE61" s="57" t="str">
        <f aca="false">IF(2_Daily_input!DE51="","",2_Daily_input!DE51)</f>
        <v/>
      </c>
      <c r="DF61" s="57" t="str">
        <f aca="false">IF(2_Daily_input!DF51="","",2_Daily_input!DF51)</f>
        <v/>
      </c>
      <c r="DG61" s="57" t="str">
        <f aca="false">IF(2_Daily_input!DG51="","",2_Daily_input!DG51)</f>
        <v/>
      </c>
      <c r="DH61" s="57" t="str">
        <f aca="false">IF(2_Daily_input!DH51="","",2_Daily_input!DH51)</f>
        <v/>
      </c>
      <c r="DI61" s="57" t="str">
        <f aca="false">IF(2_Daily_input!DI51="","",2_Daily_input!DI51)</f>
        <v/>
      </c>
      <c r="DJ61" s="57" t="str">
        <f aca="false">IF(2_Daily_input!DJ51="","",2_Daily_input!DJ51)</f>
        <v/>
      </c>
      <c r="DK61" s="57" t="str">
        <f aca="false">IF(2_Daily_input!DK51="","",2_Daily_input!DK51)</f>
        <v/>
      </c>
      <c r="DL61" s="57" t="str">
        <f aca="false">IF(2_Daily_input!DL51="","",2_Daily_input!DL51)</f>
        <v/>
      </c>
      <c r="DM61" s="57" t="str">
        <f aca="false">IF(2_Daily_input!DM51="","",2_Daily_input!DM51)</f>
        <v/>
      </c>
      <c r="DN61" s="57" t="str">
        <f aca="false">IF(2_Daily_input!DN51="","",2_Daily_input!DN51)</f>
        <v/>
      </c>
      <c r="DO61" s="57" t="str">
        <f aca="false">IF(2_Daily_input!DO51="","",2_Daily_input!DO51)</f>
        <v/>
      </c>
      <c r="DP61" s="57" t="str">
        <f aca="false">IF(2_Daily_input!DP51="","",2_Daily_input!DP51)</f>
        <v/>
      </c>
      <c r="DQ61" s="57" t="str">
        <f aca="false">IF(2_Daily_input!DQ51="","",2_Daily_input!DQ51)</f>
        <v/>
      </c>
      <c r="DR61" s="57" t="n">
        <f aca="false">IF(2_Daily_input!DR51="","",2_Daily_input!DR51)</f>
        <v>16</v>
      </c>
      <c r="DS61" s="57" t="str">
        <f aca="false">IF(2_Daily_input!DS51="","",2_Daily_input!DS51)</f>
        <v/>
      </c>
      <c r="DT61" s="57" t="str">
        <f aca="false">IF(2_Daily_input!DT51="","",2_Daily_input!DT51)</f>
        <v/>
      </c>
      <c r="DU61" s="57" t="str">
        <f aca="false">IF(2_Daily_input!DU51="","",2_Daily_input!DU51)</f>
        <v/>
      </c>
      <c r="DV61" s="57" t="str">
        <f aca="false">IF(2_Daily_input!DV51="","",2_Daily_input!DV51)</f>
        <v/>
      </c>
      <c r="DW61" s="57" t="str">
        <f aca="false">IF(2_Daily_input!DW51="","",2_Daily_input!DW51)</f>
        <v/>
      </c>
      <c r="DX61" s="57" t="str">
        <f aca="false">IF(2_Daily_input!DX51="","",2_Daily_input!DX51)</f>
        <v/>
      </c>
      <c r="DY61" s="57" t="str">
        <f aca="false">IF(2_Daily_input!DY51="","",2_Daily_input!DY51)</f>
        <v/>
      </c>
      <c r="DZ61" s="57" t="str">
        <f aca="false">IF(2_Daily_input!DZ51="","",2_Daily_input!DZ51)</f>
        <v/>
      </c>
      <c r="EA61" s="57" t="str">
        <f aca="false">IF(2_Daily_input!EA51="","",2_Daily_input!EA51)</f>
        <v/>
      </c>
      <c r="EB61" s="57" t="str">
        <f aca="false">IF(2_Daily_input!EB51="","",2_Daily_input!EB51)</f>
        <v/>
      </c>
      <c r="EC61" s="57" t="str">
        <f aca="false">IF(2_Daily_input!EC51="","",2_Daily_input!EC51)</f>
        <v/>
      </c>
      <c r="ED61" s="57" t="str">
        <f aca="false">IF(2_Daily_input!ED51="","",2_Daily_input!ED51)</f>
        <v/>
      </c>
      <c r="EE61" s="57" t="str">
        <f aca="false">IF(2_Daily_input!EE51="","",2_Daily_input!EE51)</f>
        <v/>
      </c>
      <c r="EF61" s="57" t="str">
        <f aca="false">IF(2_Daily_input!EF51="","",2_Daily_input!EF51)</f>
        <v/>
      </c>
      <c r="EG61" s="57" t="str">
        <f aca="false">IF(2_Daily_input!EG51="","",2_Daily_input!EG51)</f>
        <v/>
      </c>
      <c r="EH61" s="57" t="str">
        <f aca="false">IF(2_Daily_input!EH51="","",2_Daily_input!EH51)</f>
        <v/>
      </c>
      <c r="EI61" s="57" t="str">
        <f aca="false">IF(2_Daily_input!EI51="","",2_Daily_input!EI51)</f>
        <v/>
      </c>
      <c r="EJ61" s="57" t="str">
        <f aca="false">IF(2_Daily_input!EJ51="","",2_Daily_input!EJ51)</f>
        <v/>
      </c>
      <c r="EK61" s="57" t="str">
        <f aca="false">IF(2_Daily_input!EK51="","",2_Daily_input!EK51)</f>
        <v/>
      </c>
      <c r="EL61" s="57" t="str">
        <f aca="false">IF(2_Daily_input!EL51="","",2_Daily_input!EL51)</f>
        <v/>
      </c>
      <c r="EM61" s="57" t="str">
        <f aca="false">IF(2_Daily_input!EM51="","",2_Daily_input!EM51)</f>
        <v/>
      </c>
      <c r="EN61" s="57" t="str">
        <f aca="false">IF(2_Daily_input!EN51="","",2_Daily_input!EN51)</f>
        <v/>
      </c>
      <c r="EO61" s="57" t="str">
        <f aca="false">IF(2_Daily_input!EO51="","",2_Daily_input!EO51)</f>
        <v/>
      </c>
      <c r="EP61" s="57" t="str">
        <f aca="false">IF(2_Daily_input!EP51="","",2_Daily_input!EP51)</f>
        <v/>
      </c>
      <c r="EQ61" s="57" t="str">
        <f aca="false">IF(2_Daily_input!EQ51="","",2_Daily_input!EQ51)</f>
        <v/>
      </c>
      <c r="ER61" s="57" t="str">
        <f aca="false">IF(2_Daily_input!ER51="","",2_Daily_input!ER51)</f>
        <v/>
      </c>
      <c r="ES61" s="57" t="str">
        <f aca="false">IF(2_Daily_input!ES51="","",2_Daily_input!ES51)</f>
        <v/>
      </c>
      <c r="ET61" s="57" t="str">
        <f aca="false">IF(2_Daily_input!ET51="","",2_Daily_input!ET51)</f>
        <v/>
      </c>
      <c r="EU61" s="57" t="str">
        <f aca="false">IF(2_Daily_input!EU51="","",2_Daily_input!EU51)</f>
        <v/>
      </c>
      <c r="EV61" s="57" t="str">
        <f aca="false">IF(2_Daily_input!EV51="","",2_Daily_input!EV51)</f>
        <v/>
      </c>
      <c r="EW61" s="57" t="str">
        <f aca="false">IF(2_Daily_input!EW51="","",2_Daily_input!EW51)</f>
        <v/>
      </c>
      <c r="EX61" s="57" t="str">
        <f aca="false">IF(2_Daily_input!EX51="","",2_Daily_input!EX51)</f>
        <v/>
      </c>
      <c r="EY61" s="57" t="str">
        <f aca="false">IF(2_Daily_input!EY51="","",2_Daily_input!EY51)</f>
        <v/>
      </c>
      <c r="EZ61" s="57" t="str">
        <f aca="false">IF(2_Daily_input!EZ51="","",2_Daily_input!EZ51)</f>
        <v/>
      </c>
      <c r="FA61" s="57" t="str">
        <f aca="false">IF(2_Daily_input!FA51="","",2_Daily_input!FA51)</f>
        <v/>
      </c>
      <c r="FB61" s="57" t="str">
        <f aca="false">IF(2_Daily_input!FB51="","",2_Daily_input!FB51)</f>
        <v/>
      </c>
      <c r="FC61" s="57" t="str">
        <f aca="false">IF(2_Daily_input!FC51="","",2_Daily_input!FC51)</f>
        <v/>
      </c>
      <c r="FD61" s="57" t="str">
        <f aca="false">IF(2_Daily_input!FD51="","",2_Daily_input!FD51)</f>
        <v/>
      </c>
      <c r="FE61" s="57" t="str">
        <f aca="false">IF(2_Daily_input!FE51="","",2_Daily_input!FE51)</f>
        <v/>
      </c>
      <c r="FF61" s="57" t="str">
        <f aca="false">IF(2_Daily_input!FF51="","",2_Daily_input!FF51)</f>
        <v/>
      </c>
      <c r="FG61" s="57" t="str">
        <f aca="false">IF(2_Daily_input!FG51="","",2_Daily_input!FG51)</f>
        <v/>
      </c>
      <c r="FH61" s="57" t="str">
        <f aca="false">IF(2_Daily_input!FH51="","",2_Daily_input!FH51)</f>
        <v/>
      </c>
      <c r="FI61" s="57" t="str">
        <f aca="false">IF(2_Daily_input!FI51="","",2_Daily_input!FI51)</f>
        <v/>
      </c>
      <c r="FJ61" s="57" t="str">
        <f aca="false">IF(2_Daily_input!FJ51="","",2_Daily_input!FJ51)</f>
        <v/>
      </c>
      <c r="FK61" s="57" t="str">
        <f aca="false">IF(2_Daily_input!FK51="","",2_Daily_input!FK51)</f>
        <v/>
      </c>
      <c r="FL61" s="57" t="str">
        <f aca="false">IF(2_Daily_input!FL51="","",2_Daily_input!FL51)</f>
        <v/>
      </c>
      <c r="FM61" s="57" t="str">
        <f aca="false">IF(2_Daily_input!FM51="","",2_Daily_input!FM51)</f>
        <v/>
      </c>
      <c r="FN61" s="57" t="str">
        <f aca="false">IF(2_Daily_input!FN51="","",2_Daily_input!FN51)</f>
        <v/>
      </c>
      <c r="FO61" s="57" t="str">
        <f aca="false">IF(2_Daily_input!FO51="","",2_Daily_input!FO51)</f>
        <v/>
      </c>
      <c r="FP61" s="57" t="str">
        <f aca="false">IF(2_Daily_input!FP51="","",2_Daily_input!FP51)</f>
        <v/>
      </c>
      <c r="FQ61" s="57" t="str">
        <f aca="false">IF(2_Daily_input!FQ51="","",2_Daily_input!FQ51)</f>
        <v/>
      </c>
    </row>
    <row r="62" customFormat="false" ht="15" hidden="false" customHeight="false" outlineLevel="0" collapsed="false">
      <c r="A62" s="31" t="s">
        <v>328</v>
      </c>
      <c r="B62" s="31" t="s">
        <v>435</v>
      </c>
      <c r="D62" s="57" t="str">
        <f aca="false">IF(2_Daily_input!D52="","",2_Daily_input!D52)</f>
        <v/>
      </c>
      <c r="E62" s="57" t="str">
        <f aca="false">IF(2_Daily_input!E52="","",2_Daily_input!E52)</f>
        <v/>
      </c>
      <c r="F62" s="57" t="str">
        <f aca="false">IF(2_Daily_input!F52="","",2_Daily_input!F52)</f>
        <v/>
      </c>
      <c r="G62" s="57" t="str">
        <f aca="false">IF(2_Daily_input!G52="","",2_Daily_input!G52)</f>
        <v/>
      </c>
      <c r="H62" s="57" t="str">
        <f aca="false">IF(2_Daily_input!H52="","",2_Daily_input!H52)</f>
        <v/>
      </c>
      <c r="I62" s="57" t="str">
        <f aca="false">IF(2_Daily_input!I52="","",2_Daily_input!I52)</f>
        <v/>
      </c>
      <c r="J62" s="57" t="str">
        <f aca="false">IF(2_Daily_input!J52="","",2_Daily_input!J52)</f>
        <v/>
      </c>
      <c r="K62" s="57" t="str">
        <f aca="false">IF(2_Daily_input!K52="","",2_Daily_input!K52)</f>
        <v/>
      </c>
      <c r="L62" s="57" t="str">
        <f aca="false">IF(2_Daily_input!L52="","",2_Daily_input!L52)</f>
        <v/>
      </c>
      <c r="M62" s="57" t="str">
        <f aca="false">IF(2_Daily_input!M52="","",2_Daily_input!M52)</f>
        <v/>
      </c>
      <c r="N62" s="57" t="str">
        <f aca="false">IF(2_Daily_input!N52="","",2_Daily_input!N52)</f>
        <v/>
      </c>
      <c r="O62" s="57" t="str">
        <f aca="false">IF(2_Daily_input!O52="","",2_Daily_input!O52)</f>
        <v/>
      </c>
      <c r="P62" s="57" t="str">
        <f aca="false">IF(2_Daily_input!P52="","",2_Daily_input!P52)</f>
        <v/>
      </c>
      <c r="Q62" s="57" t="str">
        <f aca="false">IF(2_Daily_input!Q52="","",2_Daily_input!Q52)</f>
        <v/>
      </c>
      <c r="R62" s="57" t="str">
        <f aca="false">IF(2_Daily_input!R52="","",2_Daily_input!R52)</f>
        <v/>
      </c>
      <c r="S62" s="57" t="str">
        <f aca="false">IF(2_Daily_input!S52="","",2_Daily_input!S52)</f>
        <v/>
      </c>
      <c r="T62" s="57" t="str">
        <f aca="false">IF(2_Daily_input!T52="","",2_Daily_input!T52)</f>
        <v/>
      </c>
      <c r="U62" s="57" t="str">
        <f aca="false">IF(2_Daily_input!U52="","",2_Daily_input!U52)</f>
        <v/>
      </c>
      <c r="V62" s="57" t="str">
        <f aca="false">IF(2_Daily_input!V52="","",2_Daily_input!V52)</f>
        <v/>
      </c>
      <c r="W62" s="57" t="str">
        <f aca="false">IF(2_Daily_input!W52="","",2_Daily_input!W52)</f>
        <v/>
      </c>
      <c r="X62" s="57" t="str">
        <f aca="false">IF(2_Daily_input!X52="","",2_Daily_input!X52)</f>
        <v/>
      </c>
      <c r="Y62" s="57" t="str">
        <f aca="false">IF(2_Daily_input!Y52="","",2_Daily_input!Y52)</f>
        <v/>
      </c>
      <c r="Z62" s="57" t="str">
        <f aca="false">IF(2_Daily_input!Z52="","",2_Daily_input!Z52)</f>
        <v/>
      </c>
      <c r="AA62" s="57" t="str">
        <f aca="false">IF(2_Daily_input!AA52="","",2_Daily_input!AA52)</f>
        <v/>
      </c>
      <c r="AB62" s="57" t="str">
        <f aca="false">IF(2_Daily_input!AB52="","",2_Daily_input!AB52)</f>
        <v/>
      </c>
      <c r="AC62" s="57" t="str">
        <f aca="false">IF(2_Daily_input!AC52="","",2_Daily_input!AC52)</f>
        <v/>
      </c>
      <c r="AD62" s="57" t="str">
        <f aca="false">IF(2_Daily_input!AD52="","",2_Daily_input!AD52)</f>
        <v/>
      </c>
      <c r="AE62" s="57" t="str">
        <f aca="false">IF(2_Daily_input!AE52="","",2_Daily_input!AE52)</f>
        <v/>
      </c>
      <c r="AF62" s="57" t="str">
        <f aca="false">IF(2_Daily_input!AF52="","",2_Daily_input!AF52)</f>
        <v/>
      </c>
      <c r="AG62" s="57" t="str">
        <f aca="false">IF(2_Daily_input!AG52="","",2_Daily_input!AG52)</f>
        <v/>
      </c>
      <c r="AH62" s="57" t="str">
        <f aca="false">IF(2_Daily_input!AH52="","",2_Daily_input!AH52)</f>
        <v/>
      </c>
      <c r="AI62" s="57" t="str">
        <f aca="false">IF(2_Daily_input!AI52="","",2_Daily_input!AI52)</f>
        <v/>
      </c>
      <c r="AJ62" s="57" t="str">
        <f aca="false">IF(2_Daily_input!AJ52="","",2_Daily_input!AJ52)</f>
        <v/>
      </c>
      <c r="AK62" s="57" t="str">
        <f aca="false">IF(2_Daily_input!AK52="","",2_Daily_input!AK52)</f>
        <v/>
      </c>
      <c r="AL62" s="57" t="str">
        <f aca="false">IF(2_Daily_input!AL52="","",2_Daily_input!AL52)</f>
        <v/>
      </c>
      <c r="AM62" s="57" t="str">
        <f aca="false">IF(2_Daily_input!AM52="","",2_Daily_input!AM52)</f>
        <v/>
      </c>
      <c r="AN62" s="57" t="str">
        <f aca="false">IF(2_Daily_input!AN52="","",2_Daily_input!AN52)</f>
        <v/>
      </c>
      <c r="AO62" s="57" t="str">
        <f aca="false">IF(2_Daily_input!AO52="","",2_Daily_input!AO52)</f>
        <v/>
      </c>
      <c r="AP62" s="57" t="str">
        <f aca="false">IF(2_Daily_input!AP52="","",2_Daily_input!AP52)</f>
        <v/>
      </c>
      <c r="AQ62" s="57" t="str">
        <f aca="false">IF(2_Daily_input!AQ52="","",2_Daily_input!AQ52)</f>
        <v/>
      </c>
      <c r="AR62" s="57" t="str">
        <f aca="false">IF(2_Daily_input!AR52="","",2_Daily_input!AR52)</f>
        <v/>
      </c>
      <c r="AS62" s="57" t="str">
        <f aca="false">IF(2_Daily_input!AS52="","",2_Daily_input!AS52)</f>
        <v/>
      </c>
      <c r="AT62" s="57" t="str">
        <f aca="false">IF(2_Daily_input!AT52="","",2_Daily_input!AT52)</f>
        <v/>
      </c>
      <c r="AU62" s="57" t="str">
        <f aca="false">IF(2_Daily_input!AU52="","",2_Daily_input!AU52)</f>
        <v/>
      </c>
      <c r="AV62" s="57" t="str">
        <f aca="false">IF(2_Daily_input!AV52="","",2_Daily_input!AV52)</f>
        <v/>
      </c>
      <c r="AW62" s="57" t="str">
        <f aca="false">IF(2_Daily_input!AW52="","",2_Daily_input!AW52)</f>
        <v/>
      </c>
      <c r="AX62" s="57" t="str">
        <f aca="false">IF(2_Daily_input!AX52="","",2_Daily_input!AX52)</f>
        <v/>
      </c>
      <c r="AY62" s="57" t="str">
        <f aca="false">IF(2_Daily_input!AY52="","",2_Daily_input!AY52)</f>
        <v/>
      </c>
      <c r="AZ62" s="57" t="str">
        <f aca="false">IF(2_Daily_input!AZ52="","",2_Daily_input!AZ52)</f>
        <v/>
      </c>
      <c r="BA62" s="57" t="str">
        <f aca="false">IF(2_Daily_input!BA52="","",2_Daily_input!BA52)</f>
        <v/>
      </c>
      <c r="BB62" s="57" t="str">
        <f aca="false">IF(2_Daily_input!BB52="","",2_Daily_input!BB52)</f>
        <v/>
      </c>
      <c r="BC62" s="57" t="str">
        <f aca="false">IF(2_Daily_input!BC52="","",2_Daily_input!BC52)</f>
        <v/>
      </c>
      <c r="BD62" s="57" t="str">
        <f aca="false">IF(2_Daily_input!BD52="","",2_Daily_input!BD52)</f>
        <v/>
      </c>
      <c r="BE62" s="57" t="str">
        <f aca="false">IF(2_Daily_input!BE52="","",2_Daily_input!BE52)</f>
        <v/>
      </c>
      <c r="BF62" s="57" t="str">
        <f aca="false">IF(2_Daily_input!BF52="","",2_Daily_input!BF52)</f>
        <v/>
      </c>
      <c r="BG62" s="57" t="str">
        <f aca="false">IF(2_Daily_input!BG52="","",2_Daily_input!BG52)</f>
        <v/>
      </c>
      <c r="BH62" s="57" t="str">
        <f aca="false">IF(2_Daily_input!BH52="","",2_Daily_input!BH52)</f>
        <v/>
      </c>
      <c r="BI62" s="57" t="str">
        <f aca="false">IF(2_Daily_input!BI52="","",2_Daily_input!BI52)</f>
        <v/>
      </c>
      <c r="BJ62" s="57" t="str">
        <f aca="false">IF(2_Daily_input!BJ52="","",2_Daily_input!BJ52)</f>
        <v/>
      </c>
      <c r="BK62" s="57" t="str">
        <f aca="false">IF(2_Daily_input!BK52="","",2_Daily_input!BK52)</f>
        <v/>
      </c>
      <c r="BL62" s="57" t="str">
        <f aca="false">IF(2_Daily_input!BL52="","",2_Daily_input!BL52)</f>
        <v/>
      </c>
      <c r="BM62" s="57" t="str">
        <f aca="false">IF(2_Daily_input!BM52="","",2_Daily_input!BM52)</f>
        <v/>
      </c>
      <c r="BN62" s="57" t="str">
        <f aca="false">IF(2_Daily_input!BN52="","",2_Daily_input!BN52)</f>
        <v/>
      </c>
      <c r="BO62" s="57" t="str">
        <f aca="false">IF(2_Daily_input!BO52="","",2_Daily_input!BO52)</f>
        <v/>
      </c>
      <c r="BP62" s="57" t="str">
        <f aca="false">IF(2_Daily_input!BP52="","",2_Daily_input!BP52)</f>
        <v/>
      </c>
      <c r="BQ62" s="57" t="str">
        <f aca="false">IF(2_Daily_input!BQ52="","",2_Daily_input!BQ52)</f>
        <v/>
      </c>
      <c r="BR62" s="57" t="str">
        <f aca="false">IF(2_Daily_input!BR52="","",2_Daily_input!BR52)</f>
        <v/>
      </c>
      <c r="BS62" s="57" t="str">
        <f aca="false">IF(2_Daily_input!BS52="","",2_Daily_input!BS52)</f>
        <v/>
      </c>
      <c r="BT62" s="57" t="str">
        <f aca="false">IF(2_Daily_input!BT52="","",2_Daily_input!BT52)</f>
        <v/>
      </c>
      <c r="BU62" s="57" t="str">
        <f aca="false">IF(2_Daily_input!BU52="","",2_Daily_input!BU52)</f>
        <v/>
      </c>
      <c r="BV62" s="57" t="str">
        <f aca="false">IF(2_Daily_input!BV52="","",2_Daily_input!BV52)</f>
        <v/>
      </c>
      <c r="BW62" s="57" t="str">
        <f aca="false">IF(2_Daily_input!BW52="","",2_Daily_input!BW52)</f>
        <v/>
      </c>
      <c r="BX62" s="57" t="str">
        <f aca="false">IF(2_Daily_input!BX52="","",2_Daily_input!BX52)</f>
        <v/>
      </c>
      <c r="BY62" s="57" t="n">
        <f aca="false">IF(2_Daily_input!BY52="","",2_Daily_input!BY52)</f>
        <v>9</v>
      </c>
      <c r="BZ62" s="57" t="str">
        <f aca="false">IF(2_Daily_input!BZ52="","",2_Daily_input!BZ52)</f>
        <v/>
      </c>
      <c r="CA62" s="57" t="str">
        <f aca="false">IF(2_Daily_input!CA52="","",2_Daily_input!CA52)</f>
        <v/>
      </c>
      <c r="CB62" s="57" t="str">
        <f aca="false">IF(2_Daily_input!CB52="","",2_Daily_input!CB52)</f>
        <v/>
      </c>
      <c r="CC62" s="57" t="str">
        <f aca="false">IF(2_Daily_input!CC52="","",2_Daily_input!CC52)</f>
        <v/>
      </c>
      <c r="CD62" s="57" t="str">
        <f aca="false">IF(2_Daily_input!CD52="","",2_Daily_input!CD52)</f>
        <v/>
      </c>
      <c r="CE62" s="57" t="str">
        <f aca="false">IF(2_Daily_input!CE52="","",2_Daily_input!CE52)</f>
        <v/>
      </c>
      <c r="CF62" s="57" t="str">
        <f aca="false">IF(2_Daily_input!CF52="","",2_Daily_input!CF52)</f>
        <v/>
      </c>
      <c r="CG62" s="57" t="str">
        <f aca="false">IF(2_Daily_input!CG52="","",2_Daily_input!CG52)</f>
        <v/>
      </c>
      <c r="CH62" s="57" t="str">
        <f aca="false">IF(2_Daily_input!CH52="","",2_Daily_input!CH52)</f>
        <v/>
      </c>
      <c r="CI62" s="57" t="str">
        <f aca="false">IF(2_Daily_input!CI52="","",2_Daily_input!CI52)</f>
        <v/>
      </c>
      <c r="CJ62" s="57" t="str">
        <f aca="false">IF(2_Daily_input!CJ52="","",2_Daily_input!CJ52)</f>
        <v/>
      </c>
      <c r="CK62" s="57" t="str">
        <f aca="false">IF(2_Daily_input!CK52="","",2_Daily_input!CK52)</f>
        <v/>
      </c>
      <c r="CL62" s="57" t="str">
        <f aca="false">IF(2_Daily_input!CL52="","",2_Daily_input!CL52)</f>
        <v/>
      </c>
      <c r="CM62" s="57" t="str">
        <f aca="false">IF(2_Daily_input!CM52="","",2_Daily_input!CM52)</f>
        <v/>
      </c>
      <c r="CN62" s="57" t="n">
        <f aca="false">IF(2_Daily_input!CN52="","",2_Daily_input!CN52)</f>
        <v>15</v>
      </c>
      <c r="CO62" s="57" t="str">
        <f aca="false">IF(2_Daily_input!CO52="","",2_Daily_input!CO52)</f>
        <v/>
      </c>
      <c r="CP62" s="57" t="str">
        <f aca="false">IF(2_Daily_input!CP52="","",2_Daily_input!CP52)</f>
        <v/>
      </c>
      <c r="CQ62" s="57" t="str">
        <f aca="false">IF(2_Daily_input!CQ52="","",2_Daily_input!CQ52)</f>
        <v/>
      </c>
      <c r="CR62" s="57" t="str">
        <f aca="false">IF(2_Daily_input!CR52="","",2_Daily_input!CR52)</f>
        <v/>
      </c>
      <c r="CS62" s="57" t="str">
        <f aca="false">IF(2_Daily_input!CS52="","",2_Daily_input!CS52)</f>
        <v/>
      </c>
      <c r="CT62" s="57" t="str">
        <f aca="false">IF(2_Daily_input!CT52="","",2_Daily_input!CT52)</f>
        <v/>
      </c>
      <c r="CU62" s="57" t="str">
        <f aca="false">IF(2_Daily_input!CU52="","",2_Daily_input!CU52)</f>
        <v/>
      </c>
      <c r="CV62" s="57" t="str">
        <f aca="false">IF(2_Daily_input!CV52="","",2_Daily_input!CV52)</f>
        <v/>
      </c>
      <c r="CW62" s="57" t="str">
        <f aca="false">IF(2_Daily_input!CW52="","",2_Daily_input!CW52)</f>
        <v/>
      </c>
      <c r="CX62" s="57" t="str">
        <f aca="false">IF(2_Daily_input!CX52="","",2_Daily_input!CX52)</f>
        <v/>
      </c>
      <c r="CY62" s="57" t="str">
        <f aca="false">IF(2_Daily_input!CY52="","",2_Daily_input!CY52)</f>
        <v/>
      </c>
      <c r="CZ62" s="57" t="str">
        <f aca="false">IF(2_Daily_input!CZ52="","",2_Daily_input!CZ52)</f>
        <v/>
      </c>
      <c r="DA62" s="57" t="str">
        <f aca="false">IF(2_Daily_input!DA52="","",2_Daily_input!DA52)</f>
        <v/>
      </c>
      <c r="DB62" s="57" t="str">
        <f aca="false">IF(2_Daily_input!DB52="","",2_Daily_input!DB52)</f>
        <v/>
      </c>
      <c r="DC62" s="57" t="n">
        <f aca="false">IF(2_Daily_input!DC52="","",2_Daily_input!DC52)</f>
        <v>20</v>
      </c>
      <c r="DD62" s="57" t="str">
        <f aca="false">IF(2_Daily_input!DD52="","",2_Daily_input!DD52)</f>
        <v/>
      </c>
      <c r="DE62" s="57" t="str">
        <f aca="false">IF(2_Daily_input!DE52="","",2_Daily_input!DE52)</f>
        <v/>
      </c>
      <c r="DF62" s="57" t="str">
        <f aca="false">IF(2_Daily_input!DF52="","",2_Daily_input!DF52)</f>
        <v/>
      </c>
      <c r="DG62" s="57" t="str">
        <f aca="false">IF(2_Daily_input!DG52="","",2_Daily_input!DG52)</f>
        <v/>
      </c>
      <c r="DH62" s="57" t="str">
        <f aca="false">IF(2_Daily_input!DH52="","",2_Daily_input!DH52)</f>
        <v/>
      </c>
      <c r="DI62" s="57" t="str">
        <f aca="false">IF(2_Daily_input!DI52="","",2_Daily_input!DI52)</f>
        <v/>
      </c>
      <c r="DJ62" s="57" t="str">
        <f aca="false">IF(2_Daily_input!DJ52="","",2_Daily_input!DJ52)</f>
        <v/>
      </c>
      <c r="DK62" s="57" t="str">
        <f aca="false">IF(2_Daily_input!DK52="","",2_Daily_input!DK52)</f>
        <v/>
      </c>
      <c r="DL62" s="57" t="str">
        <f aca="false">IF(2_Daily_input!DL52="","",2_Daily_input!DL52)</f>
        <v/>
      </c>
      <c r="DM62" s="57" t="str">
        <f aca="false">IF(2_Daily_input!DM52="","",2_Daily_input!DM52)</f>
        <v/>
      </c>
      <c r="DN62" s="57" t="str">
        <f aca="false">IF(2_Daily_input!DN52="","",2_Daily_input!DN52)</f>
        <v/>
      </c>
      <c r="DO62" s="57" t="str">
        <f aca="false">IF(2_Daily_input!DO52="","",2_Daily_input!DO52)</f>
        <v/>
      </c>
      <c r="DP62" s="57" t="str">
        <f aca="false">IF(2_Daily_input!DP52="","",2_Daily_input!DP52)</f>
        <v/>
      </c>
      <c r="DQ62" s="57" t="str">
        <f aca="false">IF(2_Daily_input!DQ52="","",2_Daily_input!DQ52)</f>
        <v/>
      </c>
      <c r="DR62" s="57" t="n">
        <f aca="false">IF(2_Daily_input!DR52="","",2_Daily_input!DR52)</f>
        <v>19</v>
      </c>
      <c r="DS62" s="57" t="str">
        <f aca="false">IF(2_Daily_input!DS52="","",2_Daily_input!DS52)</f>
        <v/>
      </c>
      <c r="DT62" s="57" t="str">
        <f aca="false">IF(2_Daily_input!DT52="","",2_Daily_input!DT52)</f>
        <v/>
      </c>
      <c r="DU62" s="57" t="str">
        <f aca="false">IF(2_Daily_input!DU52="","",2_Daily_input!DU52)</f>
        <v/>
      </c>
      <c r="DV62" s="57" t="str">
        <f aca="false">IF(2_Daily_input!DV52="","",2_Daily_input!DV52)</f>
        <v/>
      </c>
      <c r="DW62" s="57" t="str">
        <f aca="false">IF(2_Daily_input!DW52="","",2_Daily_input!DW52)</f>
        <v/>
      </c>
      <c r="DX62" s="57" t="str">
        <f aca="false">IF(2_Daily_input!DX52="","",2_Daily_input!DX52)</f>
        <v/>
      </c>
      <c r="DY62" s="57" t="str">
        <f aca="false">IF(2_Daily_input!DY52="","",2_Daily_input!DY52)</f>
        <v/>
      </c>
      <c r="DZ62" s="57" t="str">
        <f aca="false">IF(2_Daily_input!DZ52="","",2_Daily_input!DZ52)</f>
        <v/>
      </c>
      <c r="EA62" s="57" t="str">
        <f aca="false">IF(2_Daily_input!EA52="","",2_Daily_input!EA52)</f>
        <v/>
      </c>
      <c r="EB62" s="57" t="str">
        <f aca="false">IF(2_Daily_input!EB52="","",2_Daily_input!EB52)</f>
        <v/>
      </c>
      <c r="EC62" s="57" t="str">
        <f aca="false">IF(2_Daily_input!EC52="","",2_Daily_input!EC52)</f>
        <v/>
      </c>
      <c r="ED62" s="57" t="str">
        <f aca="false">IF(2_Daily_input!ED52="","",2_Daily_input!ED52)</f>
        <v/>
      </c>
      <c r="EE62" s="57" t="str">
        <f aca="false">IF(2_Daily_input!EE52="","",2_Daily_input!EE52)</f>
        <v/>
      </c>
      <c r="EF62" s="57" t="str">
        <f aca="false">IF(2_Daily_input!EF52="","",2_Daily_input!EF52)</f>
        <v/>
      </c>
      <c r="EG62" s="57" t="str">
        <f aca="false">IF(2_Daily_input!EG52="","",2_Daily_input!EG52)</f>
        <v/>
      </c>
      <c r="EH62" s="57" t="str">
        <f aca="false">IF(2_Daily_input!EH52="","",2_Daily_input!EH52)</f>
        <v/>
      </c>
      <c r="EI62" s="57" t="str">
        <f aca="false">IF(2_Daily_input!EI52="","",2_Daily_input!EI52)</f>
        <v/>
      </c>
      <c r="EJ62" s="57" t="str">
        <f aca="false">IF(2_Daily_input!EJ52="","",2_Daily_input!EJ52)</f>
        <v/>
      </c>
      <c r="EK62" s="57" t="str">
        <f aca="false">IF(2_Daily_input!EK52="","",2_Daily_input!EK52)</f>
        <v/>
      </c>
      <c r="EL62" s="57" t="str">
        <f aca="false">IF(2_Daily_input!EL52="","",2_Daily_input!EL52)</f>
        <v/>
      </c>
      <c r="EM62" s="57" t="str">
        <f aca="false">IF(2_Daily_input!EM52="","",2_Daily_input!EM52)</f>
        <v/>
      </c>
      <c r="EN62" s="57" t="str">
        <f aca="false">IF(2_Daily_input!EN52="","",2_Daily_input!EN52)</f>
        <v/>
      </c>
      <c r="EO62" s="57" t="str">
        <f aca="false">IF(2_Daily_input!EO52="","",2_Daily_input!EO52)</f>
        <v/>
      </c>
      <c r="EP62" s="57" t="str">
        <f aca="false">IF(2_Daily_input!EP52="","",2_Daily_input!EP52)</f>
        <v/>
      </c>
      <c r="EQ62" s="57" t="str">
        <f aca="false">IF(2_Daily_input!EQ52="","",2_Daily_input!EQ52)</f>
        <v/>
      </c>
      <c r="ER62" s="57" t="str">
        <f aca="false">IF(2_Daily_input!ER52="","",2_Daily_input!ER52)</f>
        <v/>
      </c>
      <c r="ES62" s="57" t="str">
        <f aca="false">IF(2_Daily_input!ES52="","",2_Daily_input!ES52)</f>
        <v/>
      </c>
      <c r="ET62" s="57" t="str">
        <f aca="false">IF(2_Daily_input!ET52="","",2_Daily_input!ET52)</f>
        <v/>
      </c>
      <c r="EU62" s="57" t="str">
        <f aca="false">IF(2_Daily_input!EU52="","",2_Daily_input!EU52)</f>
        <v/>
      </c>
      <c r="EV62" s="57" t="str">
        <f aca="false">IF(2_Daily_input!EV52="","",2_Daily_input!EV52)</f>
        <v/>
      </c>
      <c r="EW62" s="57" t="str">
        <f aca="false">IF(2_Daily_input!EW52="","",2_Daily_input!EW52)</f>
        <v/>
      </c>
      <c r="EX62" s="57" t="str">
        <f aca="false">IF(2_Daily_input!EX52="","",2_Daily_input!EX52)</f>
        <v/>
      </c>
      <c r="EY62" s="57" t="str">
        <f aca="false">IF(2_Daily_input!EY52="","",2_Daily_input!EY52)</f>
        <v/>
      </c>
      <c r="EZ62" s="57" t="str">
        <f aca="false">IF(2_Daily_input!EZ52="","",2_Daily_input!EZ52)</f>
        <v/>
      </c>
      <c r="FA62" s="57" t="str">
        <f aca="false">IF(2_Daily_input!FA52="","",2_Daily_input!FA52)</f>
        <v/>
      </c>
      <c r="FB62" s="57" t="str">
        <f aca="false">IF(2_Daily_input!FB52="","",2_Daily_input!FB52)</f>
        <v/>
      </c>
      <c r="FC62" s="57" t="str">
        <f aca="false">IF(2_Daily_input!FC52="","",2_Daily_input!FC52)</f>
        <v/>
      </c>
      <c r="FD62" s="57" t="str">
        <f aca="false">IF(2_Daily_input!FD52="","",2_Daily_input!FD52)</f>
        <v/>
      </c>
      <c r="FE62" s="57" t="str">
        <f aca="false">IF(2_Daily_input!FE52="","",2_Daily_input!FE52)</f>
        <v/>
      </c>
      <c r="FF62" s="57" t="str">
        <f aca="false">IF(2_Daily_input!FF52="","",2_Daily_input!FF52)</f>
        <v/>
      </c>
      <c r="FG62" s="57" t="str">
        <f aca="false">IF(2_Daily_input!FG52="","",2_Daily_input!FG52)</f>
        <v/>
      </c>
      <c r="FH62" s="57" t="str">
        <f aca="false">IF(2_Daily_input!FH52="","",2_Daily_input!FH52)</f>
        <v/>
      </c>
      <c r="FI62" s="57" t="str">
        <f aca="false">IF(2_Daily_input!FI52="","",2_Daily_input!FI52)</f>
        <v/>
      </c>
      <c r="FJ62" s="57" t="str">
        <f aca="false">IF(2_Daily_input!FJ52="","",2_Daily_input!FJ52)</f>
        <v/>
      </c>
      <c r="FK62" s="57" t="str">
        <f aca="false">IF(2_Daily_input!FK52="","",2_Daily_input!FK52)</f>
        <v/>
      </c>
      <c r="FL62" s="57" t="str">
        <f aca="false">IF(2_Daily_input!FL52="","",2_Daily_input!FL52)</f>
        <v/>
      </c>
      <c r="FM62" s="57" t="str">
        <f aca="false">IF(2_Daily_input!FM52="","",2_Daily_input!FM52)</f>
        <v/>
      </c>
      <c r="FN62" s="57" t="str">
        <f aca="false">IF(2_Daily_input!FN52="","",2_Daily_input!FN52)</f>
        <v/>
      </c>
      <c r="FO62" s="57" t="str">
        <f aca="false">IF(2_Daily_input!FO52="","",2_Daily_input!FO52)</f>
        <v/>
      </c>
      <c r="FP62" s="57" t="str">
        <f aca="false">IF(2_Daily_input!FP52="","",2_Daily_input!FP52)</f>
        <v/>
      </c>
      <c r="FQ62" s="57" t="str">
        <f aca="false">IF(2_Daily_input!FQ52="","",2_Daily_input!FQ52)</f>
        <v/>
      </c>
    </row>
    <row r="63" customFormat="false" ht="15" hidden="false" customHeight="false" outlineLevel="0" collapsed="false">
      <c r="A63" s="31" t="s">
        <v>328</v>
      </c>
      <c r="B63" s="31" t="s">
        <v>436</v>
      </c>
      <c r="D63" s="57" t="str">
        <f aca="false">IF(2_Daily_input!D53="","",2_Daily_input!D53)</f>
        <v/>
      </c>
      <c r="E63" s="57" t="str">
        <f aca="false">IF(2_Daily_input!E53="","",2_Daily_input!E53)</f>
        <v/>
      </c>
      <c r="F63" s="57" t="str">
        <f aca="false">IF(2_Daily_input!F53="","",2_Daily_input!F53)</f>
        <v/>
      </c>
      <c r="G63" s="57" t="str">
        <f aca="false">IF(2_Daily_input!G53="","",2_Daily_input!G53)</f>
        <v/>
      </c>
      <c r="H63" s="57" t="str">
        <f aca="false">IF(2_Daily_input!H53="","",2_Daily_input!H53)</f>
        <v/>
      </c>
      <c r="I63" s="57" t="str">
        <f aca="false">IF(2_Daily_input!I53="","",2_Daily_input!I53)</f>
        <v/>
      </c>
      <c r="J63" s="57" t="str">
        <f aca="false">IF(2_Daily_input!J53="","",2_Daily_input!J53)</f>
        <v/>
      </c>
      <c r="K63" s="57" t="str">
        <f aca="false">IF(2_Daily_input!K53="","",2_Daily_input!K53)</f>
        <v/>
      </c>
      <c r="L63" s="57" t="str">
        <f aca="false">IF(2_Daily_input!L53="","",2_Daily_input!L53)</f>
        <v/>
      </c>
      <c r="M63" s="57" t="str">
        <f aca="false">IF(2_Daily_input!M53="","",2_Daily_input!M53)</f>
        <v/>
      </c>
      <c r="N63" s="57" t="str">
        <f aca="false">IF(2_Daily_input!N53="","",2_Daily_input!N53)</f>
        <v/>
      </c>
      <c r="O63" s="57" t="str">
        <f aca="false">IF(2_Daily_input!O53="","",2_Daily_input!O53)</f>
        <v/>
      </c>
      <c r="P63" s="57" t="str">
        <f aca="false">IF(2_Daily_input!P53="","",2_Daily_input!P53)</f>
        <v/>
      </c>
      <c r="Q63" s="57" t="str">
        <f aca="false">IF(2_Daily_input!Q53="","",2_Daily_input!Q53)</f>
        <v/>
      </c>
      <c r="R63" s="57" t="str">
        <f aca="false">IF(2_Daily_input!R53="","",2_Daily_input!R53)</f>
        <v/>
      </c>
      <c r="S63" s="57" t="str">
        <f aca="false">IF(2_Daily_input!S53="","",2_Daily_input!S53)</f>
        <v/>
      </c>
      <c r="T63" s="57" t="str">
        <f aca="false">IF(2_Daily_input!T53="","",2_Daily_input!T53)</f>
        <v/>
      </c>
      <c r="U63" s="57" t="str">
        <f aca="false">IF(2_Daily_input!U53="","",2_Daily_input!U53)</f>
        <v/>
      </c>
      <c r="V63" s="57" t="str">
        <f aca="false">IF(2_Daily_input!V53="","",2_Daily_input!V53)</f>
        <v/>
      </c>
      <c r="W63" s="57" t="str">
        <f aca="false">IF(2_Daily_input!W53="","",2_Daily_input!W53)</f>
        <v/>
      </c>
      <c r="X63" s="57" t="str">
        <f aca="false">IF(2_Daily_input!X53="","",2_Daily_input!X53)</f>
        <v/>
      </c>
      <c r="Y63" s="57" t="str">
        <f aca="false">IF(2_Daily_input!Y53="","",2_Daily_input!Y53)</f>
        <v/>
      </c>
      <c r="Z63" s="57" t="str">
        <f aca="false">IF(2_Daily_input!Z53="","",2_Daily_input!Z53)</f>
        <v/>
      </c>
      <c r="AA63" s="57" t="str">
        <f aca="false">IF(2_Daily_input!AA53="","",2_Daily_input!AA53)</f>
        <v/>
      </c>
      <c r="AB63" s="57" t="str">
        <f aca="false">IF(2_Daily_input!AB53="","",2_Daily_input!AB53)</f>
        <v/>
      </c>
      <c r="AC63" s="57" t="str">
        <f aca="false">IF(2_Daily_input!AC53="","",2_Daily_input!AC53)</f>
        <v/>
      </c>
      <c r="AD63" s="57" t="str">
        <f aca="false">IF(2_Daily_input!AD53="","",2_Daily_input!AD53)</f>
        <v/>
      </c>
      <c r="AE63" s="57" t="str">
        <f aca="false">IF(2_Daily_input!AE53="","",2_Daily_input!AE53)</f>
        <v/>
      </c>
      <c r="AF63" s="57" t="str">
        <f aca="false">IF(2_Daily_input!AF53="","",2_Daily_input!AF53)</f>
        <v/>
      </c>
      <c r="AG63" s="57" t="str">
        <f aca="false">IF(2_Daily_input!AG53="","",2_Daily_input!AG53)</f>
        <v/>
      </c>
      <c r="AH63" s="57" t="str">
        <f aca="false">IF(2_Daily_input!AH53="","",2_Daily_input!AH53)</f>
        <v/>
      </c>
      <c r="AI63" s="57" t="str">
        <f aca="false">IF(2_Daily_input!AI53="","",2_Daily_input!AI53)</f>
        <v/>
      </c>
      <c r="AJ63" s="57" t="str">
        <f aca="false">IF(2_Daily_input!AJ53="","",2_Daily_input!AJ53)</f>
        <v/>
      </c>
      <c r="AK63" s="57" t="str">
        <f aca="false">IF(2_Daily_input!AK53="","",2_Daily_input!AK53)</f>
        <v/>
      </c>
      <c r="AL63" s="57" t="str">
        <f aca="false">IF(2_Daily_input!AL53="","",2_Daily_input!AL53)</f>
        <v/>
      </c>
      <c r="AM63" s="57" t="str">
        <f aca="false">IF(2_Daily_input!AM53="","",2_Daily_input!AM53)</f>
        <v/>
      </c>
      <c r="AN63" s="57" t="str">
        <f aca="false">IF(2_Daily_input!AN53="","",2_Daily_input!AN53)</f>
        <v/>
      </c>
      <c r="AO63" s="57" t="str">
        <f aca="false">IF(2_Daily_input!AO53="","",2_Daily_input!AO53)</f>
        <v/>
      </c>
      <c r="AP63" s="57" t="str">
        <f aca="false">IF(2_Daily_input!AP53="","",2_Daily_input!AP53)</f>
        <v/>
      </c>
      <c r="AQ63" s="57" t="str">
        <f aca="false">IF(2_Daily_input!AQ53="","",2_Daily_input!AQ53)</f>
        <v/>
      </c>
      <c r="AR63" s="57" t="str">
        <f aca="false">IF(2_Daily_input!AR53="","",2_Daily_input!AR53)</f>
        <v/>
      </c>
      <c r="AS63" s="57" t="str">
        <f aca="false">IF(2_Daily_input!AS53="","",2_Daily_input!AS53)</f>
        <v/>
      </c>
      <c r="AT63" s="57" t="str">
        <f aca="false">IF(2_Daily_input!AT53="","",2_Daily_input!AT53)</f>
        <v/>
      </c>
      <c r="AU63" s="57" t="str">
        <f aca="false">IF(2_Daily_input!AU53="","",2_Daily_input!AU53)</f>
        <v/>
      </c>
      <c r="AV63" s="57" t="str">
        <f aca="false">IF(2_Daily_input!AV53="","",2_Daily_input!AV53)</f>
        <v/>
      </c>
      <c r="AW63" s="57" t="str">
        <f aca="false">IF(2_Daily_input!AW53="","",2_Daily_input!AW53)</f>
        <v/>
      </c>
      <c r="AX63" s="57" t="str">
        <f aca="false">IF(2_Daily_input!AX53="","",2_Daily_input!AX53)</f>
        <v/>
      </c>
      <c r="AY63" s="57" t="str">
        <f aca="false">IF(2_Daily_input!AY53="","",2_Daily_input!AY53)</f>
        <v/>
      </c>
      <c r="AZ63" s="57" t="str">
        <f aca="false">IF(2_Daily_input!AZ53="","",2_Daily_input!AZ53)</f>
        <v/>
      </c>
      <c r="BA63" s="57" t="str">
        <f aca="false">IF(2_Daily_input!BA53="","",2_Daily_input!BA53)</f>
        <v/>
      </c>
      <c r="BB63" s="57" t="str">
        <f aca="false">IF(2_Daily_input!BB53="","",2_Daily_input!BB53)</f>
        <v/>
      </c>
      <c r="BC63" s="57" t="str">
        <f aca="false">IF(2_Daily_input!BC53="","",2_Daily_input!BC53)</f>
        <v/>
      </c>
      <c r="BD63" s="57" t="str">
        <f aca="false">IF(2_Daily_input!BD53="","",2_Daily_input!BD53)</f>
        <v/>
      </c>
      <c r="BE63" s="57" t="str">
        <f aca="false">IF(2_Daily_input!BE53="","",2_Daily_input!BE53)</f>
        <v/>
      </c>
      <c r="BF63" s="57" t="str">
        <f aca="false">IF(2_Daily_input!BF53="","",2_Daily_input!BF53)</f>
        <v/>
      </c>
      <c r="BG63" s="57" t="str">
        <f aca="false">IF(2_Daily_input!BG53="","",2_Daily_input!BG53)</f>
        <v/>
      </c>
      <c r="BH63" s="57" t="str">
        <f aca="false">IF(2_Daily_input!BH53="","",2_Daily_input!BH53)</f>
        <v/>
      </c>
      <c r="BI63" s="57" t="str">
        <f aca="false">IF(2_Daily_input!BI53="","",2_Daily_input!BI53)</f>
        <v/>
      </c>
      <c r="BJ63" s="57" t="str">
        <f aca="false">IF(2_Daily_input!BJ53="","",2_Daily_input!BJ53)</f>
        <v/>
      </c>
      <c r="BK63" s="57" t="str">
        <f aca="false">IF(2_Daily_input!BK53="","",2_Daily_input!BK53)</f>
        <v/>
      </c>
      <c r="BL63" s="57" t="str">
        <f aca="false">IF(2_Daily_input!BL53="","",2_Daily_input!BL53)</f>
        <v/>
      </c>
      <c r="BM63" s="57" t="str">
        <f aca="false">IF(2_Daily_input!BM53="","",2_Daily_input!BM53)</f>
        <v/>
      </c>
      <c r="BN63" s="57" t="str">
        <f aca="false">IF(2_Daily_input!BN53="","",2_Daily_input!BN53)</f>
        <v/>
      </c>
      <c r="BO63" s="57" t="str">
        <f aca="false">IF(2_Daily_input!BO53="","",2_Daily_input!BO53)</f>
        <v/>
      </c>
      <c r="BP63" s="57" t="str">
        <f aca="false">IF(2_Daily_input!BP53="","",2_Daily_input!BP53)</f>
        <v/>
      </c>
      <c r="BQ63" s="57" t="str">
        <f aca="false">IF(2_Daily_input!BQ53="","",2_Daily_input!BQ53)</f>
        <v/>
      </c>
      <c r="BR63" s="57" t="str">
        <f aca="false">IF(2_Daily_input!BR53="","",2_Daily_input!BR53)</f>
        <v/>
      </c>
      <c r="BS63" s="57" t="str">
        <f aca="false">IF(2_Daily_input!BS53="","",2_Daily_input!BS53)</f>
        <v/>
      </c>
      <c r="BT63" s="57" t="str">
        <f aca="false">IF(2_Daily_input!BT53="","",2_Daily_input!BT53)</f>
        <v/>
      </c>
      <c r="BU63" s="57" t="str">
        <f aca="false">IF(2_Daily_input!BU53="","",2_Daily_input!BU53)</f>
        <v/>
      </c>
      <c r="BV63" s="57" t="str">
        <f aca="false">IF(2_Daily_input!BV53="","",2_Daily_input!BV53)</f>
        <v/>
      </c>
      <c r="BW63" s="57" t="str">
        <f aca="false">IF(2_Daily_input!BW53="","",2_Daily_input!BW53)</f>
        <v/>
      </c>
      <c r="BX63" s="57" t="str">
        <f aca="false">IF(2_Daily_input!BX53="","",2_Daily_input!BX53)</f>
        <v/>
      </c>
      <c r="BY63" s="57" t="n">
        <f aca="false">IF(2_Daily_input!BY53="","",2_Daily_input!BY53)</f>
        <v>8</v>
      </c>
      <c r="BZ63" s="57" t="str">
        <f aca="false">IF(2_Daily_input!BZ53="","",2_Daily_input!BZ53)</f>
        <v/>
      </c>
      <c r="CA63" s="57" t="str">
        <f aca="false">IF(2_Daily_input!CA53="","",2_Daily_input!CA53)</f>
        <v/>
      </c>
      <c r="CB63" s="57" t="str">
        <f aca="false">IF(2_Daily_input!CB53="","",2_Daily_input!CB53)</f>
        <v/>
      </c>
      <c r="CC63" s="57" t="str">
        <f aca="false">IF(2_Daily_input!CC53="","",2_Daily_input!CC53)</f>
        <v/>
      </c>
      <c r="CD63" s="57" t="str">
        <f aca="false">IF(2_Daily_input!CD53="","",2_Daily_input!CD53)</f>
        <v/>
      </c>
      <c r="CE63" s="57" t="str">
        <f aca="false">IF(2_Daily_input!CE53="","",2_Daily_input!CE53)</f>
        <v/>
      </c>
      <c r="CF63" s="57" t="str">
        <f aca="false">IF(2_Daily_input!CF53="","",2_Daily_input!CF53)</f>
        <v/>
      </c>
      <c r="CG63" s="57" t="str">
        <f aca="false">IF(2_Daily_input!CG53="","",2_Daily_input!CG53)</f>
        <v/>
      </c>
      <c r="CH63" s="57" t="str">
        <f aca="false">IF(2_Daily_input!CH53="","",2_Daily_input!CH53)</f>
        <v/>
      </c>
      <c r="CI63" s="57" t="str">
        <f aca="false">IF(2_Daily_input!CI53="","",2_Daily_input!CI53)</f>
        <v/>
      </c>
      <c r="CJ63" s="57" t="str">
        <f aca="false">IF(2_Daily_input!CJ53="","",2_Daily_input!CJ53)</f>
        <v/>
      </c>
      <c r="CK63" s="57" t="str">
        <f aca="false">IF(2_Daily_input!CK53="","",2_Daily_input!CK53)</f>
        <v/>
      </c>
      <c r="CL63" s="57" t="str">
        <f aca="false">IF(2_Daily_input!CL53="","",2_Daily_input!CL53)</f>
        <v/>
      </c>
      <c r="CM63" s="57" t="str">
        <f aca="false">IF(2_Daily_input!CM53="","",2_Daily_input!CM53)</f>
        <v/>
      </c>
      <c r="CN63" s="57" t="n">
        <f aca="false">IF(2_Daily_input!CN53="","",2_Daily_input!CN53)</f>
        <v>14</v>
      </c>
      <c r="CO63" s="57" t="str">
        <f aca="false">IF(2_Daily_input!CO53="","",2_Daily_input!CO53)</f>
        <v/>
      </c>
      <c r="CP63" s="57" t="str">
        <f aca="false">IF(2_Daily_input!CP53="","",2_Daily_input!CP53)</f>
        <v/>
      </c>
      <c r="CQ63" s="57" t="str">
        <f aca="false">IF(2_Daily_input!CQ53="","",2_Daily_input!CQ53)</f>
        <v/>
      </c>
      <c r="CR63" s="57" t="str">
        <f aca="false">IF(2_Daily_input!CR53="","",2_Daily_input!CR53)</f>
        <v/>
      </c>
      <c r="CS63" s="57" t="str">
        <f aca="false">IF(2_Daily_input!CS53="","",2_Daily_input!CS53)</f>
        <v/>
      </c>
      <c r="CT63" s="57" t="str">
        <f aca="false">IF(2_Daily_input!CT53="","",2_Daily_input!CT53)</f>
        <v/>
      </c>
      <c r="CU63" s="57" t="str">
        <f aca="false">IF(2_Daily_input!CU53="","",2_Daily_input!CU53)</f>
        <v/>
      </c>
      <c r="CV63" s="57" t="str">
        <f aca="false">IF(2_Daily_input!CV53="","",2_Daily_input!CV53)</f>
        <v/>
      </c>
      <c r="CW63" s="57" t="str">
        <f aca="false">IF(2_Daily_input!CW53="","",2_Daily_input!CW53)</f>
        <v/>
      </c>
      <c r="CX63" s="57" t="str">
        <f aca="false">IF(2_Daily_input!CX53="","",2_Daily_input!CX53)</f>
        <v/>
      </c>
      <c r="CY63" s="57" t="str">
        <f aca="false">IF(2_Daily_input!CY53="","",2_Daily_input!CY53)</f>
        <v/>
      </c>
      <c r="CZ63" s="57" t="str">
        <f aca="false">IF(2_Daily_input!CZ53="","",2_Daily_input!CZ53)</f>
        <v/>
      </c>
      <c r="DA63" s="57" t="str">
        <f aca="false">IF(2_Daily_input!DA53="","",2_Daily_input!DA53)</f>
        <v/>
      </c>
      <c r="DB63" s="57" t="str">
        <f aca="false">IF(2_Daily_input!DB53="","",2_Daily_input!DB53)</f>
        <v/>
      </c>
      <c r="DC63" s="57" t="n">
        <f aca="false">IF(2_Daily_input!DC53="","",2_Daily_input!DC53)</f>
        <v>16</v>
      </c>
      <c r="DD63" s="57" t="str">
        <f aca="false">IF(2_Daily_input!DD53="","",2_Daily_input!DD53)</f>
        <v/>
      </c>
      <c r="DE63" s="57" t="str">
        <f aca="false">IF(2_Daily_input!DE53="","",2_Daily_input!DE53)</f>
        <v/>
      </c>
      <c r="DF63" s="57" t="str">
        <f aca="false">IF(2_Daily_input!DF53="","",2_Daily_input!DF53)</f>
        <v/>
      </c>
      <c r="DG63" s="57" t="str">
        <f aca="false">IF(2_Daily_input!DG53="","",2_Daily_input!DG53)</f>
        <v/>
      </c>
      <c r="DH63" s="57" t="str">
        <f aca="false">IF(2_Daily_input!DH53="","",2_Daily_input!DH53)</f>
        <v/>
      </c>
      <c r="DI63" s="57" t="str">
        <f aca="false">IF(2_Daily_input!DI53="","",2_Daily_input!DI53)</f>
        <v/>
      </c>
      <c r="DJ63" s="57" t="str">
        <f aca="false">IF(2_Daily_input!DJ53="","",2_Daily_input!DJ53)</f>
        <v/>
      </c>
      <c r="DK63" s="57" t="str">
        <f aca="false">IF(2_Daily_input!DK53="","",2_Daily_input!DK53)</f>
        <v/>
      </c>
      <c r="DL63" s="57" t="str">
        <f aca="false">IF(2_Daily_input!DL53="","",2_Daily_input!DL53)</f>
        <v/>
      </c>
      <c r="DM63" s="57" t="str">
        <f aca="false">IF(2_Daily_input!DM53="","",2_Daily_input!DM53)</f>
        <v/>
      </c>
      <c r="DN63" s="57" t="str">
        <f aca="false">IF(2_Daily_input!DN53="","",2_Daily_input!DN53)</f>
        <v/>
      </c>
      <c r="DO63" s="57" t="str">
        <f aca="false">IF(2_Daily_input!DO53="","",2_Daily_input!DO53)</f>
        <v/>
      </c>
      <c r="DP63" s="57" t="str">
        <f aca="false">IF(2_Daily_input!DP53="","",2_Daily_input!DP53)</f>
        <v/>
      </c>
      <c r="DQ63" s="57" t="str">
        <f aca="false">IF(2_Daily_input!DQ53="","",2_Daily_input!DQ53)</f>
        <v/>
      </c>
      <c r="DR63" s="57" t="n">
        <f aca="false">IF(2_Daily_input!DR53="","",2_Daily_input!DR53)</f>
        <v>18</v>
      </c>
      <c r="DS63" s="57" t="str">
        <f aca="false">IF(2_Daily_input!DS53="","",2_Daily_input!DS53)</f>
        <v/>
      </c>
      <c r="DT63" s="57" t="str">
        <f aca="false">IF(2_Daily_input!DT53="","",2_Daily_input!DT53)</f>
        <v/>
      </c>
      <c r="DU63" s="57" t="str">
        <f aca="false">IF(2_Daily_input!DU53="","",2_Daily_input!DU53)</f>
        <v/>
      </c>
      <c r="DV63" s="57" t="str">
        <f aca="false">IF(2_Daily_input!DV53="","",2_Daily_input!DV53)</f>
        <v/>
      </c>
      <c r="DW63" s="57" t="str">
        <f aca="false">IF(2_Daily_input!DW53="","",2_Daily_input!DW53)</f>
        <v/>
      </c>
      <c r="DX63" s="57" t="str">
        <f aca="false">IF(2_Daily_input!DX53="","",2_Daily_input!DX53)</f>
        <v/>
      </c>
      <c r="DY63" s="57" t="str">
        <f aca="false">IF(2_Daily_input!DY53="","",2_Daily_input!DY53)</f>
        <v/>
      </c>
      <c r="DZ63" s="57" t="str">
        <f aca="false">IF(2_Daily_input!DZ53="","",2_Daily_input!DZ53)</f>
        <v/>
      </c>
      <c r="EA63" s="57" t="str">
        <f aca="false">IF(2_Daily_input!EA53="","",2_Daily_input!EA53)</f>
        <v/>
      </c>
      <c r="EB63" s="57" t="str">
        <f aca="false">IF(2_Daily_input!EB53="","",2_Daily_input!EB53)</f>
        <v/>
      </c>
      <c r="EC63" s="57" t="str">
        <f aca="false">IF(2_Daily_input!EC53="","",2_Daily_input!EC53)</f>
        <v/>
      </c>
      <c r="ED63" s="57" t="str">
        <f aca="false">IF(2_Daily_input!ED53="","",2_Daily_input!ED53)</f>
        <v/>
      </c>
      <c r="EE63" s="57" t="str">
        <f aca="false">IF(2_Daily_input!EE53="","",2_Daily_input!EE53)</f>
        <v/>
      </c>
      <c r="EF63" s="57" t="str">
        <f aca="false">IF(2_Daily_input!EF53="","",2_Daily_input!EF53)</f>
        <v/>
      </c>
      <c r="EG63" s="57" t="str">
        <f aca="false">IF(2_Daily_input!EG53="","",2_Daily_input!EG53)</f>
        <v/>
      </c>
      <c r="EH63" s="57" t="str">
        <f aca="false">IF(2_Daily_input!EH53="","",2_Daily_input!EH53)</f>
        <v/>
      </c>
      <c r="EI63" s="57" t="str">
        <f aca="false">IF(2_Daily_input!EI53="","",2_Daily_input!EI53)</f>
        <v/>
      </c>
      <c r="EJ63" s="57" t="str">
        <f aca="false">IF(2_Daily_input!EJ53="","",2_Daily_input!EJ53)</f>
        <v/>
      </c>
      <c r="EK63" s="57" t="str">
        <f aca="false">IF(2_Daily_input!EK53="","",2_Daily_input!EK53)</f>
        <v/>
      </c>
      <c r="EL63" s="57" t="str">
        <f aca="false">IF(2_Daily_input!EL53="","",2_Daily_input!EL53)</f>
        <v/>
      </c>
      <c r="EM63" s="57" t="str">
        <f aca="false">IF(2_Daily_input!EM53="","",2_Daily_input!EM53)</f>
        <v/>
      </c>
      <c r="EN63" s="57" t="str">
        <f aca="false">IF(2_Daily_input!EN53="","",2_Daily_input!EN53)</f>
        <v/>
      </c>
      <c r="EO63" s="57" t="str">
        <f aca="false">IF(2_Daily_input!EO53="","",2_Daily_input!EO53)</f>
        <v/>
      </c>
      <c r="EP63" s="57" t="str">
        <f aca="false">IF(2_Daily_input!EP53="","",2_Daily_input!EP53)</f>
        <v/>
      </c>
      <c r="EQ63" s="57" t="str">
        <f aca="false">IF(2_Daily_input!EQ53="","",2_Daily_input!EQ53)</f>
        <v/>
      </c>
      <c r="ER63" s="57" t="str">
        <f aca="false">IF(2_Daily_input!ER53="","",2_Daily_input!ER53)</f>
        <v/>
      </c>
      <c r="ES63" s="57" t="str">
        <f aca="false">IF(2_Daily_input!ES53="","",2_Daily_input!ES53)</f>
        <v/>
      </c>
      <c r="ET63" s="57" t="str">
        <f aca="false">IF(2_Daily_input!ET53="","",2_Daily_input!ET53)</f>
        <v/>
      </c>
      <c r="EU63" s="57" t="str">
        <f aca="false">IF(2_Daily_input!EU53="","",2_Daily_input!EU53)</f>
        <v/>
      </c>
      <c r="EV63" s="57" t="str">
        <f aca="false">IF(2_Daily_input!EV53="","",2_Daily_input!EV53)</f>
        <v/>
      </c>
      <c r="EW63" s="57" t="str">
        <f aca="false">IF(2_Daily_input!EW53="","",2_Daily_input!EW53)</f>
        <v/>
      </c>
      <c r="EX63" s="57" t="str">
        <f aca="false">IF(2_Daily_input!EX53="","",2_Daily_input!EX53)</f>
        <v/>
      </c>
      <c r="EY63" s="57" t="str">
        <f aca="false">IF(2_Daily_input!EY53="","",2_Daily_input!EY53)</f>
        <v/>
      </c>
      <c r="EZ63" s="57" t="str">
        <f aca="false">IF(2_Daily_input!EZ53="","",2_Daily_input!EZ53)</f>
        <v/>
      </c>
      <c r="FA63" s="57" t="str">
        <f aca="false">IF(2_Daily_input!FA53="","",2_Daily_input!FA53)</f>
        <v/>
      </c>
      <c r="FB63" s="57" t="str">
        <f aca="false">IF(2_Daily_input!FB53="","",2_Daily_input!FB53)</f>
        <v/>
      </c>
      <c r="FC63" s="57" t="str">
        <f aca="false">IF(2_Daily_input!FC53="","",2_Daily_input!FC53)</f>
        <v/>
      </c>
      <c r="FD63" s="57" t="str">
        <f aca="false">IF(2_Daily_input!FD53="","",2_Daily_input!FD53)</f>
        <v/>
      </c>
      <c r="FE63" s="57" t="str">
        <f aca="false">IF(2_Daily_input!FE53="","",2_Daily_input!FE53)</f>
        <v/>
      </c>
      <c r="FF63" s="57" t="str">
        <f aca="false">IF(2_Daily_input!FF53="","",2_Daily_input!FF53)</f>
        <v/>
      </c>
      <c r="FG63" s="57" t="str">
        <f aca="false">IF(2_Daily_input!FG53="","",2_Daily_input!FG53)</f>
        <v/>
      </c>
      <c r="FH63" s="57" t="str">
        <f aca="false">IF(2_Daily_input!FH53="","",2_Daily_input!FH53)</f>
        <v/>
      </c>
      <c r="FI63" s="57" t="str">
        <f aca="false">IF(2_Daily_input!FI53="","",2_Daily_input!FI53)</f>
        <v/>
      </c>
      <c r="FJ63" s="57" t="str">
        <f aca="false">IF(2_Daily_input!FJ53="","",2_Daily_input!FJ53)</f>
        <v/>
      </c>
      <c r="FK63" s="57" t="str">
        <f aca="false">IF(2_Daily_input!FK53="","",2_Daily_input!FK53)</f>
        <v/>
      </c>
      <c r="FL63" s="57" t="str">
        <f aca="false">IF(2_Daily_input!FL53="","",2_Daily_input!FL53)</f>
        <v/>
      </c>
      <c r="FM63" s="57" t="str">
        <f aca="false">IF(2_Daily_input!FM53="","",2_Daily_input!FM53)</f>
        <v/>
      </c>
      <c r="FN63" s="57" t="str">
        <f aca="false">IF(2_Daily_input!FN53="","",2_Daily_input!FN53)</f>
        <v/>
      </c>
      <c r="FO63" s="57" t="str">
        <f aca="false">IF(2_Daily_input!FO53="","",2_Daily_input!FO53)</f>
        <v/>
      </c>
      <c r="FP63" s="57" t="str">
        <f aca="false">IF(2_Daily_input!FP53="","",2_Daily_input!FP53)</f>
        <v/>
      </c>
      <c r="FQ63" s="57" t="str">
        <f aca="false">IF(2_Daily_input!FQ53="","",2_Daily_input!FQ53)</f>
        <v/>
      </c>
    </row>
    <row r="64" customFormat="false" ht="15" hidden="false" customHeight="false" outlineLevel="0" collapsed="false">
      <c r="A64" s="31" t="s">
        <v>328</v>
      </c>
      <c r="B64" s="31" t="s">
        <v>437</v>
      </c>
      <c r="D64" s="57" t="str">
        <f aca="false">IF(2_Daily_input!D54="","",2_Daily_input!D54)</f>
        <v/>
      </c>
      <c r="E64" s="57" t="str">
        <f aca="false">IF(2_Daily_input!E54="","",2_Daily_input!E54)</f>
        <v/>
      </c>
      <c r="F64" s="57" t="str">
        <f aca="false">IF(2_Daily_input!F54="","",2_Daily_input!F54)</f>
        <v/>
      </c>
      <c r="G64" s="57" t="str">
        <f aca="false">IF(2_Daily_input!G54="","",2_Daily_input!G54)</f>
        <v/>
      </c>
      <c r="H64" s="57" t="str">
        <f aca="false">IF(2_Daily_input!H54="","",2_Daily_input!H54)</f>
        <v/>
      </c>
      <c r="I64" s="57" t="str">
        <f aca="false">IF(2_Daily_input!I54="","",2_Daily_input!I54)</f>
        <v/>
      </c>
      <c r="J64" s="57" t="str">
        <f aca="false">IF(2_Daily_input!J54="","",2_Daily_input!J54)</f>
        <v/>
      </c>
      <c r="K64" s="57" t="str">
        <f aca="false">IF(2_Daily_input!K54="","",2_Daily_input!K54)</f>
        <v/>
      </c>
      <c r="L64" s="57" t="str">
        <f aca="false">IF(2_Daily_input!L54="","",2_Daily_input!L54)</f>
        <v/>
      </c>
      <c r="M64" s="57" t="str">
        <f aca="false">IF(2_Daily_input!M54="","",2_Daily_input!M54)</f>
        <v/>
      </c>
      <c r="N64" s="57" t="str">
        <f aca="false">IF(2_Daily_input!N54="","",2_Daily_input!N54)</f>
        <v/>
      </c>
      <c r="O64" s="57" t="str">
        <f aca="false">IF(2_Daily_input!O54="","",2_Daily_input!O54)</f>
        <v/>
      </c>
      <c r="P64" s="57" t="str">
        <f aca="false">IF(2_Daily_input!P54="","",2_Daily_input!P54)</f>
        <v/>
      </c>
      <c r="Q64" s="57" t="str">
        <f aca="false">IF(2_Daily_input!Q54="","",2_Daily_input!Q54)</f>
        <v/>
      </c>
      <c r="R64" s="57" t="str">
        <f aca="false">IF(2_Daily_input!R54="","",2_Daily_input!R54)</f>
        <v/>
      </c>
      <c r="S64" s="57" t="str">
        <f aca="false">IF(2_Daily_input!S54="","",2_Daily_input!S54)</f>
        <v/>
      </c>
      <c r="T64" s="57" t="str">
        <f aca="false">IF(2_Daily_input!T54="","",2_Daily_input!T54)</f>
        <v/>
      </c>
      <c r="U64" s="57" t="str">
        <f aca="false">IF(2_Daily_input!U54="","",2_Daily_input!U54)</f>
        <v/>
      </c>
      <c r="V64" s="57" t="str">
        <f aca="false">IF(2_Daily_input!V54="","",2_Daily_input!V54)</f>
        <v/>
      </c>
      <c r="W64" s="57" t="str">
        <f aca="false">IF(2_Daily_input!W54="","",2_Daily_input!W54)</f>
        <v/>
      </c>
      <c r="X64" s="57" t="str">
        <f aca="false">IF(2_Daily_input!X54="","",2_Daily_input!X54)</f>
        <v/>
      </c>
      <c r="Y64" s="57" t="str">
        <f aca="false">IF(2_Daily_input!Y54="","",2_Daily_input!Y54)</f>
        <v/>
      </c>
      <c r="Z64" s="57" t="str">
        <f aca="false">IF(2_Daily_input!Z54="","",2_Daily_input!Z54)</f>
        <v/>
      </c>
      <c r="AA64" s="57" t="str">
        <f aca="false">IF(2_Daily_input!AA54="","",2_Daily_input!AA54)</f>
        <v/>
      </c>
      <c r="AB64" s="57" t="str">
        <f aca="false">IF(2_Daily_input!AB54="","",2_Daily_input!AB54)</f>
        <v/>
      </c>
      <c r="AC64" s="57" t="str">
        <f aca="false">IF(2_Daily_input!AC54="","",2_Daily_input!AC54)</f>
        <v/>
      </c>
      <c r="AD64" s="57" t="str">
        <f aca="false">IF(2_Daily_input!AD54="","",2_Daily_input!AD54)</f>
        <v/>
      </c>
      <c r="AE64" s="57" t="str">
        <f aca="false">IF(2_Daily_input!AE54="","",2_Daily_input!AE54)</f>
        <v/>
      </c>
      <c r="AF64" s="57" t="str">
        <f aca="false">IF(2_Daily_input!AF54="","",2_Daily_input!AF54)</f>
        <v/>
      </c>
      <c r="AG64" s="57" t="str">
        <f aca="false">IF(2_Daily_input!AG54="","",2_Daily_input!AG54)</f>
        <v/>
      </c>
      <c r="AH64" s="57" t="str">
        <f aca="false">IF(2_Daily_input!AH54="","",2_Daily_input!AH54)</f>
        <v/>
      </c>
      <c r="AI64" s="57" t="str">
        <f aca="false">IF(2_Daily_input!AI54="","",2_Daily_input!AI54)</f>
        <v/>
      </c>
      <c r="AJ64" s="57" t="str">
        <f aca="false">IF(2_Daily_input!AJ54="","",2_Daily_input!AJ54)</f>
        <v/>
      </c>
      <c r="AK64" s="57" t="str">
        <f aca="false">IF(2_Daily_input!AK54="","",2_Daily_input!AK54)</f>
        <v/>
      </c>
      <c r="AL64" s="57" t="str">
        <f aca="false">IF(2_Daily_input!AL54="","",2_Daily_input!AL54)</f>
        <v/>
      </c>
      <c r="AM64" s="57" t="str">
        <f aca="false">IF(2_Daily_input!AM54="","",2_Daily_input!AM54)</f>
        <v/>
      </c>
      <c r="AN64" s="57" t="str">
        <f aca="false">IF(2_Daily_input!AN54="","",2_Daily_input!AN54)</f>
        <v/>
      </c>
      <c r="AO64" s="57" t="str">
        <f aca="false">IF(2_Daily_input!AO54="","",2_Daily_input!AO54)</f>
        <v/>
      </c>
      <c r="AP64" s="57" t="str">
        <f aca="false">IF(2_Daily_input!AP54="","",2_Daily_input!AP54)</f>
        <v/>
      </c>
      <c r="AQ64" s="57" t="str">
        <f aca="false">IF(2_Daily_input!AQ54="","",2_Daily_input!AQ54)</f>
        <v/>
      </c>
      <c r="AR64" s="57" t="str">
        <f aca="false">IF(2_Daily_input!AR54="","",2_Daily_input!AR54)</f>
        <v/>
      </c>
      <c r="AS64" s="57" t="str">
        <f aca="false">IF(2_Daily_input!AS54="","",2_Daily_input!AS54)</f>
        <v/>
      </c>
      <c r="AT64" s="57" t="str">
        <f aca="false">IF(2_Daily_input!AT54="","",2_Daily_input!AT54)</f>
        <v/>
      </c>
      <c r="AU64" s="57" t="str">
        <f aca="false">IF(2_Daily_input!AU54="","",2_Daily_input!AU54)</f>
        <v/>
      </c>
      <c r="AV64" s="57" t="str">
        <f aca="false">IF(2_Daily_input!AV54="","",2_Daily_input!AV54)</f>
        <v/>
      </c>
      <c r="AW64" s="57" t="str">
        <f aca="false">IF(2_Daily_input!AW54="","",2_Daily_input!AW54)</f>
        <v/>
      </c>
      <c r="AX64" s="57" t="str">
        <f aca="false">IF(2_Daily_input!AX54="","",2_Daily_input!AX54)</f>
        <v/>
      </c>
      <c r="AY64" s="57" t="str">
        <f aca="false">IF(2_Daily_input!AY54="","",2_Daily_input!AY54)</f>
        <v/>
      </c>
      <c r="AZ64" s="57" t="str">
        <f aca="false">IF(2_Daily_input!AZ54="","",2_Daily_input!AZ54)</f>
        <v/>
      </c>
      <c r="BA64" s="57" t="str">
        <f aca="false">IF(2_Daily_input!BA54="","",2_Daily_input!BA54)</f>
        <v/>
      </c>
      <c r="BB64" s="57" t="str">
        <f aca="false">IF(2_Daily_input!BB54="","",2_Daily_input!BB54)</f>
        <v/>
      </c>
      <c r="BC64" s="57" t="str">
        <f aca="false">IF(2_Daily_input!BC54="","",2_Daily_input!BC54)</f>
        <v/>
      </c>
      <c r="BD64" s="57" t="str">
        <f aca="false">IF(2_Daily_input!BD54="","",2_Daily_input!BD54)</f>
        <v/>
      </c>
      <c r="BE64" s="57" t="str">
        <f aca="false">IF(2_Daily_input!BE54="","",2_Daily_input!BE54)</f>
        <v/>
      </c>
      <c r="BF64" s="57" t="str">
        <f aca="false">IF(2_Daily_input!BF54="","",2_Daily_input!BF54)</f>
        <v/>
      </c>
      <c r="BG64" s="57" t="str">
        <f aca="false">IF(2_Daily_input!BG54="","",2_Daily_input!BG54)</f>
        <v/>
      </c>
      <c r="BH64" s="57" t="str">
        <f aca="false">IF(2_Daily_input!BH54="","",2_Daily_input!BH54)</f>
        <v/>
      </c>
      <c r="BI64" s="57" t="str">
        <f aca="false">IF(2_Daily_input!BI54="","",2_Daily_input!BI54)</f>
        <v/>
      </c>
      <c r="BJ64" s="57" t="str">
        <f aca="false">IF(2_Daily_input!BJ54="","",2_Daily_input!BJ54)</f>
        <v/>
      </c>
      <c r="BK64" s="57" t="str">
        <f aca="false">IF(2_Daily_input!BK54="","",2_Daily_input!BK54)</f>
        <v/>
      </c>
      <c r="BL64" s="57" t="str">
        <f aca="false">IF(2_Daily_input!BL54="","",2_Daily_input!BL54)</f>
        <v/>
      </c>
      <c r="BM64" s="57" t="str">
        <f aca="false">IF(2_Daily_input!BM54="","",2_Daily_input!BM54)</f>
        <v/>
      </c>
      <c r="BN64" s="57" t="str">
        <f aca="false">IF(2_Daily_input!BN54="","",2_Daily_input!BN54)</f>
        <v/>
      </c>
      <c r="BO64" s="57" t="str">
        <f aca="false">IF(2_Daily_input!BO54="","",2_Daily_input!BO54)</f>
        <v/>
      </c>
      <c r="BP64" s="57" t="str">
        <f aca="false">IF(2_Daily_input!BP54="","",2_Daily_input!BP54)</f>
        <v/>
      </c>
      <c r="BQ64" s="57" t="str">
        <f aca="false">IF(2_Daily_input!BQ54="","",2_Daily_input!BQ54)</f>
        <v/>
      </c>
      <c r="BR64" s="57" t="str">
        <f aca="false">IF(2_Daily_input!BR54="","",2_Daily_input!BR54)</f>
        <v/>
      </c>
      <c r="BS64" s="57" t="str">
        <f aca="false">IF(2_Daily_input!BS54="","",2_Daily_input!BS54)</f>
        <v/>
      </c>
      <c r="BT64" s="57" t="str">
        <f aca="false">IF(2_Daily_input!BT54="","",2_Daily_input!BT54)</f>
        <v/>
      </c>
      <c r="BU64" s="57" t="str">
        <f aca="false">IF(2_Daily_input!BU54="","",2_Daily_input!BU54)</f>
        <v/>
      </c>
      <c r="BV64" s="57" t="str">
        <f aca="false">IF(2_Daily_input!BV54="","",2_Daily_input!BV54)</f>
        <v/>
      </c>
      <c r="BW64" s="57" t="str">
        <f aca="false">IF(2_Daily_input!BW54="","",2_Daily_input!BW54)</f>
        <v/>
      </c>
      <c r="BX64" s="57" t="str">
        <f aca="false">IF(2_Daily_input!BX54="","",2_Daily_input!BX54)</f>
        <v/>
      </c>
      <c r="BY64" s="57" t="n">
        <f aca="false">IF(2_Daily_input!BY54="","",2_Daily_input!BY54)</f>
        <v>10</v>
      </c>
      <c r="BZ64" s="57" t="str">
        <f aca="false">IF(2_Daily_input!BZ54="","",2_Daily_input!BZ54)</f>
        <v/>
      </c>
      <c r="CA64" s="57" t="str">
        <f aca="false">IF(2_Daily_input!CA54="","",2_Daily_input!CA54)</f>
        <v/>
      </c>
      <c r="CB64" s="57" t="str">
        <f aca="false">IF(2_Daily_input!CB54="","",2_Daily_input!CB54)</f>
        <v/>
      </c>
      <c r="CC64" s="57" t="str">
        <f aca="false">IF(2_Daily_input!CC54="","",2_Daily_input!CC54)</f>
        <v/>
      </c>
      <c r="CD64" s="57" t="str">
        <f aca="false">IF(2_Daily_input!CD54="","",2_Daily_input!CD54)</f>
        <v/>
      </c>
      <c r="CE64" s="57" t="str">
        <f aca="false">IF(2_Daily_input!CE54="","",2_Daily_input!CE54)</f>
        <v/>
      </c>
      <c r="CF64" s="57" t="str">
        <f aca="false">IF(2_Daily_input!CF54="","",2_Daily_input!CF54)</f>
        <v/>
      </c>
      <c r="CG64" s="57" t="str">
        <f aca="false">IF(2_Daily_input!CG54="","",2_Daily_input!CG54)</f>
        <v/>
      </c>
      <c r="CH64" s="57" t="str">
        <f aca="false">IF(2_Daily_input!CH54="","",2_Daily_input!CH54)</f>
        <v/>
      </c>
      <c r="CI64" s="57" t="str">
        <f aca="false">IF(2_Daily_input!CI54="","",2_Daily_input!CI54)</f>
        <v/>
      </c>
      <c r="CJ64" s="57" t="str">
        <f aca="false">IF(2_Daily_input!CJ54="","",2_Daily_input!CJ54)</f>
        <v/>
      </c>
      <c r="CK64" s="57" t="str">
        <f aca="false">IF(2_Daily_input!CK54="","",2_Daily_input!CK54)</f>
        <v/>
      </c>
      <c r="CL64" s="57" t="str">
        <f aca="false">IF(2_Daily_input!CL54="","",2_Daily_input!CL54)</f>
        <v/>
      </c>
      <c r="CM64" s="57" t="str">
        <f aca="false">IF(2_Daily_input!CM54="","",2_Daily_input!CM54)</f>
        <v/>
      </c>
      <c r="CN64" s="57" t="n">
        <f aca="false">IF(2_Daily_input!CN54="","",2_Daily_input!CN54)</f>
        <v>16</v>
      </c>
      <c r="CO64" s="57" t="str">
        <f aca="false">IF(2_Daily_input!CO54="","",2_Daily_input!CO54)</f>
        <v/>
      </c>
      <c r="CP64" s="57" t="str">
        <f aca="false">IF(2_Daily_input!CP54="","",2_Daily_input!CP54)</f>
        <v/>
      </c>
      <c r="CQ64" s="57" t="str">
        <f aca="false">IF(2_Daily_input!CQ54="","",2_Daily_input!CQ54)</f>
        <v/>
      </c>
      <c r="CR64" s="57" t="str">
        <f aca="false">IF(2_Daily_input!CR54="","",2_Daily_input!CR54)</f>
        <v/>
      </c>
      <c r="CS64" s="57" t="str">
        <f aca="false">IF(2_Daily_input!CS54="","",2_Daily_input!CS54)</f>
        <v/>
      </c>
      <c r="CT64" s="57" t="str">
        <f aca="false">IF(2_Daily_input!CT54="","",2_Daily_input!CT54)</f>
        <v/>
      </c>
      <c r="CU64" s="57" t="str">
        <f aca="false">IF(2_Daily_input!CU54="","",2_Daily_input!CU54)</f>
        <v/>
      </c>
      <c r="CV64" s="57" t="str">
        <f aca="false">IF(2_Daily_input!CV54="","",2_Daily_input!CV54)</f>
        <v/>
      </c>
      <c r="CW64" s="57" t="str">
        <f aca="false">IF(2_Daily_input!CW54="","",2_Daily_input!CW54)</f>
        <v/>
      </c>
      <c r="CX64" s="57" t="str">
        <f aca="false">IF(2_Daily_input!CX54="","",2_Daily_input!CX54)</f>
        <v/>
      </c>
      <c r="CY64" s="57" t="str">
        <f aca="false">IF(2_Daily_input!CY54="","",2_Daily_input!CY54)</f>
        <v/>
      </c>
      <c r="CZ64" s="57" t="str">
        <f aca="false">IF(2_Daily_input!CZ54="","",2_Daily_input!CZ54)</f>
        <v/>
      </c>
      <c r="DA64" s="57" t="str">
        <f aca="false">IF(2_Daily_input!DA54="","",2_Daily_input!DA54)</f>
        <v/>
      </c>
      <c r="DB64" s="57" t="str">
        <f aca="false">IF(2_Daily_input!DB54="","",2_Daily_input!DB54)</f>
        <v/>
      </c>
      <c r="DC64" s="57" t="n">
        <f aca="false">IF(2_Daily_input!DC54="","",2_Daily_input!DC54)</f>
        <v>19</v>
      </c>
      <c r="DD64" s="57" t="str">
        <f aca="false">IF(2_Daily_input!DD54="","",2_Daily_input!DD54)</f>
        <v/>
      </c>
      <c r="DE64" s="57" t="str">
        <f aca="false">IF(2_Daily_input!DE54="","",2_Daily_input!DE54)</f>
        <v/>
      </c>
      <c r="DF64" s="57" t="str">
        <f aca="false">IF(2_Daily_input!DF54="","",2_Daily_input!DF54)</f>
        <v/>
      </c>
      <c r="DG64" s="57" t="str">
        <f aca="false">IF(2_Daily_input!DG54="","",2_Daily_input!DG54)</f>
        <v/>
      </c>
      <c r="DH64" s="57" t="str">
        <f aca="false">IF(2_Daily_input!DH54="","",2_Daily_input!DH54)</f>
        <v/>
      </c>
      <c r="DI64" s="57" t="str">
        <f aca="false">IF(2_Daily_input!DI54="","",2_Daily_input!DI54)</f>
        <v/>
      </c>
      <c r="DJ64" s="57" t="str">
        <f aca="false">IF(2_Daily_input!DJ54="","",2_Daily_input!DJ54)</f>
        <v/>
      </c>
      <c r="DK64" s="57" t="str">
        <f aca="false">IF(2_Daily_input!DK54="","",2_Daily_input!DK54)</f>
        <v/>
      </c>
      <c r="DL64" s="57" t="str">
        <f aca="false">IF(2_Daily_input!DL54="","",2_Daily_input!DL54)</f>
        <v/>
      </c>
      <c r="DM64" s="57" t="str">
        <f aca="false">IF(2_Daily_input!DM54="","",2_Daily_input!DM54)</f>
        <v/>
      </c>
      <c r="DN64" s="57" t="str">
        <f aca="false">IF(2_Daily_input!DN54="","",2_Daily_input!DN54)</f>
        <v/>
      </c>
      <c r="DO64" s="57" t="str">
        <f aca="false">IF(2_Daily_input!DO54="","",2_Daily_input!DO54)</f>
        <v/>
      </c>
      <c r="DP64" s="57" t="str">
        <f aca="false">IF(2_Daily_input!DP54="","",2_Daily_input!DP54)</f>
        <v/>
      </c>
      <c r="DQ64" s="57" t="str">
        <f aca="false">IF(2_Daily_input!DQ54="","",2_Daily_input!DQ54)</f>
        <v/>
      </c>
      <c r="DR64" s="57" t="n">
        <f aca="false">IF(2_Daily_input!DR54="","",2_Daily_input!DR54)</f>
        <v>15</v>
      </c>
      <c r="DS64" s="57" t="str">
        <f aca="false">IF(2_Daily_input!DS54="","",2_Daily_input!DS54)</f>
        <v/>
      </c>
      <c r="DT64" s="57" t="str">
        <f aca="false">IF(2_Daily_input!DT54="","",2_Daily_input!DT54)</f>
        <v/>
      </c>
      <c r="DU64" s="57" t="str">
        <f aca="false">IF(2_Daily_input!DU54="","",2_Daily_input!DU54)</f>
        <v/>
      </c>
      <c r="DV64" s="57" t="str">
        <f aca="false">IF(2_Daily_input!DV54="","",2_Daily_input!DV54)</f>
        <v/>
      </c>
      <c r="DW64" s="57" t="str">
        <f aca="false">IF(2_Daily_input!DW54="","",2_Daily_input!DW54)</f>
        <v/>
      </c>
      <c r="DX64" s="57" t="str">
        <f aca="false">IF(2_Daily_input!DX54="","",2_Daily_input!DX54)</f>
        <v/>
      </c>
      <c r="DY64" s="57" t="str">
        <f aca="false">IF(2_Daily_input!DY54="","",2_Daily_input!DY54)</f>
        <v/>
      </c>
      <c r="DZ64" s="57" t="str">
        <f aca="false">IF(2_Daily_input!DZ54="","",2_Daily_input!DZ54)</f>
        <v/>
      </c>
      <c r="EA64" s="57" t="str">
        <f aca="false">IF(2_Daily_input!EA54="","",2_Daily_input!EA54)</f>
        <v/>
      </c>
      <c r="EB64" s="57" t="str">
        <f aca="false">IF(2_Daily_input!EB54="","",2_Daily_input!EB54)</f>
        <v/>
      </c>
      <c r="EC64" s="57" t="str">
        <f aca="false">IF(2_Daily_input!EC54="","",2_Daily_input!EC54)</f>
        <v/>
      </c>
      <c r="ED64" s="57" t="str">
        <f aca="false">IF(2_Daily_input!ED54="","",2_Daily_input!ED54)</f>
        <v/>
      </c>
      <c r="EE64" s="57" t="str">
        <f aca="false">IF(2_Daily_input!EE54="","",2_Daily_input!EE54)</f>
        <v/>
      </c>
      <c r="EF64" s="57" t="str">
        <f aca="false">IF(2_Daily_input!EF54="","",2_Daily_input!EF54)</f>
        <v/>
      </c>
      <c r="EG64" s="57" t="str">
        <f aca="false">IF(2_Daily_input!EG54="","",2_Daily_input!EG54)</f>
        <v/>
      </c>
      <c r="EH64" s="57" t="str">
        <f aca="false">IF(2_Daily_input!EH54="","",2_Daily_input!EH54)</f>
        <v/>
      </c>
      <c r="EI64" s="57" t="str">
        <f aca="false">IF(2_Daily_input!EI54="","",2_Daily_input!EI54)</f>
        <v/>
      </c>
      <c r="EJ64" s="57" t="str">
        <f aca="false">IF(2_Daily_input!EJ54="","",2_Daily_input!EJ54)</f>
        <v/>
      </c>
      <c r="EK64" s="57" t="str">
        <f aca="false">IF(2_Daily_input!EK54="","",2_Daily_input!EK54)</f>
        <v/>
      </c>
      <c r="EL64" s="57" t="str">
        <f aca="false">IF(2_Daily_input!EL54="","",2_Daily_input!EL54)</f>
        <v/>
      </c>
      <c r="EM64" s="57" t="str">
        <f aca="false">IF(2_Daily_input!EM54="","",2_Daily_input!EM54)</f>
        <v/>
      </c>
      <c r="EN64" s="57" t="str">
        <f aca="false">IF(2_Daily_input!EN54="","",2_Daily_input!EN54)</f>
        <v/>
      </c>
      <c r="EO64" s="57" t="str">
        <f aca="false">IF(2_Daily_input!EO54="","",2_Daily_input!EO54)</f>
        <v/>
      </c>
      <c r="EP64" s="57" t="str">
        <f aca="false">IF(2_Daily_input!EP54="","",2_Daily_input!EP54)</f>
        <v/>
      </c>
      <c r="EQ64" s="57" t="str">
        <f aca="false">IF(2_Daily_input!EQ54="","",2_Daily_input!EQ54)</f>
        <v/>
      </c>
      <c r="ER64" s="57" t="str">
        <f aca="false">IF(2_Daily_input!ER54="","",2_Daily_input!ER54)</f>
        <v/>
      </c>
      <c r="ES64" s="57" t="str">
        <f aca="false">IF(2_Daily_input!ES54="","",2_Daily_input!ES54)</f>
        <v/>
      </c>
      <c r="ET64" s="57" t="str">
        <f aca="false">IF(2_Daily_input!ET54="","",2_Daily_input!ET54)</f>
        <v/>
      </c>
      <c r="EU64" s="57" t="str">
        <f aca="false">IF(2_Daily_input!EU54="","",2_Daily_input!EU54)</f>
        <v/>
      </c>
      <c r="EV64" s="57" t="str">
        <f aca="false">IF(2_Daily_input!EV54="","",2_Daily_input!EV54)</f>
        <v/>
      </c>
      <c r="EW64" s="57" t="str">
        <f aca="false">IF(2_Daily_input!EW54="","",2_Daily_input!EW54)</f>
        <v/>
      </c>
      <c r="EX64" s="57" t="str">
        <f aca="false">IF(2_Daily_input!EX54="","",2_Daily_input!EX54)</f>
        <v/>
      </c>
      <c r="EY64" s="57" t="str">
        <f aca="false">IF(2_Daily_input!EY54="","",2_Daily_input!EY54)</f>
        <v/>
      </c>
      <c r="EZ64" s="57" t="str">
        <f aca="false">IF(2_Daily_input!EZ54="","",2_Daily_input!EZ54)</f>
        <v/>
      </c>
      <c r="FA64" s="57" t="str">
        <f aca="false">IF(2_Daily_input!FA54="","",2_Daily_input!FA54)</f>
        <v/>
      </c>
      <c r="FB64" s="57" t="str">
        <f aca="false">IF(2_Daily_input!FB54="","",2_Daily_input!FB54)</f>
        <v/>
      </c>
      <c r="FC64" s="57" t="str">
        <f aca="false">IF(2_Daily_input!FC54="","",2_Daily_input!FC54)</f>
        <v/>
      </c>
      <c r="FD64" s="57" t="str">
        <f aca="false">IF(2_Daily_input!FD54="","",2_Daily_input!FD54)</f>
        <v/>
      </c>
      <c r="FE64" s="57" t="str">
        <f aca="false">IF(2_Daily_input!FE54="","",2_Daily_input!FE54)</f>
        <v/>
      </c>
      <c r="FF64" s="57" t="str">
        <f aca="false">IF(2_Daily_input!FF54="","",2_Daily_input!FF54)</f>
        <v/>
      </c>
      <c r="FG64" s="57" t="str">
        <f aca="false">IF(2_Daily_input!FG54="","",2_Daily_input!FG54)</f>
        <v/>
      </c>
      <c r="FH64" s="57" t="str">
        <f aca="false">IF(2_Daily_input!FH54="","",2_Daily_input!FH54)</f>
        <v/>
      </c>
      <c r="FI64" s="57" t="str">
        <f aca="false">IF(2_Daily_input!FI54="","",2_Daily_input!FI54)</f>
        <v/>
      </c>
      <c r="FJ64" s="57" t="str">
        <f aca="false">IF(2_Daily_input!FJ54="","",2_Daily_input!FJ54)</f>
        <v/>
      </c>
      <c r="FK64" s="57" t="str">
        <f aca="false">IF(2_Daily_input!FK54="","",2_Daily_input!FK54)</f>
        <v/>
      </c>
      <c r="FL64" s="57" t="str">
        <f aca="false">IF(2_Daily_input!FL54="","",2_Daily_input!FL54)</f>
        <v/>
      </c>
      <c r="FM64" s="57" t="str">
        <f aca="false">IF(2_Daily_input!FM54="","",2_Daily_input!FM54)</f>
        <v/>
      </c>
      <c r="FN64" s="57" t="str">
        <f aca="false">IF(2_Daily_input!FN54="","",2_Daily_input!FN54)</f>
        <v/>
      </c>
      <c r="FO64" s="57" t="str">
        <f aca="false">IF(2_Daily_input!FO54="","",2_Daily_input!FO54)</f>
        <v/>
      </c>
      <c r="FP64" s="57" t="str">
        <f aca="false">IF(2_Daily_input!FP54="","",2_Daily_input!FP54)</f>
        <v/>
      </c>
      <c r="FQ64" s="57" t="str">
        <f aca="false">IF(2_Daily_input!FQ54="","",2_Daily_input!FQ54)</f>
        <v/>
      </c>
    </row>
    <row r="65" customFormat="false" ht="15" hidden="false" customHeight="false" outlineLevel="0" collapsed="false">
      <c r="A65" s="31" t="s">
        <v>328</v>
      </c>
      <c r="B65" s="31" t="s">
        <v>438</v>
      </c>
      <c r="D65" s="57" t="str">
        <f aca="false">IF(2_Daily_input!D55="","",2_Daily_input!D55)</f>
        <v/>
      </c>
      <c r="E65" s="57" t="str">
        <f aca="false">IF(2_Daily_input!E55="","",2_Daily_input!E55)</f>
        <v/>
      </c>
      <c r="F65" s="57" t="str">
        <f aca="false">IF(2_Daily_input!F55="","",2_Daily_input!F55)</f>
        <v/>
      </c>
      <c r="G65" s="57" t="str">
        <f aca="false">IF(2_Daily_input!G55="","",2_Daily_input!G55)</f>
        <v/>
      </c>
      <c r="H65" s="57" t="str">
        <f aca="false">IF(2_Daily_input!H55="","",2_Daily_input!H55)</f>
        <v/>
      </c>
      <c r="I65" s="57" t="str">
        <f aca="false">IF(2_Daily_input!I55="","",2_Daily_input!I55)</f>
        <v/>
      </c>
      <c r="J65" s="57" t="str">
        <f aca="false">IF(2_Daily_input!J55="","",2_Daily_input!J55)</f>
        <v/>
      </c>
      <c r="K65" s="57" t="str">
        <f aca="false">IF(2_Daily_input!K55="","",2_Daily_input!K55)</f>
        <v/>
      </c>
      <c r="L65" s="57" t="str">
        <f aca="false">IF(2_Daily_input!L55="","",2_Daily_input!L55)</f>
        <v/>
      </c>
      <c r="M65" s="57" t="str">
        <f aca="false">IF(2_Daily_input!M55="","",2_Daily_input!M55)</f>
        <v/>
      </c>
      <c r="N65" s="57" t="str">
        <f aca="false">IF(2_Daily_input!N55="","",2_Daily_input!N55)</f>
        <v/>
      </c>
      <c r="O65" s="57" t="str">
        <f aca="false">IF(2_Daily_input!O55="","",2_Daily_input!O55)</f>
        <v/>
      </c>
      <c r="P65" s="57" t="str">
        <f aca="false">IF(2_Daily_input!P55="","",2_Daily_input!P55)</f>
        <v/>
      </c>
      <c r="Q65" s="57" t="str">
        <f aca="false">IF(2_Daily_input!Q55="","",2_Daily_input!Q55)</f>
        <v/>
      </c>
      <c r="R65" s="57" t="str">
        <f aca="false">IF(2_Daily_input!R55="","",2_Daily_input!R55)</f>
        <v/>
      </c>
      <c r="S65" s="57" t="str">
        <f aca="false">IF(2_Daily_input!S55="","",2_Daily_input!S55)</f>
        <v/>
      </c>
      <c r="T65" s="57" t="str">
        <f aca="false">IF(2_Daily_input!T55="","",2_Daily_input!T55)</f>
        <v/>
      </c>
      <c r="U65" s="57" t="str">
        <f aca="false">IF(2_Daily_input!U55="","",2_Daily_input!U55)</f>
        <v/>
      </c>
      <c r="V65" s="57" t="str">
        <f aca="false">IF(2_Daily_input!V55="","",2_Daily_input!V55)</f>
        <v/>
      </c>
      <c r="W65" s="57" t="str">
        <f aca="false">IF(2_Daily_input!W55="","",2_Daily_input!W55)</f>
        <v/>
      </c>
      <c r="X65" s="57" t="str">
        <f aca="false">IF(2_Daily_input!X55="","",2_Daily_input!X55)</f>
        <v/>
      </c>
      <c r="Y65" s="57" t="str">
        <f aca="false">IF(2_Daily_input!Y55="","",2_Daily_input!Y55)</f>
        <v/>
      </c>
      <c r="Z65" s="57" t="str">
        <f aca="false">IF(2_Daily_input!Z55="","",2_Daily_input!Z55)</f>
        <v/>
      </c>
      <c r="AA65" s="57" t="str">
        <f aca="false">IF(2_Daily_input!AA55="","",2_Daily_input!AA55)</f>
        <v/>
      </c>
      <c r="AB65" s="57" t="str">
        <f aca="false">IF(2_Daily_input!AB55="","",2_Daily_input!AB55)</f>
        <v/>
      </c>
      <c r="AC65" s="57" t="str">
        <f aca="false">IF(2_Daily_input!AC55="","",2_Daily_input!AC55)</f>
        <v/>
      </c>
      <c r="AD65" s="57" t="str">
        <f aca="false">IF(2_Daily_input!AD55="","",2_Daily_input!AD55)</f>
        <v/>
      </c>
      <c r="AE65" s="57" t="str">
        <f aca="false">IF(2_Daily_input!AE55="","",2_Daily_input!AE55)</f>
        <v/>
      </c>
      <c r="AF65" s="57" t="str">
        <f aca="false">IF(2_Daily_input!AF55="","",2_Daily_input!AF55)</f>
        <v/>
      </c>
      <c r="AG65" s="57" t="str">
        <f aca="false">IF(2_Daily_input!AG55="","",2_Daily_input!AG55)</f>
        <v/>
      </c>
      <c r="AH65" s="57" t="str">
        <f aca="false">IF(2_Daily_input!AH55="","",2_Daily_input!AH55)</f>
        <v/>
      </c>
      <c r="AI65" s="57" t="str">
        <f aca="false">IF(2_Daily_input!AI55="","",2_Daily_input!AI55)</f>
        <v/>
      </c>
      <c r="AJ65" s="57" t="str">
        <f aca="false">IF(2_Daily_input!AJ55="","",2_Daily_input!AJ55)</f>
        <v/>
      </c>
      <c r="AK65" s="57" t="str">
        <f aca="false">IF(2_Daily_input!AK55="","",2_Daily_input!AK55)</f>
        <v/>
      </c>
      <c r="AL65" s="57" t="str">
        <f aca="false">IF(2_Daily_input!AL55="","",2_Daily_input!AL55)</f>
        <v/>
      </c>
      <c r="AM65" s="57" t="str">
        <f aca="false">IF(2_Daily_input!AM55="","",2_Daily_input!AM55)</f>
        <v/>
      </c>
      <c r="AN65" s="57" t="str">
        <f aca="false">IF(2_Daily_input!AN55="","",2_Daily_input!AN55)</f>
        <v/>
      </c>
      <c r="AO65" s="57" t="str">
        <f aca="false">IF(2_Daily_input!AO55="","",2_Daily_input!AO55)</f>
        <v/>
      </c>
      <c r="AP65" s="57" t="str">
        <f aca="false">IF(2_Daily_input!AP55="","",2_Daily_input!AP55)</f>
        <v/>
      </c>
      <c r="AQ65" s="57" t="str">
        <f aca="false">IF(2_Daily_input!AQ55="","",2_Daily_input!AQ55)</f>
        <v/>
      </c>
      <c r="AR65" s="57" t="str">
        <f aca="false">IF(2_Daily_input!AR55="","",2_Daily_input!AR55)</f>
        <v/>
      </c>
      <c r="AS65" s="57" t="str">
        <f aca="false">IF(2_Daily_input!AS55="","",2_Daily_input!AS55)</f>
        <v/>
      </c>
      <c r="AT65" s="57" t="str">
        <f aca="false">IF(2_Daily_input!AT55="","",2_Daily_input!AT55)</f>
        <v/>
      </c>
      <c r="AU65" s="57" t="str">
        <f aca="false">IF(2_Daily_input!AU55="","",2_Daily_input!AU55)</f>
        <v/>
      </c>
      <c r="AV65" s="57" t="str">
        <f aca="false">IF(2_Daily_input!AV55="","",2_Daily_input!AV55)</f>
        <v/>
      </c>
      <c r="AW65" s="57" t="str">
        <f aca="false">IF(2_Daily_input!AW55="","",2_Daily_input!AW55)</f>
        <v/>
      </c>
      <c r="AX65" s="57" t="str">
        <f aca="false">IF(2_Daily_input!AX55="","",2_Daily_input!AX55)</f>
        <v/>
      </c>
      <c r="AY65" s="57" t="str">
        <f aca="false">IF(2_Daily_input!AY55="","",2_Daily_input!AY55)</f>
        <v/>
      </c>
      <c r="AZ65" s="57" t="str">
        <f aca="false">IF(2_Daily_input!AZ55="","",2_Daily_input!AZ55)</f>
        <v/>
      </c>
      <c r="BA65" s="57" t="str">
        <f aca="false">IF(2_Daily_input!BA55="","",2_Daily_input!BA55)</f>
        <v/>
      </c>
      <c r="BB65" s="57" t="str">
        <f aca="false">IF(2_Daily_input!BB55="","",2_Daily_input!BB55)</f>
        <v/>
      </c>
      <c r="BC65" s="57" t="str">
        <f aca="false">IF(2_Daily_input!BC55="","",2_Daily_input!BC55)</f>
        <v/>
      </c>
      <c r="BD65" s="57" t="str">
        <f aca="false">IF(2_Daily_input!BD55="","",2_Daily_input!BD55)</f>
        <v/>
      </c>
      <c r="BE65" s="57" t="str">
        <f aca="false">IF(2_Daily_input!BE55="","",2_Daily_input!BE55)</f>
        <v/>
      </c>
      <c r="BF65" s="57" t="str">
        <f aca="false">IF(2_Daily_input!BF55="","",2_Daily_input!BF55)</f>
        <v/>
      </c>
      <c r="BG65" s="57" t="str">
        <f aca="false">IF(2_Daily_input!BG55="","",2_Daily_input!BG55)</f>
        <v/>
      </c>
      <c r="BH65" s="57" t="str">
        <f aca="false">IF(2_Daily_input!BH55="","",2_Daily_input!BH55)</f>
        <v/>
      </c>
      <c r="BI65" s="57" t="str">
        <f aca="false">IF(2_Daily_input!BI55="","",2_Daily_input!BI55)</f>
        <v/>
      </c>
      <c r="BJ65" s="57" t="str">
        <f aca="false">IF(2_Daily_input!BJ55="","",2_Daily_input!BJ55)</f>
        <v/>
      </c>
      <c r="BK65" s="57" t="str">
        <f aca="false">IF(2_Daily_input!BK55="","",2_Daily_input!BK55)</f>
        <v/>
      </c>
      <c r="BL65" s="57" t="str">
        <f aca="false">IF(2_Daily_input!BL55="","",2_Daily_input!BL55)</f>
        <v/>
      </c>
      <c r="BM65" s="57" t="str">
        <f aca="false">IF(2_Daily_input!BM55="","",2_Daily_input!BM55)</f>
        <v/>
      </c>
      <c r="BN65" s="57" t="str">
        <f aca="false">IF(2_Daily_input!BN55="","",2_Daily_input!BN55)</f>
        <v/>
      </c>
      <c r="BO65" s="57" t="str">
        <f aca="false">IF(2_Daily_input!BO55="","",2_Daily_input!BO55)</f>
        <v/>
      </c>
      <c r="BP65" s="57" t="str">
        <f aca="false">IF(2_Daily_input!BP55="","",2_Daily_input!BP55)</f>
        <v/>
      </c>
      <c r="BQ65" s="57" t="str">
        <f aca="false">IF(2_Daily_input!BQ55="","",2_Daily_input!BQ55)</f>
        <v/>
      </c>
      <c r="BR65" s="57" t="str">
        <f aca="false">IF(2_Daily_input!BR55="","",2_Daily_input!BR55)</f>
        <v/>
      </c>
      <c r="BS65" s="57" t="str">
        <f aca="false">IF(2_Daily_input!BS55="","",2_Daily_input!BS55)</f>
        <v/>
      </c>
      <c r="BT65" s="57" t="str">
        <f aca="false">IF(2_Daily_input!BT55="","",2_Daily_input!BT55)</f>
        <v/>
      </c>
      <c r="BU65" s="57" t="str">
        <f aca="false">IF(2_Daily_input!BU55="","",2_Daily_input!BU55)</f>
        <v/>
      </c>
      <c r="BV65" s="57" t="str">
        <f aca="false">IF(2_Daily_input!BV55="","",2_Daily_input!BV55)</f>
        <v/>
      </c>
      <c r="BW65" s="57" t="str">
        <f aca="false">IF(2_Daily_input!BW55="","",2_Daily_input!BW55)</f>
        <v/>
      </c>
      <c r="BX65" s="57" t="str">
        <f aca="false">IF(2_Daily_input!BX55="","",2_Daily_input!BX55)</f>
        <v/>
      </c>
      <c r="BY65" s="57" t="n">
        <f aca="false">IF(2_Daily_input!BY55="","",2_Daily_input!BY55)</f>
        <v>8</v>
      </c>
      <c r="BZ65" s="57" t="str">
        <f aca="false">IF(2_Daily_input!BZ55="","",2_Daily_input!BZ55)</f>
        <v/>
      </c>
      <c r="CA65" s="57" t="str">
        <f aca="false">IF(2_Daily_input!CA55="","",2_Daily_input!CA55)</f>
        <v/>
      </c>
      <c r="CB65" s="57" t="str">
        <f aca="false">IF(2_Daily_input!CB55="","",2_Daily_input!CB55)</f>
        <v/>
      </c>
      <c r="CC65" s="57" t="str">
        <f aca="false">IF(2_Daily_input!CC55="","",2_Daily_input!CC55)</f>
        <v/>
      </c>
      <c r="CD65" s="57" t="str">
        <f aca="false">IF(2_Daily_input!CD55="","",2_Daily_input!CD55)</f>
        <v/>
      </c>
      <c r="CE65" s="57" t="str">
        <f aca="false">IF(2_Daily_input!CE55="","",2_Daily_input!CE55)</f>
        <v/>
      </c>
      <c r="CF65" s="57" t="str">
        <f aca="false">IF(2_Daily_input!CF55="","",2_Daily_input!CF55)</f>
        <v/>
      </c>
      <c r="CG65" s="57" t="str">
        <f aca="false">IF(2_Daily_input!CG55="","",2_Daily_input!CG55)</f>
        <v/>
      </c>
      <c r="CH65" s="57" t="str">
        <f aca="false">IF(2_Daily_input!CH55="","",2_Daily_input!CH55)</f>
        <v/>
      </c>
      <c r="CI65" s="57" t="str">
        <f aca="false">IF(2_Daily_input!CI55="","",2_Daily_input!CI55)</f>
        <v/>
      </c>
      <c r="CJ65" s="57" t="str">
        <f aca="false">IF(2_Daily_input!CJ55="","",2_Daily_input!CJ55)</f>
        <v/>
      </c>
      <c r="CK65" s="57" t="str">
        <f aca="false">IF(2_Daily_input!CK55="","",2_Daily_input!CK55)</f>
        <v/>
      </c>
      <c r="CL65" s="57" t="str">
        <f aca="false">IF(2_Daily_input!CL55="","",2_Daily_input!CL55)</f>
        <v/>
      </c>
      <c r="CM65" s="57" t="str">
        <f aca="false">IF(2_Daily_input!CM55="","",2_Daily_input!CM55)</f>
        <v/>
      </c>
      <c r="CN65" s="57" t="n">
        <f aca="false">IF(2_Daily_input!CN55="","",2_Daily_input!CN55)</f>
        <v>13</v>
      </c>
      <c r="CO65" s="57" t="str">
        <f aca="false">IF(2_Daily_input!CO55="","",2_Daily_input!CO55)</f>
        <v/>
      </c>
      <c r="CP65" s="57" t="str">
        <f aca="false">IF(2_Daily_input!CP55="","",2_Daily_input!CP55)</f>
        <v/>
      </c>
      <c r="CQ65" s="57" t="str">
        <f aca="false">IF(2_Daily_input!CQ55="","",2_Daily_input!CQ55)</f>
        <v/>
      </c>
      <c r="CR65" s="57" t="str">
        <f aca="false">IF(2_Daily_input!CR55="","",2_Daily_input!CR55)</f>
        <v/>
      </c>
      <c r="CS65" s="57" t="str">
        <f aca="false">IF(2_Daily_input!CS55="","",2_Daily_input!CS55)</f>
        <v/>
      </c>
      <c r="CT65" s="57" t="str">
        <f aca="false">IF(2_Daily_input!CT55="","",2_Daily_input!CT55)</f>
        <v/>
      </c>
      <c r="CU65" s="57" t="str">
        <f aca="false">IF(2_Daily_input!CU55="","",2_Daily_input!CU55)</f>
        <v/>
      </c>
      <c r="CV65" s="57" t="str">
        <f aca="false">IF(2_Daily_input!CV55="","",2_Daily_input!CV55)</f>
        <v/>
      </c>
      <c r="CW65" s="57" t="str">
        <f aca="false">IF(2_Daily_input!CW55="","",2_Daily_input!CW55)</f>
        <v/>
      </c>
      <c r="CX65" s="57" t="str">
        <f aca="false">IF(2_Daily_input!CX55="","",2_Daily_input!CX55)</f>
        <v/>
      </c>
      <c r="CY65" s="57" t="str">
        <f aca="false">IF(2_Daily_input!CY55="","",2_Daily_input!CY55)</f>
        <v/>
      </c>
      <c r="CZ65" s="57" t="str">
        <f aca="false">IF(2_Daily_input!CZ55="","",2_Daily_input!CZ55)</f>
        <v/>
      </c>
      <c r="DA65" s="57" t="str">
        <f aca="false">IF(2_Daily_input!DA55="","",2_Daily_input!DA55)</f>
        <v/>
      </c>
      <c r="DB65" s="57" t="str">
        <f aca="false">IF(2_Daily_input!DB55="","",2_Daily_input!DB55)</f>
        <v/>
      </c>
      <c r="DC65" s="57" t="n">
        <f aca="false">IF(2_Daily_input!DC55="","",2_Daily_input!DC55)</f>
        <v>21</v>
      </c>
      <c r="DD65" s="57" t="str">
        <f aca="false">IF(2_Daily_input!DD55="","",2_Daily_input!DD55)</f>
        <v/>
      </c>
      <c r="DE65" s="57" t="str">
        <f aca="false">IF(2_Daily_input!DE55="","",2_Daily_input!DE55)</f>
        <v/>
      </c>
      <c r="DF65" s="57" t="str">
        <f aca="false">IF(2_Daily_input!DF55="","",2_Daily_input!DF55)</f>
        <v/>
      </c>
      <c r="DG65" s="57" t="str">
        <f aca="false">IF(2_Daily_input!DG55="","",2_Daily_input!DG55)</f>
        <v/>
      </c>
      <c r="DH65" s="57" t="str">
        <f aca="false">IF(2_Daily_input!DH55="","",2_Daily_input!DH55)</f>
        <v/>
      </c>
      <c r="DI65" s="57" t="str">
        <f aca="false">IF(2_Daily_input!DI55="","",2_Daily_input!DI55)</f>
        <v/>
      </c>
      <c r="DJ65" s="57" t="str">
        <f aca="false">IF(2_Daily_input!DJ55="","",2_Daily_input!DJ55)</f>
        <v/>
      </c>
      <c r="DK65" s="57" t="str">
        <f aca="false">IF(2_Daily_input!DK55="","",2_Daily_input!DK55)</f>
        <v/>
      </c>
      <c r="DL65" s="57" t="str">
        <f aca="false">IF(2_Daily_input!DL55="","",2_Daily_input!DL55)</f>
        <v/>
      </c>
      <c r="DM65" s="57" t="str">
        <f aca="false">IF(2_Daily_input!DM55="","",2_Daily_input!DM55)</f>
        <v/>
      </c>
      <c r="DN65" s="57" t="str">
        <f aca="false">IF(2_Daily_input!DN55="","",2_Daily_input!DN55)</f>
        <v/>
      </c>
      <c r="DO65" s="57" t="str">
        <f aca="false">IF(2_Daily_input!DO55="","",2_Daily_input!DO55)</f>
        <v/>
      </c>
      <c r="DP65" s="57" t="str">
        <f aca="false">IF(2_Daily_input!DP55="","",2_Daily_input!DP55)</f>
        <v/>
      </c>
      <c r="DQ65" s="57" t="str">
        <f aca="false">IF(2_Daily_input!DQ55="","",2_Daily_input!DQ55)</f>
        <v/>
      </c>
      <c r="DR65" s="57" t="n">
        <f aca="false">IF(2_Daily_input!DR55="","",2_Daily_input!DR55)</f>
        <v>20</v>
      </c>
      <c r="DS65" s="57" t="str">
        <f aca="false">IF(2_Daily_input!DS55="","",2_Daily_input!DS55)</f>
        <v/>
      </c>
      <c r="DT65" s="57" t="str">
        <f aca="false">IF(2_Daily_input!DT55="","",2_Daily_input!DT55)</f>
        <v/>
      </c>
      <c r="DU65" s="57" t="str">
        <f aca="false">IF(2_Daily_input!DU55="","",2_Daily_input!DU55)</f>
        <v/>
      </c>
      <c r="DV65" s="57" t="str">
        <f aca="false">IF(2_Daily_input!DV55="","",2_Daily_input!DV55)</f>
        <v/>
      </c>
      <c r="DW65" s="57" t="str">
        <f aca="false">IF(2_Daily_input!DW55="","",2_Daily_input!DW55)</f>
        <v/>
      </c>
      <c r="DX65" s="57" t="str">
        <f aca="false">IF(2_Daily_input!DX55="","",2_Daily_input!DX55)</f>
        <v/>
      </c>
      <c r="DY65" s="57" t="str">
        <f aca="false">IF(2_Daily_input!DY55="","",2_Daily_input!DY55)</f>
        <v/>
      </c>
      <c r="DZ65" s="57" t="str">
        <f aca="false">IF(2_Daily_input!DZ55="","",2_Daily_input!DZ55)</f>
        <v/>
      </c>
      <c r="EA65" s="57" t="str">
        <f aca="false">IF(2_Daily_input!EA55="","",2_Daily_input!EA55)</f>
        <v/>
      </c>
      <c r="EB65" s="57" t="str">
        <f aca="false">IF(2_Daily_input!EB55="","",2_Daily_input!EB55)</f>
        <v/>
      </c>
      <c r="EC65" s="57" t="str">
        <f aca="false">IF(2_Daily_input!EC55="","",2_Daily_input!EC55)</f>
        <v/>
      </c>
      <c r="ED65" s="57" t="str">
        <f aca="false">IF(2_Daily_input!ED55="","",2_Daily_input!ED55)</f>
        <v/>
      </c>
      <c r="EE65" s="57" t="str">
        <f aca="false">IF(2_Daily_input!EE55="","",2_Daily_input!EE55)</f>
        <v/>
      </c>
      <c r="EF65" s="57" t="str">
        <f aca="false">IF(2_Daily_input!EF55="","",2_Daily_input!EF55)</f>
        <v/>
      </c>
      <c r="EG65" s="57" t="str">
        <f aca="false">IF(2_Daily_input!EG55="","",2_Daily_input!EG55)</f>
        <v/>
      </c>
      <c r="EH65" s="57" t="str">
        <f aca="false">IF(2_Daily_input!EH55="","",2_Daily_input!EH55)</f>
        <v/>
      </c>
      <c r="EI65" s="57" t="str">
        <f aca="false">IF(2_Daily_input!EI55="","",2_Daily_input!EI55)</f>
        <v/>
      </c>
      <c r="EJ65" s="57" t="str">
        <f aca="false">IF(2_Daily_input!EJ55="","",2_Daily_input!EJ55)</f>
        <v/>
      </c>
      <c r="EK65" s="57" t="str">
        <f aca="false">IF(2_Daily_input!EK55="","",2_Daily_input!EK55)</f>
        <v/>
      </c>
      <c r="EL65" s="57" t="str">
        <f aca="false">IF(2_Daily_input!EL55="","",2_Daily_input!EL55)</f>
        <v/>
      </c>
      <c r="EM65" s="57" t="str">
        <f aca="false">IF(2_Daily_input!EM55="","",2_Daily_input!EM55)</f>
        <v/>
      </c>
      <c r="EN65" s="57" t="str">
        <f aca="false">IF(2_Daily_input!EN55="","",2_Daily_input!EN55)</f>
        <v/>
      </c>
      <c r="EO65" s="57" t="str">
        <f aca="false">IF(2_Daily_input!EO55="","",2_Daily_input!EO55)</f>
        <v/>
      </c>
      <c r="EP65" s="57" t="str">
        <f aca="false">IF(2_Daily_input!EP55="","",2_Daily_input!EP55)</f>
        <v/>
      </c>
      <c r="EQ65" s="57" t="str">
        <f aca="false">IF(2_Daily_input!EQ55="","",2_Daily_input!EQ55)</f>
        <v/>
      </c>
      <c r="ER65" s="57" t="str">
        <f aca="false">IF(2_Daily_input!ER55="","",2_Daily_input!ER55)</f>
        <v/>
      </c>
      <c r="ES65" s="57" t="str">
        <f aca="false">IF(2_Daily_input!ES55="","",2_Daily_input!ES55)</f>
        <v/>
      </c>
      <c r="ET65" s="57" t="str">
        <f aca="false">IF(2_Daily_input!ET55="","",2_Daily_input!ET55)</f>
        <v/>
      </c>
      <c r="EU65" s="57" t="str">
        <f aca="false">IF(2_Daily_input!EU55="","",2_Daily_input!EU55)</f>
        <v/>
      </c>
      <c r="EV65" s="57" t="str">
        <f aca="false">IF(2_Daily_input!EV55="","",2_Daily_input!EV55)</f>
        <v/>
      </c>
      <c r="EW65" s="57" t="str">
        <f aca="false">IF(2_Daily_input!EW55="","",2_Daily_input!EW55)</f>
        <v/>
      </c>
      <c r="EX65" s="57" t="str">
        <f aca="false">IF(2_Daily_input!EX55="","",2_Daily_input!EX55)</f>
        <v/>
      </c>
      <c r="EY65" s="57" t="str">
        <f aca="false">IF(2_Daily_input!EY55="","",2_Daily_input!EY55)</f>
        <v/>
      </c>
      <c r="EZ65" s="57" t="str">
        <f aca="false">IF(2_Daily_input!EZ55="","",2_Daily_input!EZ55)</f>
        <v/>
      </c>
      <c r="FA65" s="57" t="str">
        <f aca="false">IF(2_Daily_input!FA55="","",2_Daily_input!FA55)</f>
        <v/>
      </c>
      <c r="FB65" s="57" t="str">
        <f aca="false">IF(2_Daily_input!FB55="","",2_Daily_input!FB55)</f>
        <v/>
      </c>
      <c r="FC65" s="57" t="str">
        <f aca="false">IF(2_Daily_input!FC55="","",2_Daily_input!FC55)</f>
        <v/>
      </c>
      <c r="FD65" s="57" t="str">
        <f aca="false">IF(2_Daily_input!FD55="","",2_Daily_input!FD55)</f>
        <v/>
      </c>
      <c r="FE65" s="57" t="str">
        <f aca="false">IF(2_Daily_input!FE55="","",2_Daily_input!FE55)</f>
        <v/>
      </c>
      <c r="FF65" s="57" t="str">
        <f aca="false">IF(2_Daily_input!FF55="","",2_Daily_input!FF55)</f>
        <v/>
      </c>
      <c r="FG65" s="57" t="str">
        <f aca="false">IF(2_Daily_input!FG55="","",2_Daily_input!FG55)</f>
        <v/>
      </c>
      <c r="FH65" s="57" t="str">
        <f aca="false">IF(2_Daily_input!FH55="","",2_Daily_input!FH55)</f>
        <v/>
      </c>
      <c r="FI65" s="57" t="str">
        <f aca="false">IF(2_Daily_input!FI55="","",2_Daily_input!FI55)</f>
        <v/>
      </c>
      <c r="FJ65" s="57" t="str">
        <f aca="false">IF(2_Daily_input!FJ55="","",2_Daily_input!FJ55)</f>
        <v/>
      </c>
      <c r="FK65" s="57" t="str">
        <f aca="false">IF(2_Daily_input!FK55="","",2_Daily_input!FK55)</f>
        <v/>
      </c>
      <c r="FL65" s="57" t="str">
        <f aca="false">IF(2_Daily_input!FL55="","",2_Daily_input!FL55)</f>
        <v/>
      </c>
      <c r="FM65" s="57" t="str">
        <f aca="false">IF(2_Daily_input!FM55="","",2_Daily_input!FM55)</f>
        <v/>
      </c>
      <c r="FN65" s="57" t="str">
        <f aca="false">IF(2_Daily_input!FN55="","",2_Daily_input!FN55)</f>
        <v/>
      </c>
      <c r="FO65" s="57" t="str">
        <f aca="false">IF(2_Daily_input!FO55="","",2_Daily_input!FO55)</f>
        <v/>
      </c>
      <c r="FP65" s="57" t="str">
        <f aca="false">IF(2_Daily_input!FP55="","",2_Daily_input!FP55)</f>
        <v/>
      </c>
      <c r="FQ65" s="57" t="str">
        <f aca="false">IF(2_Daily_input!FQ55="","",2_Daily_input!FQ55)</f>
        <v/>
      </c>
    </row>
    <row r="66" customFormat="false" ht="15" hidden="false" customHeight="false" outlineLevel="0" collapsed="false">
      <c r="A66" s="31" t="s">
        <v>328</v>
      </c>
      <c r="B66" s="17" t="s">
        <v>439</v>
      </c>
      <c r="D66" s="49" t="str">
        <f aca="false">IF(COUNT(D61:D65)=5,ROUND((LARGE(D61:D65,2)+LARGE(D61:D65,3)+LARGE(D61:D65,4))/3,1),"")</f>
        <v/>
      </c>
      <c r="E66" s="49" t="str">
        <f aca="false">IF(COUNT(E61:E65)=5,ROUND((LARGE(E61:E65,2)+LARGE(E61:E65,3)+LARGE(E61:E65,4))/3,1),"")</f>
        <v/>
      </c>
      <c r="F66" s="49" t="str">
        <f aca="false">IF(COUNT(F61:F65)=5,ROUND((LARGE(F61:F65,2)+LARGE(F61:F65,3)+LARGE(F61:F65,4))/3,1),"")</f>
        <v/>
      </c>
      <c r="G66" s="49" t="str">
        <f aca="false">IF(COUNT(G61:G65)=5,ROUND((LARGE(G61:G65,2)+LARGE(G61:G65,3)+LARGE(G61:G65,4))/3,1),"")</f>
        <v/>
      </c>
      <c r="H66" s="49" t="str">
        <f aca="false">IF(COUNT(H61:H65)=5,ROUND((LARGE(H61:H65,2)+LARGE(H61:H65,3)+LARGE(H61:H65,4))/3,1),"")</f>
        <v/>
      </c>
      <c r="I66" s="49" t="str">
        <f aca="false">IF(COUNT(I61:I65)=5,ROUND((LARGE(I61:I65,2)+LARGE(I61:I65,3)+LARGE(I61:I65,4))/3,1),"")</f>
        <v/>
      </c>
      <c r="J66" s="49" t="str">
        <f aca="false">IF(COUNT(J61:J65)=5,ROUND((LARGE(J61:J65,2)+LARGE(J61:J65,3)+LARGE(J61:J65,4))/3,1),"")</f>
        <v/>
      </c>
      <c r="K66" s="49" t="str">
        <f aca="false">IF(COUNT(K61:K65)=5,ROUND((LARGE(K61:K65,2)+LARGE(K61:K65,3)+LARGE(K61:K65,4))/3,1),"")</f>
        <v/>
      </c>
      <c r="L66" s="49" t="str">
        <f aca="false">IF(COUNT(L61:L65)=5,ROUND((LARGE(L61:L65,2)+LARGE(L61:L65,3)+LARGE(L61:L65,4))/3,1),"")</f>
        <v/>
      </c>
      <c r="M66" s="49" t="str">
        <f aca="false">IF(COUNT(M61:M65)=5,ROUND((LARGE(M61:M65,2)+LARGE(M61:M65,3)+LARGE(M61:M65,4))/3,1),"")</f>
        <v/>
      </c>
      <c r="N66" s="49" t="str">
        <f aca="false">IF(COUNT(N61:N65)=5,ROUND((LARGE(N61:N65,2)+LARGE(N61:N65,3)+LARGE(N61:N65,4))/3,1),"")</f>
        <v/>
      </c>
      <c r="O66" s="49" t="str">
        <f aca="false">IF(COUNT(O61:O65)=5,ROUND((LARGE(O61:O65,2)+LARGE(O61:O65,3)+LARGE(O61:O65,4))/3,1),"")</f>
        <v/>
      </c>
      <c r="P66" s="49" t="str">
        <f aca="false">IF(COUNT(P61:P65)=5,ROUND((LARGE(P61:P65,2)+LARGE(P61:P65,3)+LARGE(P61:P65,4))/3,1),"")</f>
        <v/>
      </c>
      <c r="Q66" s="49" t="str">
        <f aca="false">IF(COUNT(Q61:Q65)=5,ROUND((LARGE(Q61:Q65,2)+LARGE(Q61:Q65,3)+LARGE(Q61:Q65,4))/3,1),"")</f>
        <v/>
      </c>
      <c r="R66" s="49" t="str">
        <f aca="false">IF(COUNT(R61:R65)=5,ROUND((LARGE(R61:R65,2)+LARGE(R61:R65,3)+LARGE(R61:R65,4))/3,1),"")</f>
        <v/>
      </c>
      <c r="S66" s="49" t="str">
        <f aca="false">IF(COUNT(S61:S65)=5,ROUND((LARGE(S61:S65,2)+LARGE(S61:S65,3)+LARGE(S61:S65,4))/3,1),"")</f>
        <v/>
      </c>
      <c r="T66" s="49" t="str">
        <f aca="false">IF(COUNT(T61:T65)=5,ROUND((LARGE(T61:T65,2)+LARGE(T61:T65,3)+LARGE(T61:T65,4))/3,1),"")</f>
        <v/>
      </c>
      <c r="U66" s="49" t="str">
        <f aca="false">IF(COUNT(U61:U65)=5,ROUND((LARGE(U61:U65,2)+LARGE(U61:U65,3)+LARGE(U61:U65,4))/3,1),"")</f>
        <v/>
      </c>
      <c r="V66" s="49" t="str">
        <f aca="false">IF(COUNT(V61:V65)=5,ROUND((LARGE(V61:V65,2)+LARGE(V61:V65,3)+LARGE(V61:V65,4))/3,1),"")</f>
        <v/>
      </c>
      <c r="W66" s="49" t="str">
        <f aca="false">IF(COUNT(W61:W65)=5,ROUND((LARGE(W61:W65,2)+LARGE(W61:W65,3)+LARGE(W61:W65,4))/3,1),"")</f>
        <v/>
      </c>
      <c r="X66" s="49" t="str">
        <f aca="false">IF(COUNT(X61:X65)=5,ROUND((LARGE(X61:X65,2)+LARGE(X61:X65,3)+LARGE(X61:X65,4))/3,1),"")</f>
        <v/>
      </c>
      <c r="Y66" s="49" t="str">
        <f aca="false">IF(COUNT(Y61:Y65)=5,ROUND((LARGE(Y61:Y65,2)+LARGE(Y61:Y65,3)+LARGE(Y61:Y65,4))/3,1),"")</f>
        <v/>
      </c>
      <c r="Z66" s="49" t="str">
        <f aca="false">IF(COUNT(Z61:Z65)=5,ROUND((LARGE(Z61:Z65,2)+LARGE(Z61:Z65,3)+LARGE(Z61:Z65,4))/3,1),"")</f>
        <v/>
      </c>
      <c r="AA66" s="49" t="str">
        <f aca="false">IF(COUNT(AA61:AA65)=5,ROUND((LARGE(AA61:AA65,2)+LARGE(AA61:AA65,3)+LARGE(AA61:AA65,4))/3,1),"")</f>
        <v/>
      </c>
      <c r="AB66" s="49" t="str">
        <f aca="false">IF(COUNT(AB61:AB65)=5,ROUND((LARGE(AB61:AB65,2)+LARGE(AB61:AB65,3)+LARGE(AB61:AB65,4))/3,1),"")</f>
        <v/>
      </c>
      <c r="AC66" s="49" t="str">
        <f aca="false">IF(COUNT(AC61:AC65)=5,ROUND((LARGE(AC61:AC65,2)+LARGE(AC61:AC65,3)+LARGE(AC61:AC65,4))/3,1),"")</f>
        <v/>
      </c>
      <c r="AD66" s="49" t="str">
        <f aca="false">IF(COUNT(AD61:AD65)=5,ROUND((LARGE(AD61:AD65,2)+LARGE(AD61:AD65,3)+LARGE(AD61:AD65,4))/3,1),"")</f>
        <v/>
      </c>
      <c r="AE66" s="49" t="str">
        <f aca="false">IF(COUNT(AE61:AE65)=5,ROUND((LARGE(AE61:AE65,2)+LARGE(AE61:AE65,3)+LARGE(AE61:AE65,4))/3,1),"")</f>
        <v/>
      </c>
      <c r="AF66" s="49" t="str">
        <f aca="false">IF(COUNT(AF61:AF65)=5,ROUND((LARGE(AF61:AF65,2)+LARGE(AF61:AF65,3)+LARGE(AF61:AF65,4))/3,1),"")</f>
        <v/>
      </c>
      <c r="AG66" s="49" t="str">
        <f aca="false">IF(COUNT(AG61:AG65)=5,ROUND((LARGE(AG61:AG65,2)+LARGE(AG61:AG65,3)+LARGE(AG61:AG65,4))/3,1),"")</f>
        <v/>
      </c>
      <c r="AH66" s="49" t="str">
        <f aca="false">IF(COUNT(AH61:AH65)=5,ROUND((LARGE(AH61:AH65,2)+LARGE(AH61:AH65,3)+LARGE(AH61:AH65,4))/3,1),"")</f>
        <v/>
      </c>
      <c r="AI66" s="49" t="str">
        <f aca="false">IF(COUNT(AI61:AI65)=5,ROUND((LARGE(AI61:AI65,2)+LARGE(AI61:AI65,3)+LARGE(AI61:AI65,4))/3,1),"")</f>
        <v/>
      </c>
      <c r="AJ66" s="49" t="str">
        <f aca="false">IF(COUNT(AJ61:AJ65)=5,ROUND((LARGE(AJ61:AJ65,2)+LARGE(AJ61:AJ65,3)+LARGE(AJ61:AJ65,4))/3,1),"")</f>
        <v/>
      </c>
      <c r="AK66" s="49" t="str">
        <f aca="false">IF(COUNT(AK61:AK65)=5,ROUND((LARGE(AK61:AK65,2)+LARGE(AK61:AK65,3)+LARGE(AK61:AK65,4))/3,1),"")</f>
        <v/>
      </c>
      <c r="AL66" s="49" t="str">
        <f aca="false">IF(COUNT(AL61:AL65)=5,ROUND((LARGE(AL61:AL65,2)+LARGE(AL61:AL65,3)+LARGE(AL61:AL65,4))/3,1),"")</f>
        <v/>
      </c>
      <c r="AM66" s="49" t="str">
        <f aca="false">IF(COUNT(AM61:AM65)=5,ROUND((LARGE(AM61:AM65,2)+LARGE(AM61:AM65,3)+LARGE(AM61:AM65,4))/3,1),"")</f>
        <v/>
      </c>
      <c r="AN66" s="49" t="str">
        <f aca="false">IF(COUNT(AN61:AN65)=5,ROUND((LARGE(AN61:AN65,2)+LARGE(AN61:AN65,3)+LARGE(AN61:AN65,4))/3,1),"")</f>
        <v/>
      </c>
      <c r="AO66" s="49" t="str">
        <f aca="false">IF(COUNT(AO61:AO65)=5,ROUND((LARGE(AO61:AO65,2)+LARGE(AO61:AO65,3)+LARGE(AO61:AO65,4))/3,1),"")</f>
        <v/>
      </c>
      <c r="AP66" s="49" t="str">
        <f aca="false">IF(COUNT(AP61:AP65)=5,ROUND((LARGE(AP61:AP65,2)+LARGE(AP61:AP65,3)+LARGE(AP61:AP65,4))/3,1),"")</f>
        <v/>
      </c>
      <c r="AQ66" s="49" t="str">
        <f aca="false">IF(COUNT(AQ61:AQ65)=5,ROUND((LARGE(AQ61:AQ65,2)+LARGE(AQ61:AQ65,3)+LARGE(AQ61:AQ65,4))/3,1),"")</f>
        <v/>
      </c>
      <c r="AR66" s="49" t="str">
        <f aca="false">IF(COUNT(AR61:AR65)=5,ROUND((LARGE(AR61:AR65,2)+LARGE(AR61:AR65,3)+LARGE(AR61:AR65,4))/3,1),"")</f>
        <v/>
      </c>
      <c r="AS66" s="49" t="str">
        <f aca="false">IF(COUNT(AS61:AS65)=5,ROUND((LARGE(AS61:AS65,2)+LARGE(AS61:AS65,3)+LARGE(AS61:AS65,4))/3,1),"")</f>
        <v/>
      </c>
      <c r="AT66" s="49" t="str">
        <f aca="false">IF(COUNT(AT61:AT65)=5,ROUND((LARGE(AT61:AT65,2)+LARGE(AT61:AT65,3)+LARGE(AT61:AT65,4))/3,1),"")</f>
        <v/>
      </c>
      <c r="AU66" s="49" t="str">
        <f aca="false">IF(COUNT(AU61:AU65)=5,ROUND((LARGE(AU61:AU65,2)+LARGE(AU61:AU65,3)+LARGE(AU61:AU65,4))/3,1),"")</f>
        <v/>
      </c>
      <c r="AV66" s="49" t="str">
        <f aca="false">IF(COUNT(AV61:AV65)=5,ROUND((LARGE(AV61:AV65,2)+LARGE(AV61:AV65,3)+LARGE(AV61:AV65,4))/3,1),"")</f>
        <v/>
      </c>
      <c r="AW66" s="49" t="str">
        <f aca="false">IF(COUNT(AW61:AW65)=5,ROUND((LARGE(AW61:AW65,2)+LARGE(AW61:AW65,3)+LARGE(AW61:AW65,4))/3,1),"")</f>
        <v/>
      </c>
      <c r="AX66" s="49" t="str">
        <f aca="false">IF(COUNT(AX61:AX65)=5,ROUND((LARGE(AX61:AX65,2)+LARGE(AX61:AX65,3)+LARGE(AX61:AX65,4))/3,1),"")</f>
        <v/>
      </c>
      <c r="AY66" s="49" t="str">
        <f aca="false">IF(COUNT(AY61:AY65)=5,ROUND((LARGE(AY61:AY65,2)+LARGE(AY61:AY65,3)+LARGE(AY61:AY65,4))/3,1),"")</f>
        <v/>
      </c>
      <c r="AZ66" s="49" t="str">
        <f aca="false">IF(COUNT(AZ61:AZ65)=5,ROUND((LARGE(AZ61:AZ65,2)+LARGE(AZ61:AZ65,3)+LARGE(AZ61:AZ65,4))/3,1),"")</f>
        <v/>
      </c>
      <c r="BA66" s="49" t="str">
        <f aca="false">IF(COUNT(BA61:BA65)=5,ROUND((LARGE(BA61:BA65,2)+LARGE(BA61:BA65,3)+LARGE(BA61:BA65,4))/3,1),"")</f>
        <v/>
      </c>
      <c r="BB66" s="49" t="str">
        <f aca="false">IF(COUNT(BB61:BB65)=5,ROUND((LARGE(BB61:BB65,2)+LARGE(BB61:BB65,3)+LARGE(BB61:BB65,4))/3,1),"")</f>
        <v/>
      </c>
      <c r="BC66" s="49" t="str">
        <f aca="false">IF(COUNT(BC61:BC65)=5,ROUND((LARGE(BC61:BC65,2)+LARGE(BC61:BC65,3)+LARGE(BC61:BC65,4))/3,1),"")</f>
        <v/>
      </c>
      <c r="BD66" s="49" t="str">
        <f aca="false">IF(COUNT(BD61:BD65)=5,ROUND((LARGE(BD61:BD65,2)+LARGE(BD61:BD65,3)+LARGE(BD61:BD65,4))/3,1),"")</f>
        <v/>
      </c>
      <c r="BE66" s="49" t="str">
        <f aca="false">IF(COUNT(BE61:BE65)=5,ROUND((LARGE(BE61:BE65,2)+LARGE(BE61:BE65,3)+LARGE(BE61:BE65,4))/3,1),"")</f>
        <v/>
      </c>
      <c r="BF66" s="49" t="str">
        <f aca="false">IF(COUNT(BF61:BF65)=5,ROUND((LARGE(BF61:BF65,2)+LARGE(BF61:BF65,3)+LARGE(BF61:BF65,4))/3,1),"")</f>
        <v/>
      </c>
      <c r="BG66" s="49" t="str">
        <f aca="false">IF(COUNT(BG61:BG65)=5,ROUND((LARGE(BG61:BG65,2)+LARGE(BG61:BG65,3)+LARGE(BG61:BG65,4))/3,1),"")</f>
        <v/>
      </c>
      <c r="BH66" s="49" t="str">
        <f aca="false">IF(COUNT(BH61:BH65)=5,ROUND((LARGE(BH61:BH65,2)+LARGE(BH61:BH65,3)+LARGE(BH61:BH65,4))/3,1),"")</f>
        <v/>
      </c>
      <c r="BI66" s="49" t="str">
        <f aca="false">IF(COUNT(BI61:BI65)=5,ROUND((LARGE(BI61:BI65,2)+LARGE(BI61:BI65,3)+LARGE(BI61:BI65,4))/3,1),"")</f>
        <v/>
      </c>
      <c r="BJ66" s="49" t="str">
        <f aca="false">IF(COUNT(BJ61:BJ65)=5,ROUND((LARGE(BJ61:BJ65,2)+LARGE(BJ61:BJ65,3)+LARGE(BJ61:BJ65,4))/3,1),"")</f>
        <v/>
      </c>
      <c r="BK66" s="49" t="str">
        <f aca="false">IF(COUNT(BK61:BK65)=5,ROUND((LARGE(BK61:BK65,2)+LARGE(BK61:BK65,3)+LARGE(BK61:BK65,4))/3,1),"")</f>
        <v/>
      </c>
      <c r="BL66" s="49" t="str">
        <f aca="false">IF(COUNT(BL61:BL65)=5,ROUND((LARGE(BL61:BL65,2)+LARGE(BL61:BL65,3)+LARGE(BL61:BL65,4))/3,1),"")</f>
        <v/>
      </c>
      <c r="BM66" s="49" t="str">
        <f aca="false">IF(COUNT(BM61:BM65)=5,ROUND((LARGE(BM61:BM65,2)+LARGE(BM61:BM65,3)+LARGE(BM61:BM65,4))/3,1),"")</f>
        <v/>
      </c>
      <c r="BN66" s="49" t="str">
        <f aca="false">IF(COUNT(BN61:BN65)=5,ROUND((LARGE(BN61:BN65,2)+LARGE(BN61:BN65,3)+LARGE(BN61:BN65,4))/3,1),"")</f>
        <v/>
      </c>
      <c r="BO66" s="49" t="str">
        <f aca="false">IF(COUNT(BO61:BO65)=5,ROUND((LARGE(BO61:BO65,2)+LARGE(BO61:BO65,3)+LARGE(BO61:BO65,4))/3,1),"")</f>
        <v/>
      </c>
      <c r="BP66" s="49" t="str">
        <f aca="false">IF(COUNT(BP61:BP65)=5,ROUND((LARGE(BP61:BP65,2)+LARGE(BP61:BP65,3)+LARGE(BP61:BP65,4))/3,1),"")</f>
        <v/>
      </c>
      <c r="BQ66" s="49" t="str">
        <f aca="false">IF(COUNT(BQ61:BQ65)=5,ROUND((LARGE(BQ61:BQ65,2)+LARGE(BQ61:BQ65,3)+LARGE(BQ61:BQ65,4))/3,1),"")</f>
        <v/>
      </c>
      <c r="BR66" s="49" t="str">
        <f aca="false">IF(COUNT(BR61:BR65)=5,ROUND((LARGE(BR61:BR65,2)+LARGE(BR61:BR65,3)+LARGE(BR61:BR65,4))/3,1),"")</f>
        <v/>
      </c>
      <c r="BS66" s="49" t="str">
        <f aca="false">IF(COUNT(BS61:BS65)=5,ROUND((LARGE(BS61:BS65,2)+LARGE(BS61:BS65,3)+LARGE(BS61:BS65,4))/3,1),"")</f>
        <v/>
      </c>
      <c r="BT66" s="49" t="str">
        <f aca="false">IF(COUNT(BT61:BT65)=5,ROUND((LARGE(BT61:BT65,2)+LARGE(BT61:BT65,3)+LARGE(BT61:BT65,4))/3,1),"")</f>
        <v/>
      </c>
      <c r="BU66" s="49" t="str">
        <f aca="false">IF(COUNT(BU61:BU65)=5,ROUND((LARGE(BU61:BU65,2)+LARGE(BU61:BU65,3)+LARGE(BU61:BU65,4))/3,1),"")</f>
        <v/>
      </c>
      <c r="BV66" s="49" t="str">
        <f aca="false">IF(COUNT(BV61:BV65)=5,ROUND((LARGE(BV61:BV65,2)+LARGE(BV61:BV65,3)+LARGE(BV61:BV65,4))/3,1),"")</f>
        <v/>
      </c>
      <c r="BW66" s="49" t="str">
        <f aca="false">IF(COUNT(BW61:BW65)=5,ROUND((LARGE(BW61:BW65,2)+LARGE(BW61:BW65,3)+LARGE(BW61:BW65,4))/3,1),"")</f>
        <v/>
      </c>
      <c r="BX66" s="49" t="str">
        <f aca="false">IF(COUNT(BX61:BX65)=5,ROUND((LARGE(BX61:BX65,2)+LARGE(BX61:BX65,3)+LARGE(BX61:BX65,4))/3,1),"")</f>
        <v/>
      </c>
      <c r="BY66" s="49" t="n">
        <f aca="false">IF(COUNT(BY61:BY65)=5,ROUND((LARGE(BY61:BY65,2)+LARGE(BY61:BY65,3)+LARGE(BY61:BY65,4))/3,1),"")</f>
        <v>8.3</v>
      </c>
      <c r="BZ66" s="49" t="str">
        <f aca="false">IF(COUNT(BZ61:BZ65)=5,ROUND((LARGE(BZ61:BZ65,2)+LARGE(BZ61:BZ65,3)+LARGE(BZ61:BZ65,4))/3,1),"")</f>
        <v/>
      </c>
      <c r="CA66" s="49" t="str">
        <f aca="false">IF(COUNT(CA61:CA65)=5,ROUND((LARGE(CA61:CA65,2)+LARGE(CA61:CA65,3)+LARGE(CA61:CA65,4))/3,1),"")</f>
        <v/>
      </c>
      <c r="CB66" s="49" t="str">
        <f aca="false">IF(COUNT(CB61:CB65)=5,ROUND((LARGE(CB61:CB65,2)+LARGE(CB61:CB65,3)+LARGE(CB61:CB65,4))/3,1),"")</f>
        <v/>
      </c>
      <c r="CC66" s="49" t="str">
        <f aca="false">IF(COUNT(CC61:CC65)=5,ROUND((LARGE(CC61:CC65,2)+LARGE(CC61:CC65,3)+LARGE(CC61:CC65,4))/3,1),"")</f>
        <v/>
      </c>
      <c r="CD66" s="49" t="str">
        <f aca="false">IF(COUNT(CD61:CD65)=5,ROUND((LARGE(CD61:CD65,2)+LARGE(CD61:CD65,3)+LARGE(CD61:CD65,4))/3,1),"")</f>
        <v/>
      </c>
      <c r="CE66" s="49" t="str">
        <f aca="false">IF(COUNT(CE61:CE65)=5,ROUND((LARGE(CE61:CE65,2)+LARGE(CE61:CE65,3)+LARGE(CE61:CE65,4))/3,1),"")</f>
        <v/>
      </c>
      <c r="CF66" s="49" t="str">
        <f aca="false">IF(COUNT(CF61:CF65)=5,ROUND((LARGE(CF61:CF65,2)+LARGE(CF61:CF65,3)+LARGE(CF61:CF65,4))/3,1),"")</f>
        <v/>
      </c>
      <c r="CG66" s="49" t="str">
        <f aca="false">IF(COUNT(CG61:CG65)=5,ROUND((LARGE(CG61:CG65,2)+LARGE(CG61:CG65,3)+LARGE(CG61:CG65,4))/3,1),"")</f>
        <v/>
      </c>
      <c r="CH66" s="49" t="str">
        <f aca="false">IF(COUNT(CH61:CH65)=5,ROUND((LARGE(CH61:CH65,2)+LARGE(CH61:CH65,3)+LARGE(CH61:CH65,4))/3,1),"")</f>
        <v/>
      </c>
      <c r="CI66" s="49" t="str">
        <f aca="false">IF(COUNT(CI61:CI65)=5,ROUND((LARGE(CI61:CI65,2)+LARGE(CI61:CI65,3)+LARGE(CI61:CI65,4))/3,1),"")</f>
        <v/>
      </c>
      <c r="CJ66" s="49" t="str">
        <f aca="false">IF(COUNT(CJ61:CJ65)=5,ROUND((LARGE(CJ61:CJ65,2)+LARGE(CJ61:CJ65,3)+LARGE(CJ61:CJ65,4))/3,1),"")</f>
        <v/>
      </c>
      <c r="CK66" s="49" t="str">
        <f aca="false">IF(COUNT(CK61:CK65)=5,ROUND((LARGE(CK61:CK65,2)+LARGE(CK61:CK65,3)+LARGE(CK61:CK65,4))/3,1),"")</f>
        <v/>
      </c>
      <c r="CL66" s="49" t="str">
        <f aca="false">IF(COUNT(CL61:CL65)=5,ROUND((LARGE(CL61:CL65,2)+LARGE(CL61:CL65,3)+LARGE(CL61:CL65,4))/3,1),"")</f>
        <v/>
      </c>
      <c r="CM66" s="49" t="str">
        <f aca="false">IF(COUNT(CM61:CM65)=5,ROUND((LARGE(CM61:CM65,2)+LARGE(CM61:CM65,3)+LARGE(CM61:CM65,4))/3,1),"")</f>
        <v/>
      </c>
      <c r="CN66" s="49" t="n">
        <f aca="false">IF(COUNT(CN61:CN65)=5,ROUND((LARGE(CN61:CN65,2)+LARGE(CN61:CN65,3)+LARGE(CN61:CN65,4))/3,1),"")</f>
        <v>14</v>
      </c>
      <c r="CO66" s="49" t="str">
        <f aca="false">IF(COUNT(CO61:CO65)=5,ROUND((LARGE(CO61:CO65,2)+LARGE(CO61:CO65,3)+LARGE(CO61:CO65,4))/3,1),"")</f>
        <v/>
      </c>
      <c r="CP66" s="49" t="str">
        <f aca="false">IF(COUNT(CP61:CP65)=5,ROUND((LARGE(CP61:CP65,2)+LARGE(CP61:CP65,3)+LARGE(CP61:CP65,4))/3,1),"")</f>
        <v/>
      </c>
      <c r="CQ66" s="49" t="str">
        <f aca="false">IF(COUNT(CQ61:CQ65)=5,ROUND((LARGE(CQ61:CQ65,2)+LARGE(CQ61:CQ65,3)+LARGE(CQ61:CQ65,4))/3,1),"")</f>
        <v/>
      </c>
      <c r="CR66" s="49" t="str">
        <f aca="false">IF(COUNT(CR61:CR65)=5,ROUND((LARGE(CR61:CR65,2)+LARGE(CR61:CR65,3)+LARGE(CR61:CR65,4))/3,1),"")</f>
        <v/>
      </c>
      <c r="CS66" s="49" t="str">
        <f aca="false">IF(COUNT(CS61:CS65)=5,ROUND((LARGE(CS61:CS65,2)+LARGE(CS61:CS65,3)+LARGE(CS61:CS65,4))/3,1),"")</f>
        <v/>
      </c>
      <c r="CT66" s="49" t="str">
        <f aca="false">IF(COUNT(CT61:CT65)=5,ROUND((LARGE(CT61:CT65,2)+LARGE(CT61:CT65,3)+LARGE(CT61:CT65,4))/3,1),"")</f>
        <v/>
      </c>
      <c r="CU66" s="49" t="str">
        <f aca="false">IF(COUNT(CU61:CU65)=5,ROUND((LARGE(CU61:CU65,2)+LARGE(CU61:CU65,3)+LARGE(CU61:CU65,4))/3,1),"")</f>
        <v/>
      </c>
      <c r="CV66" s="49" t="str">
        <f aca="false">IF(COUNT(CV61:CV65)=5,ROUND((LARGE(CV61:CV65,2)+LARGE(CV61:CV65,3)+LARGE(CV61:CV65,4))/3,1),"")</f>
        <v/>
      </c>
      <c r="CW66" s="49" t="str">
        <f aca="false">IF(COUNT(CW61:CW65)=5,ROUND((LARGE(CW61:CW65,2)+LARGE(CW61:CW65,3)+LARGE(CW61:CW65,4))/3,1),"")</f>
        <v/>
      </c>
      <c r="CX66" s="49" t="str">
        <f aca="false">IF(COUNT(CX61:CX65)=5,ROUND((LARGE(CX61:CX65,2)+LARGE(CX61:CX65,3)+LARGE(CX61:CX65,4))/3,1),"")</f>
        <v/>
      </c>
      <c r="CY66" s="49" t="str">
        <f aca="false">IF(COUNT(CY61:CY65)=5,ROUND((LARGE(CY61:CY65,2)+LARGE(CY61:CY65,3)+LARGE(CY61:CY65,4))/3,1),"")</f>
        <v/>
      </c>
      <c r="CZ66" s="49" t="str">
        <f aca="false">IF(COUNT(CZ61:CZ65)=5,ROUND((LARGE(CZ61:CZ65,2)+LARGE(CZ61:CZ65,3)+LARGE(CZ61:CZ65,4))/3,1),"")</f>
        <v/>
      </c>
      <c r="DA66" s="49" t="str">
        <f aca="false">IF(COUNT(DA61:DA65)=5,ROUND((LARGE(DA61:DA65,2)+LARGE(DA61:DA65,3)+LARGE(DA61:DA65,4))/3,1),"")</f>
        <v/>
      </c>
      <c r="DB66" s="49" t="str">
        <f aca="false">IF(COUNT(DB61:DB65)=5,ROUND((LARGE(DB61:DB65,2)+LARGE(DB61:DB65,3)+LARGE(DB61:DB65,4))/3,1),"")</f>
        <v/>
      </c>
      <c r="DC66" s="49" t="n">
        <f aca="false">IF(COUNT(DC61:DC65)=5,ROUND((LARGE(DC61:DC65,2)+LARGE(DC61:DC65,3)+LARGE(DC61:DC65,4))/3,1),"")</f>
        <v>19</v>
      </c>
      <c r="DD66" s="49" t="str">
        <f aca="false">IF(COUNT(DD61:DD65)=5,ROUND((LARGE(DD61:DD65,2)+LARGE(DD61:DD65,3)+LARGE(DD61:DD65,4))/3,1),"")</f>
        <v/>
      </c>
      <c r="DE66" s="49" t="str">
        <f aca="false">IF(COUNT(DE61:DE65)=5,ROUND((LARGE(DE61:DE65,2)+LARGE(DE61:DE65,3)+LARGE(DE61:DE65,4))/3,1),"")</f>
        <v/>
      </c>
      <c r="DF66" s="49" t="str">
        <f aca="false">IF(COUNT(DF61:DF65)=5,ROUND((LARGE(DF61:DF65,2)+LARGE(DF61:DF65,3)+LARGE(DF61:DF65,4))/3,1),"")</f>
        <v/>
      </c>
      <c r="DG66" s="49" t="str">
        <f aca="false">IF(COUNT(DG61:DG65)=5,ROUND((LARGE(DG61:DG65,2)+LARGE(DG61:DG65,3)+LARGE(DG61:DG65,4))/3,1),"")</f>
        <v/>
      </c>
      <c r="DH66" s="49" t="str">
        <f aca="false">IF(COUNT(DH61:DH65)=5,ROUND((LARGE(DH61:DH65,2)+LARGE(DH61:DH65,3)+LARGE(DH61:DH65,4))/3,1),"")</f>
        <v/>
      </c>
      <c r="DI66" s="49" t="str">
        <f aca="false">IF(COUNT(DI61:DI65)=5,ROUND((LARGE(DI61:DI65,2)+LARGE(DI61:DI65,3)+LARGE(DI61:DI65,4))/3,1),"")</f>
        <v/>
      </c>
      <c r="DJ66" s="49" t="str">
        <f aca="false">IF(COUNT(DJ61:DJ65)=5,ROUND((LARGE(DJ61:DJ65,2)+LARGE(DJ61:DJ65,3)+LARGE(DJ61:DJ65,4))/3,1),"")</f>
        <v/>
      </c>
      <c r="DK66" s="49" t="str">
        <f aca="false">IF(COUNT(DK61:DK65)=5,ROUND((LARGE(DK61:DK65,2)+LARGE(DK61:DK65,3)+LARGE(DK61:DK65,4))/3,1),"")</f>
        <v/>
      </c>
      <c r="DL66" s="49" t="str">
        <f aca="false">IF(COUNT(DL61:DL65)=5,ROUND((LARGE(DL61:DL65,2)+LARGE(DL61:DL65,3)+LARGE(DL61:DL65,4))/3,1),"")</f>
        <v/>
      </c>
      <c r="DM66" s="49" t="str">
        <f aca="false">IF(COUNT(DM61:DM65)=5,ROUND((LARGE(DM61:DM65,2)+LARGE(DM61:DM65,3)+LARGE(DM61:DM65,4))/3,1),"")</f>
        <v/>
      </c>
      <c r="DN66" s="49" t="str">
        <f aca="false">IF(COUNT(DN61:DN65)=5,ROUND((LARGE(DN61:DN65,2)+LARGE(DN61:DN65,3)+LARGE(DN61:DN65,4))/3,1),"")</f>
        <v/>
      </c>
      <c r="DO66" s="49" t="str">
        <f aca="false">IF(COUNT(DO61:DO65)=5,ROUND((LARGE(DO61:DO65,2)+LARGE(DO61:DO65,3)+LARGE(DO61:DO65,4))/3,1),"")</f>
        <v/>
      </c>
      <c r="DP66" s="49" t="str">
        <f aca="false">IF(COUNT(DP61:DP65)=5,ROUND((LARGE(DP61:DP65,2)+LARGE(DP61:DP65,3)+LARGE(DP61:DP65,4))/3,1),"")</f>
        <v/>
      </c>
      <c r="DQ66" s="49" t="str">
        <f aca="false">IF(COUNT(DQ61:DQ65)=5,ROUND((LARGE(DQ61:DQ65,2)+LARGE(DQ61:DQ65,3)+LARGE(DQ61:DQ65,4))/3,1),"")</f>
        <v/>
      </c>
      <c r="DR66" s="49" t="n">
        <f aca="false">IF(COUNT(DR61:DR65)=5,ROUND((LARGE(DR61:DR65,2)+LARGE(DR61:DR65,3)+LARGE(DR61:DR65,4))/3,1),"")</f>
        <v>17.7</v>
      </c>
      <c r="DS66" s="49" t="str">
        <f aca="false">IF(COUNT(DS61:DS65)=5,ROUND((LARGE(DS61:DS65,2)+LARGE(DS61:DS65,3)+LARGE(DS61:DS65,4))/3,1),"")</f>
        <v/>
      </c>
      <c r="DT66" s="49" t="str">
        <f aca="false">IF(COUNT(DT61:DT65)=5,ROUND((LARGE(DT61:DT65,2)+LARGE(DT61:DT65,3)+LARGE(DT61:DT65,4))/3,1),"")</f>
        <v/>
      </c>
      <c r="DU66" s="49" t="str">
        <f aca="false">IF(COUNT(DU61:DU65)=5,ROUND((LARGE(DU61:DU65,2)+LARGE(DU61:DU65,3)+LARGE(DU61:DU65,4))/3,1),"")</f>
        <v/>
      </c>
      <c r="DV66" s="49" t="str">
        <f aca="false">IF(COUNT(DV61:DV65)=5,ROUND((LARGE(DV61:DV65,2)+LARGE(DV61:DV65,3)+LARGE(DV61:DV65,4))/3,1),"")</f>
        <v/>
      </c>
      <c r="DW66" s="49" t="str">
        <f aca="false">IF(COUNT(DW61:DW65)=5,ROUND((LARGE(DW61:DW65,2)+LARGE(DW61:DW65,3)+LARGE(DW61:DW65,4))/3,1),"")</f>
        <v/>
      </c>
      <c r="DX66" s="49" t="str">
        <f aca="false">IF(COUNT(DX61:DX65)=5,ROUND((LARGE(DX61:DX65,2)+LARGE(DX61:DX65,3)+LARGE(DX61:DX65,4))/3,1),"")</f>
        <v/>
      </c>
      <c r="DY66" s="49" t="str">
        <f aca="false">IF(COUNT(DY61:DY65)=5,ROUND((LARGE(DY61:DY65,2)+LARGE(DY61:DY65,3)+LARGE(DY61:DY65,4))/3,1),"")</f>
        <v/>
      </c>
      <c r="DZ66" s="49" t="str">
        <f aca="false">IF(COUNT(DZ61:DZ65)=5,ROUND((LARGE(DZ61:DZ65,2)+LARGE(DZ61:DZ65,3)+LARGE(DZ61:DZ65,4))/3,1),"")</f>
        <v/>
      </c>
      <c r="EA66" s="49" t="str">
        <f aca="false">IF(COUNT(EA61:EA65)=5,ROUND((LARGE(EA61:EA65,2)+LARGE(EA61:EA65,3)+LARGE(EA61:EA65,4))/3,1),"")</f>
        <v/>
      </c>
      <c r="EB66" s="49" t="str">
        <f aca="false">IF(COUNT(EB61:EB65)=5,ROUND((LARGE(EB61:EB65,2)+LARGE(EB61:EB65,3)+LARGE(EB61:EB65,4))/3,1),"")</f>
        <v/>
      </c>
      <c r="EC66" s="49" t="str">
        <f aca="false">IF(COUNT(EC61:EC65)=5,ROUND((LARGE(EC61:EC65,2)+LARGE(EC61:EC65,3)+LARGE(EC61:EC65,4))/3,1),"")</f>
        <v/>
      </c>
      <c r="ED66" s="49" t="str">
        <f aca="false">IF(COUNT(ED61:ED65)=5,ROUND((LARGE(ED61:ED65,2)+LARGE(ED61:ED65,3)+LARGE(ED61:ED65,4))/3,1),"")</f>
        <v/>
      </c>
      <c r="EE66" s="49" t="str">
        <f aca="false">IF(COUNT(EE61:EE65)=5,ROUND((LARGE(EE61:EE65,2)+LARGE(EE61:EE65,3)+LARGE(EE61:EE65,4))/3,1),"")</f>
        <v/>
      </c>
      <c r="EF66" s="49" t="str">
        <f aca="false">IF(COUNT(EF61:EF65)=5,ROUND((LARGE(EF61:EF65,2)+LARGE(EF61:EF65,3)+LARGE(EF61:EF65,4))/3,1),"")</f>
        <v/>
      </c>
      <c r="EG66" s="49" t="str">
        <f aca="false">IF(COUNT(EG61:EG65)=5,ROUND((LARGE(EG61:EG65,2)+LARGE(EG61:EG65,3)+LARGE(EG61:EG65,4))/3,1),"")</f>
        <v/>
      </c>
      <c r="EH66" s="49" t="str">
        <f aca="false">IF(COUNT(EH61:EH65)=5,ROUND((LARGE(EH61:EH65,2)+LARGE(EH61:EH65,3)+LARGE(EH61:EH65,4))/3,1),"")</f>
        <v/>
      </c>
      <c r="EI66" s="49" t="str">
        <f aca="false">IF(COUNT(EI61:EI65)=5,ROUND((LARGE(EI61:EI65,2)+LARGE(EI61:EI65,3)+LARGE(EI61:EI65,4))/3,1),"")</f>
        <v/>
      </c>
      <c r="EJ66" s="49" t="str">
        <f aca="false">IF(COUNT(EJ61:EJ65)=5,ROUND((LARGE(EJ61:EJ65,2)+LARGE(EJ61:EJ65,3)+LARGE(EJ61:EJ65,4))/3,1),"")</f>
        <v/>
      </c>
      <c r="EK66" s="49" t="str">
        <f aca="false">IF(COUNT(EK61:EK65)=5,ROUND((LARGE(EK61:EK65,2)+LARGE(EK61:EK65,3)+LARGE(EK61:EK65,4))/3,1),"")</f>
        <v/>
      </c>
      <c r="EL66" s="49" t="str">
        <f aca="false">IF(COUNT(EL61:EL65)=5,ROUND((LARGE(EL61:EL65,2)+LARGE(EL61:EL65,3)+LARGE(EL61:EL65,4))/3,1),"")</f>
        <v/>
      </c>
      <c r="EM66" s="49" t="str">
        <f aca="false">IF(COUNT(EM61:EM65)=5,ROUND((LARGE(EM61:EM65,2)+LARGE(EM61:EM65,3)+LARGE(EM61:EM65,4))/3,1),"")</f>
        <v/>
      </c>
      <c r="EN66" s="49" t="str">
        <f aca="false">IF(COUNT(EN61:EN65)=5,ROUND((LARGE(EN61:EN65,2)+LARGE(EN61:EN65,3)+LARGE(EN61:EN65,4))/3,1),"")</f>
        <v/>
      </c>
      <c r="EO66" s="49" t="str">
        <f aca="false">IF(COUNT(EO61:EO65)=5,ROUND((LARGE(EO61:EO65,2)+LARGE(EO61:EO65,3)+LARGE(EO61:EO65,4))/3,1),"")</f>
        <v/>
      </c>
      <c r="EP66" s="49" t="str">
        <f aca="false">IF(COUNT(EP61:EP65)=5,ROUND((LARGE(EP61:EP65,2)+LARGE(EP61:EP65,3)+LARGE(EP61:EP65,4))/3,1),"")</f>
        <v/>
      </c>
      <c r="EQ66" s="49" t="str">
        <f aca="false">IF(COUNT(EQ61:EQ65)=5,ROUND((LARGE(EQ61:EQ65,2)+LARGE(EQ61:EQ65,3)+LARGE(EQ61:EQ65,4))/3,1),"")</f>
        <v/>
      </c>
      <c r="ER66" s="49" t="str">
        <f aca="false">IF(COUNT(ER61:ER65)=5,ROUND((LARGE(ER61:ER65,2)+LARGE(ER61:ER65,3)+LARGE(ER61:ER65,4))/3,1),"")</f>
        <v/>
      </c>
      <c r="ES66" s="49" t="str">
        <f aca="false">IF(COUNT(ES61:ES65)=5,ROUND((LARGE(ES61:ES65,2)+LARGE(ES61:ES65,3)+LARGE(ES61:ES65,4))/3,1),"")</f>
        <v/>
      </c>
      <c r="ET66" s="49" t="str">
        <f aca="false">IF(COUNT(ET61:ET65)=5,ROUND((LARGE(ET61:ET65,2)+LARGE(ET61:ET65,3)+LARGE(ET61:ET65,4))/3,1),"")</f>
        <v/>
      </c>
      <c r="EU66" s="49" t="str">
        <f aca="false">IF(COUNT(EU61:EU65)=5,ROUND((LARGE(EU61:EU65,2)+LARGE(EU61:EU65,3)+LARGE(EU61:EU65,4))/3,1),"")</f>
        <v/>
      </c>
      <c r="EV66" s="49" t="str">
        <f aca="false">IF(COUNT(EV61:EV65)=5,ROUND((LARGE(EV61:EV65,2)+LARGE(EV61:EV65,3)+LARGE(EV61:EV65,4))/3,1),"")</f>
        <v/>
      </c>
      <c r="EW66" s="49" t="str">
        <f aca="false">IF(COUNT(EW61:EW65)=5,ROUND((LARGE(EW61:EW65,2)+LARGE(EW61:EW65,3)+LARGE(EW61:EW65,4))/3,1),"")</f>
        <v/>
      </c>
      <c r="EX66" s="49" t="str">
        <f aca="false">IF(COUNT(EX61:EX65)=5,ROUND((LARGE(EX61:EX65,2)+LARGE(EX61:EX65,3)+LARGE(EX61:EX65,4))/3,1),"")</f>
        <v/>
      </c>
      <c r="EY66" s="49" t="str">
        <f aca="false">IF(COUNT(EY61:EY65)=5,ROUND((LARGE(EY61:EY65,2)+LARGE(EY61:EY65,3)+LARGE(EY61:EY65,4))/3,1),"")</f>
        <v/>
      </c>
      <c r="EZ66" s="49" t="str">
        <f aca="false">IF(COUNT(EZ61:EZ65)=5,ROUND((LARGE(EZ61:EZ65,2)+LARGE(EZ61:EZ65,3)+LARGE(EZ61:EZ65,4))/3,1),"")</f>
        <v/>
      </c>
      <c r="FA66" s="49" t="str">
        <f aca="false">IF(COUNT(FA61:FA65)=5,ROUND((LARGE(FA61:FA65,2)+LARGE(FA61:FA65,3)+LARGE(FA61:FA65,4))/3,1),"")</f>
        <v/>
      </c>
      <c r="FB66" s="49" t="str">
        <f aca="false">IF(COUNT(FB61:FB65)=5,ROUND((LARGE(FB61:FB65,2)+LARGE(FB61:FB65,3)+LARGE(FB61:FB65,4))/3,1),"")</f>
        <v/>
      </c>
      <c r="FC66" s="49" t="str">
        <f aca="false">IF(COUNT(FC61:FC65)=5,ROUND((LARGE(FC61:FC65,2)+LARGE(FC61:FC65,3)+LARGE(FC61:FC65,4))/3,1),"")</f>
        <v/>
      </c>
      <c r="FD66" s="49" t="str">
        <f aca="false">IF(COUNT(FD61:FD65)=5,ROUND((LARGE(FD61:FD65,2)+LARGE(FD61:FD65,3)+LARGE(FD61:FD65,4))/3,1),"")</f>
        <v/>
      </c>
      <c r="FE66" s="49" t="str">
        <f aca="false">IF(COUNT(FE61:FE65)=5,ROUND((LARGE(FE61:FE65,2)+LARGE(FE61:FE65,3)+LARGE(FE61:FE65,4))/3,1),"")</f>
        <v/>
      </c>
      <c r="FF66" s="49" t="str">
        <f aca="false">IF(COUNT(FF61:FF65)=5,ROUND((LARGE(FF61:FF65,2)+LARGE(FF61:FF65,3)+LARGE(FF61:FF65,4))/3,1),"")</f>
        <v/>
      </c>
      <c r="FG66" s="49" t="str">
        <f aca="false">IF(COUNT(FG61:FG65)=5,ROUND((LARGE(FG61:FG65,2)+LARGE(FG61:FG65,3)+LARGE(FG61:FG65,4))/3,1),"")</f>
        <v/>
      </c>
      <c r="FH66" s="49" t="str">
        <f aca="false">IF(COUNT(FH61:FH65)=5,ROUND((LARGE(FH61:FH65,2)+LARGE(FH61:FH65,3)+LARGE(FH61:FH65,4))/3,1),"")</f>
        <v/>
      </c>
      <c r="FI66" s="49" t="str">
        <f aca="false">IF(COUNT(FI61:FI65)=5,ROUND((LARGE(FI61:FI65,2)+LARGE(FI61:FI65,3)+LARGE(FI61:FI65,4))/3,1),"")</f>
        <v/>
      </c>
      <c r="FJ66" s="49" t="str">
        <f aca="false">IF(COUNT(FJ61:FJ65)=5,ROUND((LARGE(FJ61:FJ65,2)+LARGE(FJ61:FJ65,3)+LARGE(FJ61:FJ65,4))/3,1),"")</f>
        <v/>
      </c>
      <c r="FK66" s="49" t="str">
        <f aca="false">IF(COUNT(FK61:FK65)=5,ROUND((LARGE(FK61:FK65,2)+LARGE(FK61:FK65,3)+LARGE(FK61:FK65,4))/3,1),"")</f>
        <v/>
      </c>
      <c r="FL66" s="49" t="str">
        <f aca="false">IF(COUNT(FL61:FL65)=5,ROUND((LARGE(FL61:FL65,2)+LARGE(FL61:FL65,3)+LARGE(FL61:FL65,4))/3,1),"")</f>
        <v/>
      </c>
      <c r="FM66" s="49" t="str">
        <f aca="false">IF(COUNT(FM61:FM65)=5,ROUND((LARGE(FM61:FM65,2)+LARGE(FM61:FM65,3)+LARGE(FM61:FM65,4))/3,1),"")</f>
        <v/>
      </c>
      <c r="FN66" s="49" t="str">
        <f aca="false">IF(COUNT(FN61:FN65)=5,ROUND((LARGE(FN61:FN65,2)+LARGE(FN61:FN65,3)+LARGE(FN61:FN65,4))/3,1),"")</f>
        <v/>
      </c>
      <c r="FO66" s="49" t="str">
        <f aca="false">IF(COUNT(FO61:FO65)=5,ROUND((LARGE(FO61:FO65,2)+LARGE(FO61:FO65,3)+LARGE(FO61:FO65,4))/3,1),"")</f>
        <v/>
      </c>
      <c r="FP66" s="49" t="str">
        <f aca="false">IF(COUNT(FP61:FP65)=5,ROUND((LARGE(FP61:FP65,2)+LARGE(FP61:FP65,3)+LARGE(FP61:FP65,4))/3,1),"")</f>
        <v/>
      </c>
      <c r="FQ66" s="49" t="str">
        <f aca="false">IF(COUNT(FQ61:FQ65)=5,ROUND((LARGE(FQ61:FQ65,2)+LARGE(FQ61:FQ65,3)+LARGE(FQ61:FQ65,4))/3,1),"")</f>
        <v/>
      </c>
    </row>
    <row r="67" customFormat="false" ht="15" hidden="false" customHeight="false" outlineLevel="0" collapsed="false">
      <c r="A67" s="61" t="s">
        <v>83</v>
      </c>
      <c r="B67" s="20" t="s">
        <v>433</v>
      </c>
    </row>
    <row r="68" customFormat="false" ht="15" hidden="false" customHeight="false" outlineLevel="0" collapsed="false">
      <c r="A68" s="33" t="s">
        <v>83</v>
      </c>
      <c r="B68" s="33" t="s">
        <v>434</v>
      </c>
      <c r="D68" s="57" t="str">
        <f aca="false">IF(2_Daily_input!D57="","",2_Daily_input!D57)</f>
        <v/>
      </c>
      <c r="E68" s="57" t="str">
        <f aca="false">IF(2_Daily_input!E57="","",2_Daily_input!E57)</f>
        <v/>
      </c>
      <c r="F68" s="57" t="str">
        <f aca="false">IF(2_Daily_input!F57="","",2_Daily_input!F57)</f>
        <v/>
      </c>
      <c r="G68" s="57" t="str">
        <f aca="false">IF(2_Daily_input!G57="","",2_Daily_input!G57)</f>
        <v/>
      </c>
      <c r="H68" s="57" t="str">
        <f aca="false">IF(2_Daily_input!H57="","",2_Daily_input!H57)</f>
        <v/>
      </c>
      <c r="I68" s="57" t="str">
        <f aca="false">IF(2_Daily_input!I57="","",2_Daily_input!I57)</f>
        <v/>
      </c>
      <c r="J68" s="57" t="str">
        <f aca="false">IF(2_Daily_input!J57="","",2_Daily_input!J57)</f>
        <v/>
      </c>
      <c r="K68" s="57" t="str">
        <f aca="false">IF(2_Daily_input!K57="","",2_Daily_input!K57)</f>
        <v/>
      </c>
      <c r="L68" s="57" t="str">
        <f aca="false">IF(2_Daily_input!L57="","",2_Daily_input!L57)</f>
        <v/>
      </c>
      <c r="M68" s="57" t="str">
        <f aca="false">IF(2_Daily_input!M57="","",2_Daily_input!M57)</f>
        <v/>
      </c>
      <c r="N68" s="57" t="str">
        <f aca="false">IF(2_Daily_input!N57="","",2_Daily_input!N57)</f>
        <v/>
      </c>
      <c r="O68" s="57" t="str">
        <f aca="false">IF(2_Daily_input!O57="","",2_Daily_input!O57)</f>
        <v/>
      </c>
      <c r="P68" s="57" t="str">
        <f aca="false">IF(2_Daily_input!P57="","",2_Daily_input!P57)</f>
        <v/>
      </c>
      <c r="Q68" s="57" t="str">
        <f aca="false">IF(2_Daily_input!Q57="","",2_Daily_input!Q57)</f>
        <v/>
      </c>
      <c r="R68" s="57" t="str">
        <f aca="false">IF(2_Daily_input!R57="","",2_Daily_input!R57)</f>
        <v/>
      </c>
      <c r="S68" s="57" t="str">
        <f aca="false">IF(2_Daily_input!S57="","",2_Daily_input!S57)</f>
        <v/>
      </c>
      <c r="T68" s="57" t="str">
        <f aca="false">IF(2_Daily_input!T57="","",2_Daily_input!T57)</f>
        <v/>
      </c>
      <c r="U68" s="57" t="str">
        <f aca="false">IF(2_Daily_input!U57="","",2_Daily_input!U57)</f>
        <v/>
      </c>
      <c r="V68" s="57" t="str">
        <f aca="false">IF(2_Daily_input!V57="","",2_Daily_input!V57)</f>
        <v/>
      </c>
      <c r="W68" s="57" t="str">
        <f aca="false">IF(2_Daily_input!W57="","",2_Daily_input!W57)</f>
        <v/>
      </c>
      <c r="X68" s="57" t="str">
        <f aca="false">IF(2_Daily_input!X57="","",2_Daily_input!X57)</f>
        <v/>
      </c>
      <c r="Y68" s="57" t="str">
        <f aca="false">IF(2_Daily_input!Y57="","",2_Daily_input!Y57)</f>
        <v/>
      </c>
      <c r="Z68" s="57" t="str">
        <f aca="false">IF(2_Daily_input!Z57="","",2_Daily_input!Z57)</f>
        <v/>
      </c>
      <c r="AA68" s="57" t="str">
        <f aca="false">IF(2_Daily_input!AA57="","",2_Daily_input!AA57)</f>
        <v/>
      </c>
      <c r="AB68" s="57" t="str">
        <f aca="false">IF(2_Daily_input!AB57="","",2_Daily_input!AB57)</f>
        <v/>
      </c>
      <c r="AC68" s="57" t="str">
        <f aca="false">IF(2_Daily_input!AC57="","",2_Daily_input!AC57)</f>
        <v/>
      </c>
      <c r="AD68" s="57" t="str">
        <f aca="false">IF(2_Daily_input!AD57="","",2_Daily_input!AD57)</f>
        <v/>
      </c>
      <c r="AE68" s="57" t="str">
        <f aca="false">IF(2_Daily_input!AE57="","",2_Daily_input!AE57)</f>
        <v/>
      </c>
      <c r="AF68" s="57" t="str">
        <f aca="false">IF(2_Daily_input!AF57="","",2_Daily_input!AF57)</f>
        <v/>
      </c>
      <c r="AG68" s="57" t="str">
        <f aca="false">IF(2_Daily_input!AG57="","",2_Daily_input!AG57)</f>
        <v/>
      </c>
      <c r="AH68" s="57" t="str">
        <f aca="false">IF(2_Daily_input!AH57="","",2_Daily_input!AH57)</f>
        <v/>
      </c>
      <c r="AI68" s="57" t="str">
        <f aca="false">IF(2_Daily_input!AI57="","",2_Daily_input!AI57)</f>
        <v/>
      </c>
      <c r="AJ68" s="57" t="str">
        <f aca="false">IF(2_Daily_input!AJ57="","",2_Daily_input!AJ57)</f>
        <v/>
      </c>
      <c r="AK68" s="57" t="str">
        <f aca="false">IF(2_Daily_input!AK57="","",2_Daily_input!AK57)</f>
        <v/>
      </c>
      <c r="AL68" s="57" t="str">
        <f aca="false">IF(2_Daily_input!AL57="","",2_Daily_input!AL57)</f>
        <v/>
      </c>
      <c r="AM68" s="57" t="str">
        <f aca="false">IF(2_Daily_input!AM57="","",2_Daily_input!AM57)</f>
        <v/>
      </c>
      <c r="AN68" s="57" t="str">
        <f aca="false">IF(2_Daily_input!AN57="","",2_Daily_input!AN57)</f>
        <v/>
      </c>
      <c r="AO68" s="57" t="str">
        <f aca="false">IF(2_Daily_input!AO57="","",2_Daily_input!AO57)</f>
        <v/>
      </c>
      <c r="AP68" s="57" t="str">
        <f aca="false">IF(2_Daily_input!AP57="","",2_Daily_input!AP57)</f>
        <v/>
      </c>
      <c r="AQ68" s="57" t="str">
        <f aca="false">IF(2_Daily_input!AQ57="","",2_Daily_input!AQ57)</f>
        <v/>
      </c>
      <c r="AR68" s="57" t="str">
        <f aca="false">IF(2_Daily_input!AR57="","",2_Daily_input!AR57)</f>
        <v/>
      </c>
      <c r="AS68" s="57" t="str">
        <f aca="false">IF(2_Daily_input!AS57="","",2_Daily_input!AS57)</f>
        <v/>
      </c>
      <c r="AT68" s="57" t="str">
        <f aca="false">IF(2_Daily_input!AT57="","",2_Daily_input!AT57)</f>
        <v/>
      </c>
      <c r="AU68" s="57" t="str">
        <f aca="false">IF(2_Daily_input!AU57="","",2_Daily_input!AU57)</f>
        <v/>
      </c>
      <c r="AV68" s="57" t="str">
        <f aca="false">IF(2_Daily_input!AV57="","",2_Daily_input!AV57)</f>
        <v/>
      </c>
      <c r="AW68" s="57" t="str">
        <f aca="false">IF(2_Daily_input!AW57="","",2_Daily_input!AW57)</f>
        <v/>
      </c>
      <c r="AX68" s="57" t="str">
        <f aca="false">IF(2_Daily_input!AX57="","",2_Daily_input!AX57)</f>
        <v/>
      </c>
      <c r="AY68" s="57" t="str">
        <f aca="false">IF(2_Daily_input!AY57="","",2_Daily_input!AY57)</f>
        <v/>
      </c>
      <c r="AZ68" s="57" t="str">
        <f aca="false">IF(2_Daily_input!AZ57="","",2_Daily_input!AZ57)</f>
        <v/>
      </c>
      <c r="BA68" s="57" t="str">
        <f aca="false">IF(2_Daily_input!BA57="","",2_Daily_input!BA57)</f>
        <v/>
      </c>
      <c r="BB68" s="57" t="str">
        <f aca="false">IF(2_Daily_input!BB57="","",2_Daily_input!BB57)</f>
        <v/>
      </c>
      <c r="BC68" s="57" t="str">
        <f aca="false">IF(2_Daily_input!BC57="","",2_Daily_input!BC57)</f>
        <v/>
      </c>
      <c r="BD68" s="57" t="str">
        <f aca="false">IF(2_Daily_input!BD57="","",2_Daily_input!BD57)</f>
        <v/>
      </c>
      <c r="BE68" s="57" t="str">
        <f aca="false">IF(2_Daily_input!BE57="","",2_Daily_input!BE57)</f>
        <v/>
      </c>
      <c r="BF68" s="57" t="str">
        <f aca="false">IF(2_Daily_input!BF57="","",2_Daily_input!BF57)</f>
        <v/>
      </c>
      <c r="BG68" s="57" t="str">
        <f aca="false">IF(2_Daily_input!BG57="","",2_Daily_input!BG57)</f>
        <v/>
      </c>
      <c r="BH68" s="57" t="str">
        <f aca="false">IF(2_Daily_input!BH57="","",2_Daily_input!BH57)</f>
        <v/>
      </c>
      <c r="BI68" s="57" t="str">
        <f aca="false">IF(2_Daily_input!BI57="","",2_Daily_input!BI57)</f>
        <v/>
      </c>
      <c r="BJ68" s="57" t="str">
        <f aca="false">IF(2_Daily_input!BJ57="","",2_Daily_input!BJ57)</f>
        <v/>
      </c>
      <c r="BK68" s="57" t="str">
        <f aca="false">IF(2_Daily_input!BK57="","",2_Daily_input!BK57)</f>
        <v/>
      </c>
      <c r="BL68" s="57" t="str">
        <f aca="false">IF(2_Daily_input!BL57="","",2_Daily_input!BL57)</f>
        <v/>
      </c>
      <c r="BM68" s="57" t="str">
        <f aca="false">IF(2_Daily_input!BM57="","",2_Daily_input!BM57)</f>
        <v/>
      </c>
      <c r="BN68" s="57" t="str">
        <f aca="false">IF(2_Daily_input!BN57="","",2_Daily_input!BN57)</f>
        <v/>
      </c>
      <c r="BO68" s="57" t="str">
        <f aca="false">IF(2_Daily_input!BO57="","",2_Daily_input!BO57)</f>
        <v/>
      </c>
      <c r="BP68" s="57" t="str">
        <f aca="false">IF(2_Daily_input!BP57="","",2_Daily_input!BP57)</f>
        <v/>
      </c>
      <c r="BQ68" s="57" t="str">
        <f aca="false">IF(2_Daily_input!BQ57="","",2_Daily_input!BQ57)</f>
        <v/>
      </c>
      <c r="BR68" s="57" t="str">
        <f aca="false">IF(2_Daily_input!BR57="","",2_Daily_input!BR57)</f>
        <v/>
      </c>
      <c r="BS68" s="57" t="str">
        <f aca="false">IF(2_Daily_input!BS57="","",2_Daily_input!BS57)</f>
        <v/>
      </c>
      <c r="BT68" s="57" t="str">
        <f aca="false">IF(2_Daily_input!BT57="","",2_Daily_input!BT57)</f>
        <v/>
      </c>
      <c r="BU68" s="57" t="str">
        <f aca="false">IF(2_Daily_input!BU57="","",2_Daily_input!BU57)</f>
        <v/>
      </c>
      <c r="BV68" s="57" t="str">
        <f aca="false">IF(2_Daily_input!BV57="","",2_Daily_input!BV57)</f>
        <v/>
      </c>
      <c r="BW68" s="57" t="str">
        <f aca="false">IF(2_Daily_input!BW57="","",2_Daily_input!BW57)</f>
        <v/>
      </c>
      <c r="BX68" s="57" t="str">
        <f aca="false">IF(2_Daily_input!BX57="","",2_Daily_input!BX57)</f>
        <v/>
      </c>
      <c r="BY68" s="57" t="n">
        <f aca="false">IF(2_Daily_input!BY57="","",2_Daily_input!BY57)</f>
        <v>7</v>
      </c>
      <c r="BZ68" s="57" t="str">
        <f aca="false">IF(2_Daily_input!BZ57="","",2_Daily_input!BZ57)</f>
        <v/>
      </c>
      <c r="CA68" s="57" t="str">
        <f aca="false">IF(2_Daily_input!CA57="","",2_Daily_input!CA57)</f>
        <v/>
      </c>
      <c r="CB68" s="57" t="str">
        <f aca="false">IF(2_Daily_input!CB57="","",2_Daily_input!CB57)</f>
        <v/>
      </c>
      <c r="CC68" s="57" t="str">
        <f aca="false">IF(2_Daily_input!CC57="","",2_Daily_input!CC57)</f>
        <v/>
      </c>
      <c r="CD68" s="57" t="str">
        <f aca="false">IF(2_Daily_input!CD57="","",2_Daily_input!CD57)</f>
        <v/>
      </c>
      <c r="CE68" s="57" t="str">
        <f aca="false">IF(2_Daily_input!CE57="","",2_Daily_input!CE57)</f>
        <v/>
      </c>
      <c r="CF68" s="57" t="str">
        <f aca="false">IF(2_Daily_input!CF57="","",2_Daily_input!CF57)</f>
        <v/>
      </c>
      <c r="CG68" s="57" t="str">
        <f aca="false">IF(2_Daily_input!CG57="","",2_Daily_input!CG57)</f>
        <v/>
      </c>
      <c r="CH68" s="57" t="str">
        <f aca="false">IF(2_Daily_input!CH57="","",2_Daily_input!CH57)</f>
        <v/>
      </c>
      <c r="CI68" s="57" t="str">
        <f aca="false">IF(2_Daily_input!CI57="","",2_Daily_input!CI57)</f>
        <v/>
      </c>
      <c r="CJ68" s="57" t="str">
        <f aca="false">IF(2_Daily_input!CJ57="","",2_Daily_input!CJ57)</f>
        <v/>
      </c>
      <c r="CK68" s="57" t="str">
        <f aca="false">IF(2_Daily_input!CK57="","",2_Daily_input!CK57)</f>
        <v/>
      </c>
      <c r="CL68" s="57" t="str">
        <f aca="false">IF(2_Daily_input!CL57="","",2_Daily_input!CL57)</f>
        <v/>
      </c>
      <c r="CM68" s="57" t="str">
        <f aca="false">IF(2_Daily_input!CM57="","",2_Daily_input!CM57)</f>
        <v/>
      </c>
      <c r="CN68" s="57" t="n">
        <f aca="false">IF(2_Daily_input!CN57="","",2_Daily_input!CN57)</f>
        <v>12</v>
      </c>
      <c r="CO68" s="57" t="str">
        <f aca="false">IF(2_Daily_input!CO57="","",2_Daily_input!CO57)</f>
        <v/>
      </c>
      <c r="CP68" s="57" t="str">
        <f aca="false">IF(2_Daily_input!CP57="","",2_Daily_input!CP57)</f>
        <v/>
      </c>
      <c r="CQ68" s="57" t="str">
        <f aca="false">IF(2_Daily_input!CQ57="","",2_Daily_input!CQ57)</f>
        <v/>
      </c>
      <c r="CR68" s="57" t="str">
        <f aca="false">IF(2_Daily_input!CR57="","",2_Daily_input!CR57)</f>
        <v/>
      </c>
      <c r="CS68" s="57" t="str">
        <f aca="false">IF(2_Daily_input!CS57="","",2_Daily_input!CS57)</f>
        <v/>
      </c>
      <c r="CT68" s="57" t="str">
        <f aca="false">IF(2_Daily_input!CT57="","",2_Daily_input!CT57)</f>
        <v/>
      </c>
      <c r="CU68" s="57" t="str">
        <f aca="false">IF(2_Daily_input!CU57="","",2_Daily_input!CU57)</f>
        <v/>
      </c>
      <c r="CV68" s="57" t="str">
        <f aca="false">IF(2_Daily_input!CV57="","",2_Daily_input!CV57)</f>
        <v/>
      </c>
      <c r="CW68" s="57" t="str">
        <f aca="false">IF(2_Daily_input!CW57="","",2_Daily_input!CW57)</f>
        <v/>
      </c>
      <c r="CX68" s="57" t="str">
        <f aca="false">IF(2_Daily_input!CX57="","",2_Daily_input!CX57)</f>
        <v/>
      </c>
      <c r="CY68" s="57" t="str">
        <f aca="false">IF(2_Daily_input!CY57="","",2_Daily_input!CY57)</f>
        <v/>
      </c>
      <c r="CZ68" s="57" t="str">
        <f aca="false">IF(2_Daily_input!CZ57="","",2_Daily_input!CZ57)</f>
        <v/>
      </c>
      <c r="DA68" s="57" t="str">
        <f aca="false">IF(2_Daily_input!DA57="","",2_Daily_input!DA57)</f>
        <v/>
      </c>
      <c r="DB68" s="57" t="str">
        <f aca="false">IF(2_Daily_input!DB57="","",2_Daily_input!DB57)</f>
        <v/>
      </c>
      <c r="DC68" s="57" t="n">
        <f aca="false">IF(2_Daily_input!DC57="","",2_Daily_input!DC57)</f>
        <v>20</v>
      </c>
      <c r="DD68" s="57" t="str">
        <f aca="false">IF(2_Daily_input!DD57="","",2_Daily_input!DD57)</f>
        <v/>
      </c>
      <c r="DE68" s="57" t="str">
        <f aca="false">IF(2_Daily_input!DE57="","",2_Daily_input!DE57)</f>
        <v/>
      </c>
      <c r="DF68" s="57" t="str">
        <f aca="false">IF(2_Daily_input!DF57="","",2_Daily_input!DF57)</f>
        <v/>
      </c>
      <c r="DG68" s="57" t="str">
        <f aca="false">IF(2_Daily_input!DG57="","",2_Daily_input!DG57)</f>
        <v/>
      </c>
      <c r="DH68" s="57" t="str">
        <f aca="false">IF(2_Daily_input!DH57="","",2_Daily_input!DH57)</f>
        <v/>
      </c>
      <c r="DI68" s="57" t="str">
        <f aca="false">IF(2_Daily_input!DI57="","",2_Daily_input!DI57)</f>
        <v/>
      </c>
      <c r="DJ68" s="57" t="str">
        <f aca="false">IF(2_Daily_input!DJ57="","",2_Daily_input!DJ57)</f>
        <v/>
      </c>
      <c r="DK68" s="57" t="str">
        <f aca="false">IF(2_Daily_input!DK57="","",2_Daily_input!DK57)</f>
        <v/>
      </c>
      <c r="DL68" s="57" t="str">
        <f aca="false">IF(2_Daily_input!DL57="","",2_Daily_input!DL57)</f>
        <v/>
      </c>
      <c r="DM68" s="57" t="str">
        <f aca="false">IF(2_Daily_input!DM57="","",2_Daily_input!DM57)</f>
        <v/>
      </c>
      <c r="DN68" s="57" t="str">
        <f aca="false">IF(2_Daily_input!DN57="","",2_Daily_input!DN57)</f>
        <v/>
      </c>
      <c r="DO68" s="57" t="str">
        <f aca="false">IF(2_Daily_input!DO57="","",2_Daily_input!DO57)</f>
        <v/>
      </c>
      <c r="DP68" s="57" t="str">
        <f aca="false">IF(2_Daily_input!DP57="","",2_Daily_input!DP57)</f>
        <v/>
      </c>
      <c r="DQ68" s="57" t="str">
        <f aca="false">IF(2_Daily_input!DQ57="","",2_Daily_input!DQ57)</f>
        <v/>
      </c>
      <c r="DR68" s="57" t="n">
        <f aca="false">IF(2_Daily_input!DR57="","",2_Daily_input!DR57)</f>
        <v>21</v>
      </c>
      <c r="DS68" s="57" t="str">
        <f aca="false">IF(2_Daily_input!DS57="","",2_Daily_input!DS57)</f>
        <v/>
      </c>
      <c r="DT68" s="57" t="str">
        <f aca="false">IF(2_Daily_input!DT57="","",2_Daily_input!DT57)</f>
        <v/>
      </c>
      <c r="DU68" s="57" t="str">
        <f aca="false">IF(2_Daily_input!DU57="","",2_Daily_input!DU57)</f>
        <v/>
      </c>
      <c r="DV68" s="57" t="str">
        <f aca="false">IF(2_Daily_input!DV57="","",2_Daily_input!DV57)</f>
        <v/>
      </c>
      <c r="DW68" s="57" t="str">
        <f aca="false">IF(2_Daily_input!DW57="","",2_Daily_input!DW57)</f>
        <v/>
      </c>
      <c r="DX68" s="57" t="str">
        <f aca="false">IF(2_Daily_input!DX57="","",2_Daily_input!DX57)</f>
        <v/>
      </c>
      <c r="DY68" s="57" t="str">
        <f aca="false">IF(2_Daily_input!DY57="","",2_Daily_input!DY57)</f>
        <v/>
      </c>
      <c r="DZ68" s="57" t="str">
        <f aca="false">IF(2_Daily_input!DZ57="","",2_Daily_input!DZ57)</f>
        <v/>
      </c>
      <c r="EA68" s="57" t="str">
        <f aca="false">IF(2_Daily_input!EA57="","",2_Daily_input!EA57)</f>
        <v/>
      </c>
      <c r="EB68" s="57" t="str">
        <f aca="false">IF(2_Daily_input!EB57="","",2_Daily_input!EB57)</f>
        <v/>
      </c>
      <c r="EC68" s="57" t="str">
        <f aca="false">IF(2_Daily_input!EC57="","",2_Daily_input!EC57)</f>
        <v/>
      </c>
      <c r="ED68" s="57" t="str">
        <f aca="false">IF(2_Daily_input!ED57="","",2_Daily_input!ED57)</f>
        <v/>
      </c>
      <c r="EE68" s="57" t="str">
        <f aca="false">IF(2_Daily_input!EE57="","",2_Daily_input!EE57)</f>
        <v/>
      </c>
      <c r="EF68" s="57" t="str">
        <f aca="false">IF(2_Daily_input!EF57="","",2_Daily_input!EF57)</f>
        <v/>
      </c>
      <c r="EG68" s="57" t="str">
        <f aca="false">IF(2_Daily_input!EG57="","",2_Daily_input!EG57)</f>
        <v/>
      </c>
      <c r="EH68" s="57" t="str">
        <f aca="false">IF(2_Daily_input!EH57="","",2_Daily_input!EH57)</f>
        <v/>
      </c>
      <c r="EI68" s="57" t="str">
        <f aca="false">IF(2_Daily_input!EI57="","",2_Daily_input!EI57)</f>
        <v/>
      </c>
      <c r="EJ68" s="57" t="str">
        <f aca="false">IF(2_Daily_input!EJ57="","",2_Daily_input!EJ57)</f>
        <v/>
      </c>
      <c r="EK68" s="57" t="str">
        <f aca="false">IF(2_Daily_input!EK57="","",2_Daily_input!EK57)</f>
        <v/>
      </c>
      <c r="EL68" s="57" t="str">
        <f aca="false">IF(2_Daily_input!EL57="","",2_Daily_input!EL57)</f>
        <v/>
      </c>
      <c r="EM68" s="57" t="str">
        <f aca="false">IF(2_Daily_input!EM57="","",2_Daily_input!EM57)</f>
        <v/>
      </c>
      <c r="EN68" s="57" t="str">
        <f aca="false">IF(2_Daily_input!EN57="","",2_Daily_input!EN57)</f>
        <v/>
      </c>
      <c r="EO68" s="57" t="str">
        <f aca="false">IF(2_Daily_input!EO57="","",2_Daily_input!EO57)</f>
        <v/>
      </c>
      <c r="EP68" s="57" t="str">
        <f aca="false">IF(2_Daily_input!EP57="","",2_Daily_input!EP57)</f>
        <v/>
      </c>
      <c r="EQ68" s="57" t="str">
        <f aca="false">IF(2_Daily_input!EQ57="","",2_Daily_input!EQ57)</f>
        <v/>
      </c>
      <c r="ER68" s="57" t="str">
        <f aca="false">IF(2_Daily_input!ER57="","",2_Daily_input!ER57)</f>
        <v/>
      </c>
      <c r="ES68" s="57" t="str">
        <f aca="false">IF(2_Daily_input!ES57="","",2_Daily_input!ES57)</f>
        <v/>
      </c>
      <c r="ET68" s="57" t="str">
        <f aca="false">IF(2_Daily_input!ET57="","",2_Daily_input!ET57)</f>
        <v/>
      </c>
      <c r="EU68" s="57" t="str">
        <f aca="false">IF(2_Daily_input!EU57="","",2_Daily_input!EU57)</f>
        <v/>
      </c>
      <c r="EV68" s="57" t="str">
        <f aca="false">IF(2_Daily_input!EV57="","",2_Daily_input!EV57)</f>
        <v/>
      </c>
      <c r="EW68" s="57" t="str">
        <f aca="false">IF(2_Daily_input!EW57="","",2_Daily_input!EW57)</f>
        <v/>
      </c>
      <c r="EX68" s="57" t="str">
        <f aca="false">IF(2_Daily_input!EX57="","",2_Daily_input!EX57)</f>
        <v/>
      </c>
      <c r="EY68" s="57" t="str">
        <f aca="false">IF(2_Daily_input!EY57="","",2_Daily_input!EY57)</f>
        <v/>
      </c>
      <c r="EZ68" s="57" t="str">
        <f aca="false">IF(2_Daily_input!EZ57="","",2_Daily_input!EZ57)</f>
        <v/>
      </c>
      <c r="FA68" s="57" t="str">
        <f aca="false">IF(2_Daily_input!FA57="","",2_Daily_input!FA57)</f>
        <v/>
      </c>
      <c r="FB68" s="57" t="str">
        <f aca="false">IF(2_Daily_input!FB57="","",2_Daily_input!FB57)</f>
        <v/>
      </c>
      <c r="FC68" s="57" t="str">
        <f aca="false">IF(2_Daily_input!FC57="","",2_Daily_input!FC57)</f>
        <v/>
      </c>
      <c r="FD68" s="57" t="str">
        <f aca="false">IF(2_Daily_input!FD57="","",2_Daily_input!FD57)</f>
        <v/>
      </c>
      <c r="FE68" s="57" t="str">
        <f aca="false">IF(2_Daily_input!FE57="","",2_Daily_input!FE57)</f>
        <v/>
      </c>
      <c r="FF68" s="57" t="str">
        <f aca="false">IF(2_Daily_input!FF57="","",2_Daily_input!FF57)</f>
        <v/>
      </c>
      <c r="FG68" s="57" t="str">
        <f aca="false">IF(2_Daily_input!FG57="","",2_Daily_input!FG57)</f>
        <v/>
      </c>
      <c r="FH68" s="57" t="str">
        <f aca="false">IF(2_Daily_input!FH57="","",2_Daily_input!FH57)</f>
        <v/>
      </c>
      <c r="FI68" s="57" t="str">
        <f aca="false">IF(2_Daily_input!FI57="","",2_Daily_input!FI57)</f>
        <v/>
      </c>
      <c r="FJ68" s="57" t="str">
        <f aca="false">IF(2_Daily_input!FJ57="","",2_Daily_input!FJ57)</f>
        <v/>
      </c>
      <c r="FK68" s="57" t="str">
        <f aca="false">IF(2_Daily_input!FK57="","",2_Daily_input!FK57)</f>
        <v/>
      </c>
      <c r="FL68" s="57" t="str">
        <f aca="false">IF(2_Daily_input!FL57="","",2_Daily_input!FL57)</f>
        <v/>
      </c>
      <c r="FM68" s="57" t="str">
        <f aca="false">IF(2_Daily_input!FM57="","",2_Daily_input!FM57)</f>
        <v/>
      </c>
      <c r="FN68" s="57" t="str">
        <f aca="false">IF(2_Daily_input!FN57="","",2_Daily_input!FN57)</f>
        <v/>
      </c>
      <c r="FO68" s="57" t="str">
        <f aca="false">IF(2_Daily_input!FO57="","",2_Daily_input!FO57)</f>
        <v/>
      </c>
      <c r="FP68" s="57" t="str">
        <f aca="false">IF(2_Daily_input!FP57="","",2_Daily_input!FP57)</f>
        <v/>
      </c>
      <c r="FQ68" s="57" t="str">
        <f aca="false">IF(2_Daily_input!FQ57="","",2_Daily_input!FQ57)</f>
        <v/>
      </c>
    </row>
    <row r="69" customFormat="false" ht="15" hidden="false" customHeight="false" outlineLevel="0" collapsed="false">
      <c r="A69" s="33" t="s">
        <v>83</v>
      </c>
      <c r="B69" s="33" t="s">
        <v>435</v>
      </c>
      <c r="D69" s="57" t="str">
        <f aca="false">IF(2_Daily_input!D58="","",2_Daily_input!D58)</f>
        <v/>
      </c>
      <c r="E69" s="57" t="str">
        <f aca="false">IF(2_Daily_input!E58="","",2_Daily_input!E58)</f>
        <v/>
      </c>
      <c r="F69" s="57" t="str">
        <f aca="false">IF(2_Daily_input!F58="","",2_Daily_input!F58)</f>
        <v/>
      </c>
      <c r="G69" s="57" t="str">
        <f aca="false">IF(2_Daily_input!G58="","",2_Daily_input!G58)</f>
        <v/>
      </c>
      <c r="H69" s="57" t="str">
        <f aca="false">IF(2_Daily_input!H58="","",2_Daily_input!H58)</f>
        <v/>
      </c>
      <c r="I69" s="57" t="str">
        <f aca="false">IF(2_Daily_input!I58="","",2_Daily_input!I58)</f>
        <v/>
      </c>
      <c r="J69" s="57" t="str">
        <f aca="false">IF(2_Daily_input!J58="","",2_Daily_input!J58)</f>
        <v/>
      </c>
      <c r="K69" s="57" t="str">
        <f aca="false">IF(2_Daily_input!K58="","",2_Daily_input!K58)</f>
        <v/>
      </c>
      <c r="L69" s="57" t="str">
        <f aca="false">IF(2_Daily_input!L58="","",2_Daily_input!L58)</f>
        <v/>
      </c>
      <c r="M69" s="57" t="str">
        <f aca="false">IF(2_Daily_input!M58="","",2_Daily_input!M58)</f>
        <v/>
      </c>
      <c r="N69" s="57" t="str">
        <f aca="false">IF(2_Daily_input!N58="","",2_Daily_input!N58)</f>
        <v/>
      </c>
      <c r="O69" s="57" t="str">
        <f aca="false">IF(2_Daily_input!O58="","",2_Daily_input!O58)</f>
        <v/>
      </c>
      <c r="P69" s="57" t="str">
        <f aca="false">IF(2_Daily_input!P58="","",2_Daily_input!P58)</f>
        <v/>
      </c>
      <c r="Q69" s="57" t="str">
        <f aca="false">IF(2_Daily_input!Q58="","",2_Daily_input!Q58)</f>
        <v/>
      </c>
      <c r="R69" s="57" t="str">
        <f aca="false">IF(2_Daily_input!R58="","",2_Daily_input!R58)</f>
        <v/>
      </c>
      <c r="S69" s="57" t="str">
        <f aca="false">IF(2_Daily_input!S58="","",2_Daily_input!S58)</f>
        <v/>
      </c>
      <c r="T69" s="57" t="str">
        <f aca="false">IF(2_Daily_input!T58="","",2_Daily_input!T58)</f>
        <v/>
      </c>
      <c r="U69" s="57" t="str">
        <f aca="false">IF(2_Daily_input!U58="","",2_Daily_input!U58)</f>
        <v/>
      </c>
      <c r="V69" s="57" t="str">
        <f aca="false">IF(2_Daily_input!V58="","",2_Daily_input!V58)</f>
        <v/>
      </c>
      <c r="W69" s="57" t="str">
        <f aca="false">IF(2_Daily_input!W58="","",2_Daily_input!W58)</f>
        <v/>
      </c>
      <c r="X69" s="57" t="str">
        <f aca="false">IF(2_Daily_input!X58="","",2_Daily_input!X58)</f>
        <v/>
      </c>
      <c r="Y69" s="57" t="str">
        <f aca="false">IF(2_Daily_input!Y58="","",2_Daily_input!Y58)</f>
        <v/>
      </c>
      <c r="Z69" s="57" t="str">
        <f aca="false">IF(2_Daily_input!Z58="","",2_Daily_input!Z58)</f>
        <v/>
      </c>
      <c r="AA69" s="57" t="str">
        <f aca="false">IF(2_Daily_input!AA58="","",2_Daily_input!AA58)</f>
        <v/>
      </c>
      <c r="AB69" s="57" t="str">
        <f aca="false">IF(2_Daily_input!AB58="","",2_Daily_input!AB58)</f>
        <v/>
      </c>
      <c r="AC69" s="57" t="str">
        <f aca="false">IF(2_Daily_input!AC58="","",2_Daily_input!AC58)</f>
        <v/>
      </c>
      <c r="AD69" s="57" t="str">
        <f aca="false">IF(2_Daily_input!AD58="","",2_Daily_input!AD58)</f>
        <v/>
      </c>
      <c r="AE69" s="57" t="str">
        <f aca="false">IF(2_Daily_input!AE58="","",2_Daily_input!AE58)</f>
        <v/>
      </c>
      <c r="AF69" s="57" t="str">
        <f aca="false">IF(2_Daily_input!AF58="","",2_Daily_input!AF58)</f>
        <v/>
      </c>
      <c r="AG69" s="57" t="str">
        <f aca="false">IF(2_Daily_input!AG58="","",2_Daily_input!AG58)</f>
        <v/>
      </c>
      <c r="AH69" s="57" t="str">
        <f aca="false">IF(2_Daily_input!AH58="","",2_Daily_input!AH58)</f>
        <v/>
      </c>
      <c r="AI69" s="57" t="str">
        <f aca="false">IF(2_Daily_input!AI58="","",2_Daily_input!AI58)</f>
        <v/>
      </c>
      <c r="AJ69" s="57" t="str">
        <f aca="false">IF(2_Daily_input!AJ58="","",2_Daily_input!AJ58)</f>
        <v/>
      </c>
      <c r="AK69" s="57" t="str">
        <f aca="false">IF(2_Daily_input!AK58="","",2_Daily_input!AK58)</f>
        <v/>
      </c>
      <c r="AL69" s="57" t="str">
        <f aca="false">IF(2_Daily_input!AL58="","",2_Daily_input!AL58)</f>
        <v/>
      </c>
      <c r="AM69" s="57" t="str">
        <f aca="false">IF(2_Daily_input!AM58="","",2_Daily_input!AM58)</f>
        <v/>
      </c>
      <c r="AN69" s="57" t="str">
        <f aca="false">IF(2_Daily_input!AN58="","",2_Daily_input!AN58)</f>
        <v/>
      </c>
      <c r="AO69" s="57" t="str">
        <f aca="false">IF(2_Daily_input!AO58="","",2_Daily_input!AO58)</f>
        <v/>
      </c>
      <c r="AP69" s="57" t="str">
        <f aca="false">IF(2_Daily_input!AP58="","",2_Daily_input!AP58)</f>
        <v/>
      </c>
      <c r="AQ69" s="57" t="str">
        <f aca="false">IF(2_Daily_input!AQ58="","",2_Daily_input!AQ58)</f>
        <v/>
      </c>
      <c r="AR69" s="57" t="str">
        <f aca="false">IF(2_Daily_input!AR58="","",2_Daily_input!AR58)</f>
        <v/>
      </c>
      <c r="AS69" s="57" t="str">
        <f aca="false">IF(2_Daily_input!AS58="","",2_Daily_input!AS58)</f>
        <v/>
      </c>
      <c r="AT69" s="57" t="str">
        <f aca="false">IF(2_Daily_input!AT58="","",2_Daily_input!AT58)</f>
        <v/>
      </c>
      <c r="AU69" s="57" t="str">
        <f aca="false">IF(2_Daily_input!AU58="","",2_Daily_input!AU58)</f>
        <v/>
      </c>
      <c r="AV69" s="57" t="str">
        <f aca="false">IF(2_Daily_input!AV58="","",2_Daily_input!AV58)</f>
        <v/>
      </c>
      <c r="AW69" s="57" t="str">
        <f aca="false">IF(2_Daily_input!AW58="","",2_Daily_input!AW58)</f>
        <v/>
      </c>
      <c r="AX69" s="57" t="str">
        <f aca="false">IF(2_Daily_input!AX58="","",2_Daily_input!AX58)</f>
        <v/>
      </c>
      <c r="AY69" s="57" t="str">
        <f aca="false">IF(2_Daily_input!AY58="","",2_Daily_input!AY58)</f>
        <v/>
      </c>
      <c r="AZ69" s="57" t="str">
        <f aca="false">IF(2_Daily_input!AZ58="","",2_Daily_input!AZ58)</f>
        <v/>
      </c>
      <c r="BA69" s="57" t="str">
        <f aca="false">IF(2_Daily_input!BA58="","",2_Daily_input!BA58)</f>
        <v/>
      </c>
      <c r="BB69" s="57" t="str">
        <f aca="false">IF(2_Daily_input!BB58="","",2_Daily_input!BB58)</f>
        <v/>
      </c>
      <c r="BC69" s="57" t="str">
        <f aca="false">IF(2_Daily_input!BC58="","",2_Daily_input!BC58)</f>
        <v/>
      </c>
      <c r="BD69" s="57" t="str">
        <f aca="false">IF(2_Daily_input!BD58="","",2_Daily_input!BD58)</f>
        <v/>
      </c>
      <c r="BE69" s="57" t="str">
        <f aca="false">IF(2_Daily_input!BE58="","",2_Daily_input!BE58)</f>
        <v/>
      </c>
      <c r="BF69" s="57" t="str">
        <f aca="false">IF(2_Daily_input!BF58="","",2_Daily_input!BF58)</f>
        <v/>
      </c>
      <c r="BG69" s="57" t="str">
        <f aca="false">IF(2_Daily_input!BG58="","",2_Daily_input!BG58)</f>
        <v/>
      </c>
      <c r="BH69" s="57" t="str">
        <f aca="false">IF(2_Daily_input!BH58="","",2_Daily_input!BH58)</f>
        <v/>
      </c>
      <c r="BI69" s="57" t="str">
        <f aca="false">IF(2_Daily_input!BI58="","",2_Daily_input!BI58)</f>
        <v/>
      </c>
      <c r="BJ69" s="57" t="str">
        <f aca="false">IF(2_Daily_input!BJ58="","",2_Daily_input!BJ58)</f>
        <v/>
      </c>
      <c r="BK69" s="57" t="str">
        <f aca="false">IF(2_Daily_input!BK58="","",2_Daily_input!BK58)</f>
        <v/>
      </c>
      <c r="BL69" s="57" t="str">
        <f aca="false">IF(2_Daily_input!BL58="","",2_Daily_input!BL58)</f>
        <v/>
      </c>
      <c r="BM69" s="57" t="str">
        <f aca="false">IF(2_Daily_input!BM58="","",2_Daily_input!BM58)</f>
        <v/>
      </c>
      <c r="BN69" s="57" t="str">
        <f aca="false">IF(2_Daily_input!BN58="","",2_Daily_input!BN58)</f>
        <v/>
      </c>
      <c r="BO69" s="57" t="str">
        <f aca="false">IF(2_Daily_input!BO58="","",2_Daily_input!BO58)</f>
        <v/>
      </c>
      <c r="BP69" s="57" t="str">
        <f aca="false">IF(2_Daily_input!BP58="","",2_Daily_input!BP58)</f>
        <v/>
      </c>
      <c r="BQ69" s="57" t="str">
        <f aca="false">IF(2_Daily_input!BQ58="","",2_Daily_input!BQ58)</f>
        <v/>
      </c>
      <c r="BR69" s="57" t="str">
        <f aca="false">IF(2_Daily_input!BR58="","",2_Daily_input!BR58)</f>
        <v/>
      </c>
      <c r="BS69" s="57" t="str">
        <f aca="false">IF(2_Daily_input!BS58="","",2_Daily_input!BS58)</f>
        <v/>
      </c>
      <c r="BT69" s="57" t="str">
        <f aca="false">IF(2_Daily_input!BT58="","",2_Daily_input!BT58)</f>
        <v/>
      </c>
      <c r="BU69" s="57" t="str">
        <f aca="false">IF(2_Daily_input!BU58="","",2_Daily_input!BU58)</f>
        <v/>
      </c>
      <c r="BV69" s="57" t="str">
        <f aca="false">IF(2_Daily_input!BV58="","",2_Daily_input!BV58)</f>
        <v/>
      </c>
      <c r="BW69" s="57" t="str">
        <f aca="false">IF(2_Daily_input!BW58="","",2_Daily_input!BW58)</f>
        <v/>
      </c>
      <c r="BX69" s="57" t="str">
        <f aca="false">IF(2_Daily_input!BX58="","",2_Daily_input!BX58)</f>
        <v/>
      </c>
      <c r="BY69" s="57" t="n">
        <f aca="false">IF(2_Daily_input!BY58="","",2_Daily_input!BY58)</f>
        <v>8</v>
      </c>
      <c r="BZ69" s="57" t="str">
        <f aca="false">IF(2_Daily_input!BZ58="","",2_Daily_input!BZ58)</f>
        <v/>
      </c>
      <c r="CA69" s="57" t="str">
        <f aca="false">IF(2_Daily_input!CA58="","",2_Daily_input!CA58)</f>
        <v/>
      </c>
      <c r="CB69" s="57" t="str">
        <f aca="false">IF(2_Daily_input!CB58="","",2_Daily_input!CB58)</f>
        <v/>
      </c>
      <c r="CC69" s="57" t="str">
        <f aca="false">IF(2_Daily_input!CC58="","",2_Daily_input!CC58)</f>
        <v/>
      </c>
      <c r="CD69" s="57" t="str">
        <f aca="false">IF(2_Daily_input!CD58="","",2_Daily_input!CD58)</f>
        <v/>
      </c>
      <c r="CE69" s="57" t="str">
        <f aca="false">IF(2_Daily_input!CE58="","",2_Daily_input!CE58)</f>
        <v/>
      </c>
      <c r="CF69" s="57" t="str">
        <f aca="false">IF(2_Daily_input!CF58="","",2_Daily_input!CF58)</f>
        <v/>
      </c>
      <c r="CG69" s="57" t="str">
        <f aca="false">IF(2_Daily_input!CG58="","",2_Daily_input!CG58)</f>
        <v/>
      </c>
      <c r="CH69" s="57" t="str">
        <f aca="false">IF(2_Daily_input!CH58="","",2_Daily_input!CH58)</f>
        <v/>
      </c>
      <c r="CI69" s="57" t="str">
        <f aca="false">IF(2_Daily_input!CI58="","",2_Daily_input!CI58)</f>
        <v/>
      </c>
      <c r="CJ69" s="57" t="str">
        <f aca="false">IF(2_Daily_input!CJ58="","",2_Daily_input!CJ58)</f>
        <v/>
      </c>
      <c r="CK69" s="57" t="str">
        <f aca="false">IF(2_Daily_input!CK58="","",2_Daily_input!CK58)</f>
        <v/>
      </c>
      <c r="CL69" s="57" t="str">
        <f aca="false">IF(2_Daily_input!CL58="","",2_Daily_input!CL58)</f>
        <v/>
      </c>
      <c r="CM69" s="57" t="str">
        <f aca="false">IF(2_Daily_input!CM58="","",2_Daily_input!CM58)</f>
        <v/>
      </c>
      <c r="CN69" s="57" t="n">
        <f aca="false">IF(2_Daily_input!CN58="","",2_Daily_input!CN58)</f>
        <v>14</v>
      </c>
      <c r="CO69" s="57" t="str">
        <f aca="false">IF(2_Daily_input!CO58="","",2_Daily_input!CO58)</f>
        <v/>
      </c>
      <c r="CP69" s="57" t="str">
        <f aca="false">IF(2_Daily_input!CP58="","",2_Daily_input!CP58)</f>
        <v/>
      </c>
      <c r="CQ69" s="57" t="str">
        <f aca="false">IF(2_Daily_input!CQ58="","",2_Daily_input!CQ58)</f>
        <v/>
      </c>
      <c r="CR69" s="57" t="str">
        <f aca="false">IF(2_Daily_input!CR58="","",2_Daily_input!CR58)</f>
        <v/>
      </c>
      <c r="CS69" s="57" t="str">
        <f aca="false">IF(2_Daily_input!CS58="","",2_Daily_input!CS58)</f>
        <v/>
      </c>
      <c r="CT69" s="57" t="str">
        <f aca="false">IF(2_Daily_input!CT58="","",2_Daily_input!CT58)</f>
        <v/>
      </c>
      <c r="CU69" s="57" t="str">
        <f aca="false">IF(2_Daily_input!CU58="","",2_Daily_input!CU58)</f>
        <v/>
      </c>
      <c r="CV69" s="57" t="str">
        <f aca="false">IF(2_Daily_input!CV58="","",2_Daily_input!CV58)</f>
        <v/>
      </c>
      <c r="CW69" s="57" t="str">
        <f aca="false">IF(2_Daily_input!CW58="","",2_Daily_input!CW58)</f>
        <v/>
      </c>
      <c r="CX69" s="57" t="str">
        <f aca="false">IF(2_Daily_input!CX58="","",2_Daily_input!CX58)</f>
        <v/>
      </c>
      <c r="CY69" s="57" t="str">
        <f aca="false">IF(2_Daily_input!CY58="","",2_Daily_input!CY58)</f>
        <v/>
      </c>
      <c r="CZ69" s="57" t="str">
        <f aca="false">IF(2_Daily_input!CZ58="","",2_Daily_input!CZ58)</f>
        <v/>
      </c>
      <c r="DA69" s="57" t="str">
        <f aca="false">IF(2_Daily_input!DA58="","",2_Daily_input!DA58)</f>
        <v/>
      </c>
      <c r="DB69" s="57" t="str">
        <f aca="false">IF(2_Daily_input!DB58="","",2_Daily_input!DB58)</f>
        <v/>
      </c>
      <c r="DC69" s="57" t="n">
        <f aca="false">IF(2_Daily_input!DC58="","",2_Daily_input!DC58)</f>
        <v>22</v>
      </c>
      <c r="DD69" s="57" t="str">
        <f aca="false">IF(2_Daily_input!DD58="","",2_Daily_input!DD58)</f>
        <v/>
      </c>
      <c r="DE69" s="57" t="str">
        <f aca="false">IF(2_Daily_input!DE58="","",2_Daily_input!DE58)</f>
        <v/>
      </c>
      <c r="DF69" s="57" t="str">
        <f aca="false">IF(2_Daily_input!DF58="","",2_Daily_input!DF58)</f>
        <v/>
      </c>
      <c r="DG69" s="57" t="str">
        <f aca="false">IF(2_Daily_input!DG58="","",2_Daily_input!DG58)</f>
        <v/>
      </c>
      <c r="DH69" s="57" t="str">
        <f aca="false">IF(2_Daily_input!DH58="","",2_Daily_input!DH58)</f>
        <v/>
      </c>
      <c r="DI69" s="57" t="str">
        <f aca="false">IF(2_Daily_input!DI58="","",2_Daily_input!DI58)</f>
        <v/>
      </c>
      <c r="DJ69" s="57" t="str">
        <f aca="false">IF(2_Daily_input!DJ58="","",2_Daily_input!DJ58)</f>
        <v/>
      </c>
      <c r="DK69" s="57" t="str">
        <f aca="false">IF(2_Daily_input!DK58="","",2_Daily_input!DK58)</f>
        <v/>
      </c>
      <c r="DL69" s="57" t="str">
        <f aca="false">IF(2_Daily_input!DL58="","",2_Daily_input!DL58)</f>
        <v/>
      </c>
      <c r="DM69" s="57" t="str">
        <f aca="false">IF(2_Daily_input!DM58="","",2_Daily_input!DM58)</f>
        <v/>
      </c>
      <c r="DN69" s="57" t="str">
        <f aca="false">IF(2_Daily_input!DN58="","",2_Daily_input!DN58)</f>
        <v/>
      </c>
      <c r="DO69" s="57" t="str">
        <f aca="false">IF(2_Daily_input!DO58="","",2_Daily_input!DO58)</f>
        <v/>
      </c>
      <c r="DP69" s="57" t="str">
        <f aca="false">IF(2_Daily_input!DP58="","",2_Daily_input!DP58)</f>
        <v/>
      </c>
      <c r="DQ69" s="57" t="str">
        <f aca="false">IF(2_Daily_input!DQ58="","",2_Daily_input!DQ58)</f>
        <v/>
      </c>
      <c r="DR69" s="57" t="n">
        <f aca="false">IF(2_Daily_input!DR58="","",2_Daily_input!DR58)</f>
        <v>24</v>
      </c>
      <c r="DS69" s="57" t="str">
        <f aca="false">IF(2_Daily_input!DS58="","",2_Daily_input!DS58)</f>
        <v/>
      </c>
      <c r="DT69" s="57" t="str">
        <f aca="false">IF(2_Daily_input!DT58="","",2_Daily_input!DT58)</f>
        <v/>
      </c>
      <c r="DU69" s="57" t="str">
        <f aca="false">IF(2_Daily_input!DU58="","",2_Daily_input!DU58)</f>
        <v/>
      </c>
      <c r="DV69" s="57" t="str">
        <f aca="false">IF(2_Daily_input!DV58="","",2_Daily_input!DV58)</f>
        <v/>
      </c>
      <c r="DW69" s="57" t="str">
        <f aca="false">IF(2_Daily_input!DW58="","",2_Daily_input!DW58)</f>
        <v/>
      </c>
      <c r="DX69" s="57" t="str">
        <f aca="false">IF(2_Daily_input!DX58="","",2_Daily_input!DX58)</f>
        <v/>
      </c>
      <c r="DY69" s="57" t="str">
        <f aca="false">IF(2_Daily_input!DY58="","",2_Daily_input!DY58)</f>
        <v/>
      </c>
      <c r="DZ69" s="57" t="str">
        <f aca="false">IF(2_Daily_input!DZ58="","",2_Daily_input!DZ58)</f>
        <v/>
      </c>
      <c r="EA69" s="57" t="str">
        <f aca="false">IF(2_Daily_input!EA58="","",2_Daily_input!EA58)</f>
        <v/>
      </c>
      <c r="EB69" s="57" t="str">
        <f aca="false">IF(2_Daily_input!EB58="","",2_Daily_input!EB58)</f>
        <v/>
      </c>
      <c r="EC69" s="57" t="str">
        <f aca="false">IF(2_Daily_input!EC58="","",2_Daily_input!EC58)</f>
        <v/>
      </c>
      <c r="ED69" s="57" t="str">
        <f aca="false">IF(2_Daily_input!ED58="","",2_Daily_input!ED58)</f>
        <v/>
      </c>
      <c r="EE69" s="57" t="str">
        <f aca="false">IF(2_Daily_input!EE58="","",2_Daily_input!EE58)</f>
        <v/>
      </c>
      <c r="EF69" s="57" t="str">
        <f aca="false">IF(2_Daily_input!EF58="","",2_Daily_input!EF58)</f>
        <v/>
      </c>
      <c r="EG69" s="57" t="str">
        <f aca="false">IF(2_Daily_input!EG58="","",2_Daily_input!EG58)</f>
        <v/>
      </c>
      <c r="EH69" s="57" t="str">
        <f aca="false">IF(2_Daily_input!EH58="","",2_Daily_input!EH58)</f>
        <v/>
      </c>
      <c r="EI69" s="57" t="str">
        <f aca="false">IF(2_Daily_input!EI58="","",2_Daily_input!EI58)</f>
        <v/>
      </c>
      <c r="EJ69" s="57" t="str">
        <f aca="false">IF(2_Daily_input!EJ58="","",2_Daily_input!EJ58)</f>
        <v/>
      </c>
      <c r="EK69" s="57" t="str">
        <f aca="false">IF(2_Daily_input!EK58="","",2_Daily_input!EK58)</f>
        <v/>
      </c>
      <c r="EL69" s="57" t="str">
        <f aca="false">IF(2_Daily_input!EL58="","",2_Daily_input!EL58)</f>
        <v/>
      </c>
      <c r="EM69" s="57" t="str">
        <f aca="false">IF(2_Daily_input!EM58="","",2_Daily_input!EM58)</f>
        <v/>
      </c>
      <c r="EN69" s="57" t="str">
        <f aca="false">IF(2_Daily_input!EN58="","",2_Daily_input!EN58)</f>
        <v/>
      </c>
      <c r="EO69" s="57" t="str">
        <f aca="false">IF(2_Daily_input!EO58="","",2_Daily_input!EO58)</f>
        <v/>
      </c>
      <c r="EP69" s="57" t="str">
        <f aca="false">IF(2_Daily_input!EP58="","",2_Daily_input!EP58)</f>
        <v/>
      </c>
      <c r="EQ69" s="57" t="str">
        <f aca="false">IF(2_Daily_input!EQ58="","",2_Daily_input!EQ58)</f>
        <v/>
      </c>
      <c r="ER69" s="57" t="str">
        <f aca="false">IF(2_Daily_input!ER58="","",2_Daily_input!ER58)</f>
        <v/>
      </c>
      <c r="ES69" s="57" t="str">
        <f aca="false">IF(2_Daily_input!ES58="","",2_Daily_input!ES58)</f>
        <v/>
      </c>
      <c r="ET69" s="57" t="str">
        <f aca="false">IF(2_Daily_input!ET58="","",2_Daily_input!ET58)</f>
        <v/>
      </c>
      <c r="EU69" s="57" t="str">
        <f aca="false">IF(2_Daily_input!EU58="","",2_Daily_input!EU58)</f>
        <v/>
      </c>
      <c r="EV69" s="57" t="str">
        <f aca="false">IF(2_Daily_input!EV58="","",2_Daily_input!EV58)</f>
        <v/>
      </c>
      <c r="EW69" s="57" t="str">
        <f aca="false">IF(2_Daily_input!EW58="","",2_Daily_input!EW58)</f>
        <v/>
      </c>
      <c r="EX69" s="57" t="str">
        <f aca="false">IF(2_Daily_input!EX58="","",2_Daily_input!EX58)</f>
        <v/>
      </c>
      <c r="EY69" s="57" t="str">
        <f aca="false">IF(2_Daily_input!EY58="","",2_Daily_input!EY58)</f>
        <v/>
      </c>
      <c r="EZ69" s="57" t="str">
        <f aca="false">IF(2_Daily_input!EZ58="","",2_Daily_input!EZ58)</f>
        <v/>
      </c>
      <c r="FA69" s="57" t="str">
        <f aca="false">IF(2_Daily_input!FA58="","",2_Daily_input!FA58)</f>
        <v/>
      </c>
      <c r="FB69" s="57" t="str">
        <f aca="false">IF(2_Daily_input!FB58="","",2_Daily_input!FB58)</f>
        <v/>
      </c>
      <c r="FC69" s="57" t="str">
        <f aca="false">IF(2_Daily_input!FC58="","",2_Daily_input!FC58)</f>
        <v/>
      </c>
      <c r="FD69" s="57" t="str">
        <f aca="false">IF(2_Daily_input!FD58="","",2_Daily_input!FD58)</f>
        <v/>
      </c>
      <c r="FE69" s="57" t="str">
        <f aca="false">IF(2_Daily_input!FE58="","",2_Daily_input!FE58)</f>
        <v/>
      </c>
      <c r="FF69" s="57" t="str">
        <f aca="false">IF(2_Daily_input!FF58="","",2_Daily_input!FF58)</f>
        <v/>
      </c>
      <c r="FG69" s="57" t="str">
        <f aca="false">IF(2_Daily_input!FG58="","",2_Daily_input!FG58)</f>
        <v/>
      </c>
      <c r="FH69" s="57" t="str">
        <f aca="false">IF(2_Daily_input!FH58="","",2_Daily_input!FH58)</f>
        <v/>
      </c>
      <c r="FI69" s="57" t="str">
        <f aca="false">IF(2_Daily_input!FI58="","",2_Daily_input!FI58)</f>
        <v/>
      </c>
      <c r="FJ69" s="57" t="str">
        <f aca="false">IF(2_Daily_input!FJ58="","",2_Daily_input!FJ58)</f>
        <v/>
      </c>
      <c r="FK69" s="57" t="str">
        <f aca="false">IF(2_Daily_input!FK58="","",2_Daily_input!FK58)</f>
        <v/>
      </c>
      <c r="FL69" s="57" t="str">
        <f aca="false">IF(2_Daily_input!FL58="","",2_Daily_input!FL58)</f>
        <v/>
      </c>
      <c r="FM69" s="57" t="str">
        <f aca="false">IF(2_Daily_input!FM58="","",2_Daily_input!FM58)</f>
        <v/>
      </c>
      <c r="FN69" s="57" t="str">
        <f aca="false">IF(2_Daily_input!FN58="","",2_Daily_input!FN58)</f>
        <v/>
      </c>
      <c r="FO69" s="57" t="str">
        <f aca="false">IF(2_Daily_input!FO58="","",2_Daily_input!FO58)</f>
        <v/>
      </c>
      <c r="FP69" s="57" t="str">
        <f aca="false">IF(2_Daily_input!FP58="","",2_Daily_input!FP58)</f>
        <v/>
      </c>
      <c r="FQ69" s="57" t="str">
        <f aca="false">IF(2_Daily_input!FQ58="","",2_Daily_input!FQ58)</f>
        <v/>
      </c>
    </row>
    <row r="70" customFormat="false" ht="15" hidden="false" customHeight="false" outlineLevel="0" collapsed="false">
      <c r="A70" s="33" t="s">
        <v>83</v>
      </c>
      <c r="B70" s="33" t="s">
        <v>436</v>
      </c>
      <c r="D70" s="57" t="str">
        <f aca="false">IF(2_Daily_input!D59="","",2_Daily_input!D59)</f>
        <v/>
      </c>
      <c r="E70" s="57" t="str">
        <f aca="false">IF(2_Daily_input!E59="","",2_Daily_input!E59)</f>
        <v/>
      </c>
      <c r="F70" s="57" t="str">
        <f aca="false">IF(2_Daily_input!F59="","",2_Daily_input!F59)</f>
        <v/>
      </c>
      <c r="G70" s="57" t="str">
        <f aca="false">IF(2_Daily_input!G59="","",2_Daily_input!G59)</f>
        <v/>
      </c>
      <c r="H70" s="57" t="str">
        <f aca="false">IF(2_Daily_input!H59="","",2_Daily_input!H59)</f>
        <v/>
      </c>
      <c r="I70" s="57" t="str">
        <f aca="false">IF(2_Daily_input!I59="","",2_Daily_input!I59)</f>
        <v/>
      </c>
      <c r="J70" s="57" t="str">
        <f aca="false">IF(2_Daily_input!J59="","",2_Daily_input!J59)</f>
        <v/>
      </c>
      <c r="K70" s="57" t="str">
        <f aca="false">IF(2_Daily_input!K59="","",2_Daily_input!K59)</f>
        <v/>
      </c>
      <c r="L70" s="57" t="str">
        <f aca="false">IF(2_Daily_input!L59="","",2_Daily_input!L59)</f>
        <v/>
      </c>
      <c r="M70" s="57" t="str">
        <f aca="false">IF(2_Daily_input!M59="","",2_Daily_input!M59)</f>
        <v/>
      </c>
      <c r="N70" s="57" t="str">
        <f aca="false">IF(2_Daily_input!N59="","",2_Daily_input!N59)</f>
        <v/>
      </c>
      <c r="O70" s="57" t="str">
        <f aca="false">IF(2_Daily_input!O59="","",2_Daily_input!O59)</f>
        <v/>
      </c>
      <c r="P70" s="57" t="str">
        <f aca="false">IF(2_Daily_input!P59="","",2_Daily_input!P59)</f>
        <v/>
      </c>
      <c r="Q70" s="57" t="str">
        <f aca="false">IF(2_Daily_input!Q59="","",2_Daily_input!Q59)</f>
        <v/>
      </c>
      <c r="R70" s="57" t="str">
        <f aca="false">IF(2_Daily_input!R59="","",2_Daily_input!R59)</f>
        <v/>
      </c>
      <c r="S70" s="57" t="str">
        <f aca="false">IF(2_Daily_input!S59="","",2_Daily_input!S59)</f>
        <v/>
      </c>
      <c r="T70" s="57" t="str">
        <f aca="false">IF(2_Daily_input!T59="","",2_Daily_input!T59)</f>
        <v/>
      </c>
      <c r="U70" s="57" t="str">
        <f aca="false">IF(2_Daily_input!U59="","",2_Daily_input!U59)</f>
        <v/>
      </c>
      <c r="V70" s="57" t="str">
        <f aca="false">IF(2_Daily_input!V59="","",2_Daily_input!V59)</f>
        <v/>
      </c>
      <c r="W70" s="57" t="str">
        <f aca="false">IF(2_Daily_input!W59="","",2_Daily_input!W59)</f>
        <v/>
      </c>
      <c r="X70" s="57" t="str">
        <f aca="false">IF(2_Daily_input!X59="","",2_Daily_input!X59)</f>
        <v/>
      </c>
      <c r="Y70" s="57" t="str">
        <f aca="false">IF(2_Daily_input!Y59="","",2_Daily_input!Y59)</f>
        <v/>
      </c>
      <c r="Z70" s="57" t="str">
        <f aca="false">IF(2_Daily_input!Z59="","",2_Daily_input!Z59)</f>
        <v/>
      </c>
      <c r="AA70" s="57" t="str">
        <f aca="false">IF(2_Daily_input!AA59="","",2_Daily_input!AA59)</f>
        <v/>
      </c>
      <c r="AB70" s="57" t="str">
        <f aca="false">IF(2_Daily_input!AB59="","",2_Daily_input!AB59)</f>
        <v/>
      </c>
      <c r="AC70" s="57" t="str">
        <f aca="false">IF(2_Daily_input!AC59="","",2_Daily_input!AC59)</f>
        <v/>
      </c>
      <c r="AD70" s="57" t="str">
        <f aca="false">IF(2_Daily_input!AD59="","",2_Daily_input!AD59)</f>
        <v/>
      </c>
      <c r="AE70" s="57" t="str">
        <f aca="false">IF(2_Daily_input!AE59="","",2_Daily_input!AE59)</f>
        <v/>
      </c>
      <c r="AF70" s="57" t="str">
        <f aca="false">IF(2_Daily_input!AF59="","",2_Daily_input!AF59)</f>
        <v/>
      </c>
      <c r="AG70" s="57" t="str">
        <f aca="false">IF(2_Daily_input!AG59="","",2_Daily_input!AG59)</f>
        <v/>
      </c>
      <c r="AH70" s="57" t="str">
        <f aca="false">IF(2_Daily_input!AH59="","",2_Daily_input!AH59)</f>
        <v/>
      </c>
      <c r="AI70" s="57" t="str">
        <f aca="false">IF(2_Daily_input!AI59="","",2_Daily_input!AI59)</f>
        <v/>
      </c>
      <c r="AJ70" s="57" t="str">
        <f aca="false">IF(2_Daily_input!AJ59="","",2_Daily_input!AJ59)</f>
        <v/>
      </c>
      <c r="AK70" s="57" t="str">
        <f aca="false">IF(2_Daily_input!AK59="","",2_Daily_input!AK59)</f>
        <v/>
      </c>
      <c r="AL70" s="57" t="str">
        <f aca="false">IF(2_Daily_input!AL59="","",2_Daily_input!AL59)</f>
        <v/>
      </c>
      <c r="AM70" s="57" t="str">
        <f aca="false">IF(2_Daily_input!AM59="","",2_Daily_input!AM59)</f>
        <v/>
      </c>
      <c r="AN70" s="57" t="str">
        <f aca="false">IF(2_Daily_input!AN59="","",2_Daily_input!AN59)</f>
        <v/>
      </c>
      <c r="AO70" s="57" t="str">
        <f aca="false">IF(2_Daily_input!AO59="","",2_Daily_input!AO59)</f>
        <v/>
      </c>
      <c r="AP70" s="57" t="str">
        <f aca="false">IF(2_Daily_input!AP59="","",2_Daily_input!AP59)</f>
        <v/>
      </c>
      <c r="AQ70" s="57" t="str">
        <f aca="false">IF(2_Daily_input!AQ59="","",2_Daily_input!AQ59)</f>
        <v/>
      </c>
      <c r="AR70" s="57" t="str">
        <f aca="false">IF(2_Daily_input!AR59="","",2_Daily_input!AR59)</f>
        <v/>
      </c>
      <c r="AS70" s="57" t="str">
        <f aca="false">IF(2_Daily_input!AS59="","",2_Daily_input!AS59)</f>
        <v/>
      </c>
      <c r="AT70" s="57" t="str">
        <f aca="false">IF(2_Daily_input!AT59="","",2_Daily_input!AT59)</f>
        <v/>
      </c>
      <c r="AU70" s="57" t="str">
        <f aca="false">IF(2_Daily_input!AU59="","",2_Daily_input!AU59)</f>
        <v/>
      </c>
      <c r="AV70" s="57" t="str">
        <f aca="false">IF(2_Daily_input!AV59="","",2_Daily_input!AV59)</f>
        <v/>
      </c>
      <c r="AW70" s="57" t="str">
        <f aca="false">IF(2_Daily_input!AW59="","",2_Daily_input!AW59)</f>
        <v/>
      </c>
      <c r="AX70" s="57" t="str">
        <f aca="false">IF(2_Daily_input!AX59="","",2_Daily_input!AX59)</f>
        <v/>
      </c>
      <c r="AY70" s="57" t="str">
        <f aca="false">IF(2_Daily_input!AY59="","",2_Daily_input!AY59)</f>
        <v/>
      </c>
      <c r="AZ70" s="57" t="str">
        <f aca="false">IF(2_Daily_input!AZ59="","",2_Daily_input!AZ59)</f>
        <v/>
      </c>
      <c r="BA70" s="57" t="str">
        <f aca="false">IF(2_Daily_input!BA59="","",2_Daily_input!BA59)</f>
        <v/>
      </c>
      <c r="BB70" s="57" t="str">
        <f aca="false">IF(2_Daily_input!BB59="","",2_Daily_input!BB59)</f>
        <v/>
      </c>
      <c r="BC70" s="57" t="str">
        <f aca="false">IF(2_Daily_input!BC59="","",2_Daily_input!BC59)</f>
        <v/>
      </c>
      <c r="BD70" s="57" t="str">
        <f aca="false">IF(2_Daily_input!BD59="","",2_Daily_input!BD59)</f>
        <v/>
      </c>
      <c r="BE70" s="57" t="str">
        <f aca="false">IF(2_Daily_input!BE59="","",2_Daily_input!BE59)</f>
        <v/>
      </c>
      <c r="BF70" s="57" t="str">
        <f aca="false">IF(2_Daily_input!BF59="","",2_Daily_input!BF59)</f>
        <v/>
      </c>
      <c r="BG70" s="57" t="str">
        <f aca="false">IF(2_Daily_input!BG59="","",2_Daily_input!BG59)</f>
        <v/>
      </c>
      <c r="BH70" s="57" t="str">
        <f aca="false">IF(2_Daily_input!BH59="","",2_Daily_input!BH59)</f>
        <v/>
      </c>
      <c r="BI70" s="57" t="str">
        <f aca="false">IF(2_Daily_input!BI59="","",2_Daily_input!BI59)</f>
        <v/>
      </c>
      <c r="BJ70" s="57" t="str">
        <f aca="false">IF(2_Daily_input!BJ59="","",2_Daily_input!BJ59)</f>
        <v/>
      </c>
      <c r="BK70" s="57" t="str">
        <f aca="false">IF(2_Daily_input!BK59="","",2_Daily_input!BK59)</f>
        <v/>
      </c>
      <c r="BL70" s="57" t="str">
        <f aca="false">IF(2_Daily_input!BL59="","",2_Daily_input!BL59)</f>
        <v/>
      </c>
      <c r="BM70" s="57" t="str">
        <f aca="false">IF(2_Daily_input!BM59="","",2_Daily_input!BM59)</f>
        <v/>
      </c>
      <c r="BN70" s="57" t="str">
        <f aca="false">IF(2_Daily_input!BN59="","",2_Daily_input!BN59)</f>
        <v/>
      </c>
      <c r="BO70" s="57" t="str">
        <f aca="false">IF(2_Daily_input!BO59="","",2_Daily_input!BO59)</f>
        <v/>
      </c>
      <c r="BP70" s="57" t="str">
        <f aca="false">IF(2_Daily_input!BP59="","",2_Daily_input!BP59)</f>
        <v/>
      </c>
      <c r="BQ70" s="57" t="str">
        <f aca="false">IF(2_Daily_input!BQ59="","",2_Daily_input!BQ59)</f>
        <v/>
      </c>
      <c r="BR70" s="57" t="str">
        <f aca="false">IF(2_Daily_input!BR59="","",2_Daily_input!BR59)</f>
        <v/>
      </c>
      <c r="BS70" s="57" t="str">
        <f aca="false">IF(2_Daily_input!BS59="","",2_Daily_input!BS59)</f>
        <v/>
      </c>
      <c r="BT70" s="57" t="str">
        <f aca="false">IF(2_Daily_input!BT59="","",2_Daily_input!BT59)</f>
        <v/>
      </c>
      <c r="BU70" s="57" t="str">
        <f aca="false">IF(2_Daily_input!BU59="","",2_Daily_input!BU59)</f>
        <v/>
      </c>
      <c r="BV70" s="57" t="str">
        <f aca="false">IF(2_Daily_input!BV59="","",2_Daily_input!BV59)</f>
        <v/>
      </c>
      <c r="BW70" s="57" t="str">
        <f aca="false">IF(2_Daily_input!BW59="","",2_Daily_input!BW59)</f>
        <v/>
      </c>
      <c r="BX70" s="57" t="str">
        <f aca="false">IF(2_Daily_input!BX59="","",2_Daily_input!BX59)</f>
        <v/>
      </c>
      <c r="BY70" s="57" t="n">
        <f aca="false">IF(2_Daily_input!BY59="","",2_Daily_input!BY59)</f>
        <v>8</v>
      </c>
      <c r="BZ70" s="57" t="str">
        <f aca="false">IF(2_Daily_input!BZ59="","",2_Daily_input!BZ59)</f>
        <v/>
      </c>
      <c r="CA70" s="57" t="str">
        <f aca="false">IF(2_Daily_input!CA59="","",2_Daily_input!CA59)</f>
        <v/>
      </c>
      <c r="CB70" s="57" t="str">
        <f aca="false">IF(2_Daily_input!CB59="","",2_Daily_input!CB59)</f>
        <v/>
      </c>
      <c r="CC70" s="57" t="str">
        <f aca="false">IF(2_Daily_input!CC59="","",2_Daily_input!CC59)</f>
        <v/>
      </c>
      <c r="CD70" s="57" t="str">
        <f aca="false">IF(2_Daily_input!CD59="","",2_Daily_input!CD59)</f>
        <v/>
      </c>
      <c r="CE70" s="57" t="str">
        <f aca="false">IF(2_Daily_input!CE59="","",2_Daily_input!CE59)</f>
        <v/>
      </c>
      <c r="CF70" s="57" t="str">
        <f aca="false">IF(2_Daily_input!CF59="","",2_Daily_input!CF59)</f>
        <v/>
      </c>
      <c r="CG70" s="57" t="str">
        <f aca="false">IF(2_Daily_input!CG59="","",2_Daily_input!CG59)</f>
        <v/>
      </c>
      <c r="CH70" s="57" t="str">
        <f aca="false">IF(2_Daily_input!CH59="","",2_Daily_input!CH59)</f>
        <v/>
      </c>
      <c r="CI70" s="57" t="str">
        <f aca="false">IF(2_Daily_input!CI59="","",2_Daily_input!CI59)</f>
        <v/>
      </c>
      <c r="CJ70" s="57" t="str">
        <f aca="false">IF(2_Daily_input!CJ59="","",2_Daily_input!CJ59)</f>
        <v/>
      </c>
      <c r="CK70" s="57" t="str">
        <f aca="false">IF(2_Daily_input!CK59="","",2_Daily_input!CK59)</f>
        <v/>
      </c>
      <c r="CL70" s="57" t="str">
        <f aca="false">IF(2_Daily_input!CL59="","",2_Daily_input!CL59)</f>
        <v/>
      </c>
      <c r="CM70" s="57" t="str">
        <f aca="false">IF(2_Daily_input!CM59="","",2_Daily_input!CM59)</f>
        <v/>
      </c>
      <c r="CN70" s="57" t="n">
        <f aca="false">IF(2_Daily_input!CN59="","",2_Daily_input!CN59)</f>
        <v>15</v>
      </c>
      <c r="CO70" s="57" t="str">
        <f aca="false">IF(2_Daily_input!CO59="","",2_Daily_input!CO59)</f>
        <v/>
      </c>
      <c r="CP70" s="57" t="str">
        <f aca="false">IF(2_Daily_input!CP59="","",2_Daily_input!CP59)</f>
        <v/>
      </c>
      <c r="CQ70" s="57" t="str">
        <f aca="false">IF(2_Daily_input!CQ59="","",2_Daily_input!CQ59)</f>
        <v/>
      </c>
      <c r="CR70" s="57" t="str">
        <f aca="false">IF(2_Daily_input!CR59="","",2_Daily_input!CR59)</f>
        <v/>
      </c>
      <c r="CS70" s="57" t="str">
        <f aca="false">IF(2_Daily_input!CS59="","",2_Daily_input!CS59)</f>
        <v/>
      </c>
      <c r="CT70" s="57" t="str">
        <f aca="false">IF(2_Daily_input!CT59="","",2_Daily_input!CT59)</f>
        <v/>
      </c>
      <c r="CU70" s="57" t="str">
        <f aca="false">IF(2_Daily_input!CU59="","",2_Daily_input!CU59)</f>
        <v/>
      </c>
      <c r="CV70" s="57" t="str">
        <f aca="false">IF(2_Daily_input!CV59="","",2_Daily_input!CV59)</f>
        <v/>
      </c>
      <c r="CW70" s="57" t="str">
        <f aca="false">IF(2_Daily_input!CW59="","",2_Daily_input!CW59)</f>
        <v/>
      </c>
      <c r="CX70" s="57" t="str">
        <f aca="false">IF(2_Daily_input!CX59="","",2_Daily_input!CX59)</f>
        <v/>
      </c>
      <c r="CY70" s="57" t="str">
        <f aca="false">IF(2_Daily_input!CY59="","",2_Daily_input!CY59)</f>
        <v/>
      </c>
      <c r="CZ70" s="57" t="str">
        <f aca="false">IF(2_Daily_input!CZ59="","",2_Daily_input!CZ59)</f>
        <v/>
      </c>
      <c r="DA70" s="57" t="str">
        <f aca="false">IF(2_Daily_input!DA59="","",2_Daily_input!DA59)</f>
        <v/>
      </c>
      <c r="DB70" s="57" t="str">
        <f aca="false">IF(2_Daily_input!DB59="","",2_Daily_input!DB59)</f>
        <v/>
      </c>
      <c r="DC70" s="57" t="n">
        <f aca="false">IF(2_Daily_input!DC59="","",2_Daily_input!DC59)</f>
        <v>19</v>
      </c>
      <c r="DD70" s="57" t="str">
        <f aca="false">IF(2_Daily_input!DD59="","",2_Daily_input!DD59)</f>
        <v/>
      </c>
      <c r="DE70" s="57" t="str">
        <f aca="false">IF(2_Daily_input!DE59="","",2_Daily_input!DE59)</f>
        <v/>
      </c>
      <c r="DF70" s="57" t="str">
        <f aca="false">IF(2_Daily_input!DF59="","",2_Daily_input!DF59)</f>
        <v/>
      </c>
      <c r="DG70" s="57" t="str">
        <f aca="false">IF(2_Daily_input!DG59="","",2_Daily_input!DG59)</f>
        <v/>
      </c>
      <c r="DH70" s="57" t="str">
        <f aca="false">IF(2_Daily_input!DH59="","",2_Daily_input!DH59)</f>
        <v/>
      </c>
      <c r="DI70" s="57" t="str">
        <f aca="false">IF(2_Daily_input!DI59="","",2_Daily_input!DI59)</f>
        <v/>
      </c>
      <c r="DJ70" s="57" t="str">
        <f aca="false">IF(2_Daily_input!DJ59="","",2_Daily_input!DJ59)</f>
        <v/>
      </c>
      <c r="DK70" s="57" t="str">
        <f aca="false">IF(2_Daily_input!DK59="","",2_Daily_input!DK59)</f>
        <v/>
      </c>
      <c r="DL70" s="57" t="str">
        <f aca="false">IF(2_Daily_input!DL59="","",2_Daily_input!DL59)</f>
        <v/>
      </c>
      <c r="DM70" s="57" t="str">
        <f aca="false">IF(2_Daily_input!DM59="","",2_Daily_input!DM59)</f>
        <v/>
      </c>
      <c r="DN70" s="57" t="str">
        <f aca="false">IF(2_Daily_input!DN59="","",2_Daily_input!DN59)</f>
        <v/>
      </c>
      <c r="DO70" s="57" t="str">
        <f aca="false">IF(2_Daily_input!DO59="","",2_Daily_input!DO59)</f>
        <v/>
      </c>
      <c r="DP70" s="57" t="str">
        <f aca="false">IF(2_Daily_input!DP59="","",2_Daily_input!DP59)</f>
        <v/>
      </c>
      <c r="DQ70" s="57" t="str">
        <f aca="false">IF(2_Daily_input!DQ59="","",2_Daily_input!DQ59)</f>
        <v/>
      </c>
      <c r="DR70" s="57" t="n">
        <f aca="false">IF(2_Daily_input!DR59="","",2_Daily_input!DR59)</f>
        <v>22</v>
      </c>
      <c r="DS70" s="57" t="str">
        <f aca="false">IF(2_Daily_input!DS59="","",2_Daily_input!DS59)</f>
        <v/>
      </c>
      <c r="DT70" s="57" t="str">
        <f aca="false">IF(2_Daily_input!DT59="","",2_Daily_input!DT59)</f>
        <v/>
      </c>
      <c r="DU70" s="57" t="str">
        <f aca="false">IF(2_Daily_input!DU59="","",2_Daily_input!DU59)</f>
        <v/>
      </c>
      <c r="DV70" s="57" t="str">
        <f aca="false">IF(2_Daily_input!DV59="","",2_Daily_input!DV59)</f>
        <v/>
      </c>
      <c r="DW70" s="57" t="str">
        <f aca="false">IF(2_Daily_input!DW59="","",2_Daily_input!DW59)</f>
        <v/>
      </c>
      <c r="DX70" s="57" t="str">
        <f aca="false">IF(2_Daily_input!DX59="","",2_Daily_input!DX59)</f>
        <v/>
      </c>
      <c r="DY70" s="57" t="str">
        <f aca="false">IF(2_Daily_input!DY59="","",2_Daily_input!DY59)</f>
        <v/>
      </c>
      <c r="DZ70" s="57" t="str">
        <f aca="false">IF(2_Daily_input!DZ59="","",2_Daily_input!DZ59)</f>
        <v/>
      </c>
      <c r="EA70" s="57" t="str">
        <f aca="false">IF(2_Daily_input!EA59="","",2_Daily_input!EA59)</f>
        <v/>
      </c>
      <c r="EB70" s="57" t="str">
        <f aca="false">IF(2_Daily_input!EB59="","",2_Daily_input!EB59)</f>
        <v/>
      </c>
      <c r="EC70" s="57" t="str">
        <f aca="false">IF(2_Daily_input!EC59="","",2_Daily_input!EC59)</f>
        <v/>
      </c>
      <c r="ED70" s="57" t="str">
        <f aca="false">IF(2_Daily_input!ED59="","",2_Daily_input!ED59)</f>
        <v/>
      </c>
      <c r="EE70" s="57" t="str">
        <f aca="false">IF(2_Daily_input!EE59="","",2_Daily_input!EE59)</f>
        <v/>
      </c>
      <c r="EF70" s="57" t="str">
        <f aca="false">IF(2_Daily_input!EF59="","",2_Daily_input!EF59)</f>
        <v/>
      </c>
      <c r="EG70" s="57" t="str">
        <f aca="false">IF(2_Daily_input!EG59="","",2_Daily_input!EG59)</f>
        <v/>
      </c>
      <c r="EH70" s="57" t="str">
        <f aca="false">IF(2_Daily_input!EH59="","",2_Daily_input!EH59)</f>
        <v/>
      </c>
      <c r="EI70" s="57" t="str">
        <f aca="false">IF(2_Daily_input!EI59="","",2_Daily_input!EI59)</f>
        <v/>
      </c>
      <c r="EJ70" s="57" t="str">
        <f aca="false">IF(2_Daily_input!EJ59="","",2_Daily_input!EJ59)</f>
        <v/>
      </c>
      <c r="EK70" s="57" t="str">
        <f aca="false">IF(2_Daily_input!EK59="","",2_Daily_input!EK59)</f>
        <v/>
      </c>
      <c r="EL70" s="57" t="str">
        <f aca="false">IF(2_Daily_input!EL59="","",2_Daily_input!EL59)</f>
        <v/>
      </c>
      <c r="EM70" s="57" t="str">
        <f aca="false">IF(2_Daily_input!EM59="","",2_Daily_input!EM59)</f>
        <v/>
      </c>
      <c r="EN70" s="57" t="str">
        <f aca="false">IF(2_Daily_input!EN59="","",2_Daily_input!EN59)</f>
        <v/>
      </c>
      <c r="EO70" s="57" t="str">
        <f aca="false">IF(2_Daily_input!EO59="","",2_Daily_input!EO59)</f>
        <v/>
      </c>
      <c r="EP70" s="57" t="str">
        <f aca="false">IF(2_Daily_input!EP59="","",2_Daily_input!EP59)</f>
        <v/>
      </c>
      <c r="EQ70" s="57" t="str">
        <f aca="false">IF(2_Daily_input!EQ59="","",2_Daily_input!EQ59)</f>
        <v/>
      </c>
      <c r="ER70" s="57" t="str">
        <f aca="false">IF(2_Daily_input!ER59="","",2_Daily_input!ER59)</f>
        <v/>
      </c>
      <c r="ES70" s="57" t="str">
        <f aca="false">IF(2_Daily_input!ES59="","",2_Daily_input!ES59)</f>
        <v/>
      </c>
      <c r="ET70" s="57" t="str">
        <f aca="false">IF(2_Daily_input!ET59="","",2_Daily_input!ET59)</f>
        <v/>
      </c>
      <c r="EU70" s="57" t="str">
        <f aca="false">IF(2_Daily_input!EU59="","",2_Daily_input!EU59)</f>
        <v/>
      </c>
      <c r="EV70" s="57" t="str">
        <f aca="false">IF(2_Daily_input!EV59="","",2_Daily_input!EV59)</f>
        <v/>
      </c>
      <c r="EW70" s="57" t="str">
        <f aca="false">IF(2_Daily_input!EW59="","",2_Daily_input!EW59)</f>
        <v/>
      </c>
      <c r="EX70" s="57" t="str">
        <f aca="false">IF(2_Daily_input!EX59="","",2_Daily_input!EX59)</f>
        <v/>
      </c>
      <c r="EY70" s="57" t="str">
        <f aca="false">IF(2_Daily_input!EY59="","",2_Daily_input!EY59)</f>
        <v/>
      </c>
      <c r="EZ70" s="57" t="str">
        <f aca="false">IF(2_Daily_input!EZ59="","",2_Daily_input!EZ59)</f>
        <v/>
      </c>
      <c r="FA70" s="57" t="str">
        <f aca="false">IF(2_Daily_input!FA59="","",2_Daily_input!FA59)</f>
        <v/>
      </c>
      <c r="FB70" s="57" t="str">
        <f aca="false">IF(2_Daily_input!FB59="","",2_Daily_input!FB59)</f>
        <v/>
      </c>
      <c r="FC70" s="57" t="str">
        <f aca="false">IF(2_Daily_input!FC59="","",2_Daily_input!FC59)</f>
        <v/>
      </c>
      <c r="FD70" s="57" t="str">
        <f aca="false">IF(2_Daily_input!FD59="","",2_Daily_input!FD59)</f>
        <v/>
      </c>
      <c r="FE70" s="57" t="str">
        <f aca="false">IF(2_Daily_input!FE59="","",2_Daily_input!FE59)</f>
        <v/>
      </c>
      <c r="FF70" s="57" t="str">
        <f aca="false">IF(2_Daily_input!FF59="","",2_Daily_input!FF59)</f>
        <v/>
      </c>
      <c r="FG70" s="57" t="str">
        <f aca="false">IF(2_Daily_input!FG59="","",2_Daily_input!FG59)</f>
        <v/>
      </c>
      <c r="FH70" s="57" t="str">
        <f aca="false">IF(2_Daily_input!FH59="","",2_Daily_input!FH59)</f>
        <v/>
      </c>
      <c r="FI70" s="57" t="str">
        <f aca="false">IF(2_Daily_input!FI59="","",2_Daily_input!FI59)</f>
        <v/>
      </c>
      <c r="FJ70" s="57" t="str">
        <f aca="false">IF(2_Daily_input!FJ59="","",2_Daily_input!FJ59)</f>
        <v/>
      </c>
      <c r="FK70" s="57" t="str">
        <f aca="false">IF(2_Daily_input!FK59="","",2_Daily_input!FK59)</f>
        <v/>
      </c>
      <c r="FL70" s="57" t="str">
        <f aca="false">IF(2_Daily_input!FL59="","",2_Daily_input!FL59)</f>
        <v/>
      </c>
      <c r="FM70" s="57" t="str">
        <f aca="false">IF(2_Daily_input!FM59="","",2_Daily_input!FM59)</f>
        <v/>
      </c>
      <c r="FN70" s="57" t="str">
        <f aca="false">IF(2_Daily_input!FN59="","",2_Daily_input!FN59)</f>
        <v/>
      </c>
      <c r="FO70" s="57" t="str">
        <f aca="false">IF(2_Daily_input!FO59="","",2_Daily_input!FO59)</f>
        <v/>
      </c>
      <c r="FP70" s="57" t="str">
        <f aca="false">IF(2_Daily_input!FP59="","",2_Daily_input!FP59)</f>
        <v/>
      </c>
      <c r="FQ70" s="57" t="str">
        <f aca="false">IF(2_Daily_input!FQ59="","",2_Daily_input!FQ59)</f>
        <v/>
      </c>
    </row>
    <row r="71" customFormat="false" ht="15" hidden="false" customHeight="false" outlineLevel="0" collapsed="false">
      <c r="A71" s="33" t="s">
        <v>83</v>
      </c>
      <c r="B71" s="33" t="s">
        <v>437</v>
      </c>
      <c r="D71" s="57" t="str">
        <f aca="false">IF(2_Daily_input!D60="","",2_Daily_input!D60)</f>
        <v/>
      </c>
      <c r="E71" s="57" t="str">
        <f aca="false">IF(2_Daily_input!E60="","",2_Daily_input!E60)</f>
        <v/>
      </c>
      <c r="F71" s="57" t="str">
        <f aca="false">IF(2_Daily_input!F60="","",2_Daily_input!F60)</f>
        <v/>
      </c>
      <c r="G71" s="57" t="str">
        <f aca="false">IF(2_Daily_input!G60="","",2_Daily_input!G60)</f>
        <v/>
      </c>
      <c r="H71" s="57" t="str">
        <f aca="false">IF(2_Daily_input!H60="","",2_Daily_input!H60)</f>
        <v/>
      </c>
      <c r="I71" s="57" t="str">
        <f aca="false">IF(2_Daily_input!I60="","",2_Daily_input!I60)</f>
        <v/>
      </c>
      <c r="J71" s="57" t="str">
        <f aca="false">IF(2_Daily_input!J60="","",2_Daily_input!J60)</f>
        <v/>
      </c>
      <c r="K71" s="57" t="str">
        <f aca="false">IF(2_Daily_input!K60="","",2_Daily_input!K60)</f>
        <v/>
      </c>
      <c r="L71" s="57" t="str">
        <f aca="false">IF(2_Daily_input!L60="","",2_Daily_input!L60)</f>
        <v/>
      </c>
      <c r="M71" s="57" t="str">
        <f aca="false">IF(2_Daily_input!M60="","",2_Daily_input!M60)</f>
        <v/>
      </c>
      <c r="N71" s="57" t="str">
        <f aca="false">IF(2_Daily_input!N60="","",2_Daily_input!N60)</f>
        <v/>
      </c>
      <c r="O71" s="57" t="str">
        <f aca="false">IF(2_Daily_input!O60="","",2_Daily_input!O60)</f>
        <v/>
      </c>
      <c r="P71" s="57" t="str">
        <f aca="false">IF(2_Daily_input!P60="","",2_Daily_input!P60)</f>
        <v/>
      </c>
      <c r="Q71" s="57" t="str">
        <f aca="false">IF(2_Daily_input!Q60="","",2_Daily_input!Q60)</f>
        <v/>
      </c>
      <c r="R71" s="57" t="str">
        <f aca="false">IF(2_Daily_input!R60="","",2_Daily_input!R60)</f>
        <v/>
      </c>
      <c r="S71" s="57" t="str">
        <f aca="false">IF(2_Daily_input!S60="","",2_Daily_input!S60)</f>
        <v/>
      </c>
      <c r="T71" s="57" t="str">
        <f aca="false">IF(2_Daily_input!T60="","",2_Daily_input!T60)</f>
        <v/>
      </c>
      <c r="U71" s="57" t="str">
        <f aca="false">IF(2_Daily_input!U60="","",2_Daily_input!U60)</f>
        <v/>
      </c>
      <c r="V71" s="57" t="str">
        <f aca="false">IF(2_Daily_input!V60="","",2_Daily_input!V60)</f>
        <v/>
      </c>
      <c r="W71" s="57" t="str">
        <f aca="false">IF(2_Daily_input!W60="","",2_Daily_input!W60)</f>
        <v/>
      </c>
      <c r="X71" s="57" t="str">
        <f aca="false">IF(2_Daily_input!X60="","",2_Daily_input!X60)</f>
        <v/>
      </c>
      <c r="Y71" s="57" t="str">
        <f aca="false">IF(2_Daily_input!Y60="","",2_Daily_input!Y60)</f>
        <v/>
      </c>
      <c r="Z71" s="57" t="str">
        <f aca="false">IF(2_Daily_input!Z60="","",2_Daily_input!Z60)</f>
        <v/>
      </c>
      <c r="AA71" s="57" t="str">
        <f aca="false">IF(2_Daily_input!AA60="","",2_Daily_input!AA60)</f>
        <v/>
      </c>
      <c r="AB71" s="57" t="str">
        <f aca="false">IF(2_Daily_input!AB60="","",2_Daily_input!AB60)</f>
        <v/>
      </c>
      <c r="AC71" s="57" t="str">
        <f aca="false">IF(2_Daily_input!AC60="","",2_Daily_input!AC60)</f>
        <v/>
      </c>
      <c r="AD71" s="57" t="str">
        <f aca="false">IF(2_Daily_input!AD60="","",2_Daily_input!AD60)</f>
        <v/>
      </c>
      <c r="AE71" s="57" t="str">
        <f aca="false">IF(2_Daily_input!AE60="","",2_Daily_input!AE60)</f>
        <v/>
      </c>
      <c r="AF71" s="57" t="str">
        <f aca="false">IF(2_Daily_input!AF60="","",2_Daily_input!AF60)</f>
        <v/>
      </c>
      <c r="AG71" s="57" t="str">
        <f aca="false">IF(2_Daily_input!AG60="","",2_Daily_input!AG60)</f>
        <v/>
      </c>
      <c r="AH71" s="57" t="str">
        <f aca="false">IF(2_Daily_input!AH60="","",2_Daily_input!AH60)</f>
        <v/>
      </c>
      <c r="AI71" s="57" t="str">
        <f aca="false">IF(2_Daily_input!AI60="","",2_Daily_input!AI60)</f>
        <v/>
      </c>
      <c r="AJ71" s="57" t="str">
        <f aca="false">IF(2_Daily_input!AJ60="","",2_Daily_input!AJ60)</f>
        <v/>
      </c>
      <c r="AK71" s="57" t="str">
        <f aca="false">IF(2_Daily_input!AK60="","",2_Daily_input!AK60)</f>
        <v/>
      </c>
      <c r="AL71" s="57" t="str">
        <f aca="false">IF(2_Daily_input!AL60="","",2_Daily_input!AL60)</f>
        <v/>
      </c>
      <c r="AM71" s="57" t="str">
        <f aca="false">IF(2_Daily_input!AM60="","",2_Daily_input!AM60)</f>
        <v/>
      </c>
      <c r="AN71" s="57" t="str">
        <f aca="false">IF(2_Daily_input!AN60="","",2_Daily_input!AN60)</f>
        <v/>
      </c>
      <c r="AO71" s="57" t="str">
        <f aca="false">IF(2_Daily_input!AO60="","",2_Daily_input!AO60)</f>
        <v/>
      </c>
      <c r="AP71" s="57" t="str">
        <f aca="false">IF(2_Daily_input!AP60="","",2_Daily_input!AP60)</f>
        <v/>
      </c>
      <c r="AQ71" s="57" t="str">
        <f aca="false">IF(2_Daily_input!AQ60="","",2_Daily_input!AQ60)</f>
        <v/>
      </c>
      <c r="AR71" s="57" t="str">
        <f aca="false">IF(2_Daily_input!AR60="","",2_Daily_input!AR60)</f>
        <v/>
      </c>
      <c r="AS71" s="57" t="str">
        <f aca="false">IF(2_Daily_input!AS60="","",2_Daily_input!AS60)</f>
        <v/>
      </c>
      <c r="AT71" s="57" t="str">
        <f aca="false">IF(2_Daily_input!AT60="","",2_Daily_input!AT60)</f>
        <v/>
      </c>
      <c r="AU71" s="57" t="str">
        <f aca="false">IF(2_Daily_input!AU60="","",2_Daily_input!AU60)</f>
        <v/>
      </c>
      <c r="AV71" s="57" t="str">
        <f aca="false">IF(2_Daily_input!AV60="","",2_Daily_input!AV60)</f>
        <v/>
      </c>
      <c r="AW71" s="57" t="str">
        <f aca="false">IF(2_Daily_input!AW60="","",2_Daily_input!AW60)</f>
        <v/>
      </c>
      <c r="AX71" s="57" t="str">
        <f aca="false">IF(2_Daily_input!AX60="","",2_Daily_input!AX60)</f>
        <v/>
      </c>
      <c r="AY71" s="57" t="str">
        <f aca="false">IF(2_Daily_input!AY60="","",2_Daily_input!AY60)</f>
        <v/>
      </c>
      <c r="AZ71" s="57" t="str">
        <f aca="false">IF(2_Daily_input!AZ60="","",2_Daily_input!AZ60)</f>
        <v/>
      </c>
      <c r="BA71" s="57" t="str">
        <f aca="false">IF(2_Daily_input!BA60="","",2_Daily_input!BA60)</f>
        <v/>
      </c>
      <c r="BB71" s="57" t="str">
        <f aca="false">IF(2_Daily_input!BB60="","",2_Daily_input!BB60)</f>
        <v/>
      </c>
      <c r="BC71" s="57" t="str">
        <f aca="false">IF(2_Daily_input!BC60="","",2_Daily_input!BC60)</f>
        <v/>
      </c>
      <c r="BD71" s="57" t="str">
        <f aca="false">IF(2_Daily_input!BD60="","",2_Daily_input!BD60)</f>
        <v/>
      </c>
      <c r="BE71" s="57" t="str">
        <f aca="false">IF(2_Daily_input!BE60="","",2_Daily_input!BE60)</f>
        <v/>
      </c>
      <c r="BF71" s="57" t="str">
        <f aca="false">IF(2_Daily_input!BF60="","",2_Daily_input!BF60)</f>
        <v/>
      </c>
      <c r="BG71" s="57" t="str">
        <f aca="false">IF(2_Daily_input!BG60="","",2_Daily_input!BG60)</f>
        <v/>
      </c>
      <c r="BH71" s="57" t="str">
        <f aca="false">IF(2_Daily_input!BH60="","",2_Daily_input!BH60)</f>
        <v/>
      </c>
      <c r="BI71" s="57" t="str">
        <f aca="false">IF(2_Daily_input!BI60="","",2_Daily_input!BI60)</f>
        <v/>
      </c>
      <c r="BJ71" s="57" t="str">
        <f aca="false">IF(2_Daily_input!BJ60="","",2_Daily_input!BJ60)</f>
        <v/>
      </c>
      <c r="BK71" s="57" t="str">
        <f aca="false">IF(2_Daily_input!BK60="","",2_Daily_input!BK60)</f>
        <v/>
      </c>
      <c r="BL71" s="57" t="str">
        <f aca="false">IF(2_Daily_input!BL60="","",2_Daily_input!BL60)</f>
        <v/>
      </c>
      <c r="BM71" s="57" t="str">
        <f aca="false">IF(2_Daily_input!BM60="","",2_Daily_input!BM60)</f>
        <v/>
      </c>
      <c r="BN71" s="57" t="str">
        <f aca="false">IF(2_Daily_input!BN60="","",2_Daily_input!BN60)</f>
        <v/>
      </c>
      <c r="BO71" s="57" t="str">
        <f aca="false">IF(2_Daily_input!BO60="","",2_Daily_input!BO60)</f>
        <v/>
      </c>
      <c r="BP71" s="57" t="str">
        <f aca="false">IF(2_Daily_input!BP60="","",2_Daily_input!BP60)</f>
        <v/>
      </c>
      <c r="BQ71" s="57" t="str">
        <f aca="false">IF(2_Daily_input!BQ60="","",2_Daily_input!BQ60)</f>
        <v/>
      </c>
      <c r="BR71" s="57" t="str">
        <f aca="false">IF(2_Daily_input!BR60="","",2_Daily_input!BR60)</f>
        <v/>
      </c>
      <c r="BS71" s="57" t="str">
        <f aca="false">IF(2_Daily_input!BS60="","",2_Daily_input!BS60)</f>
        <v/>
      </c>
      <c r="BT71" s="57" t="str">
        <f aca="false">IF(2_Daily_input!BT60="","",2_Daily_input!BT60)</f>
        <v/>
      </c>
      <c r="BU71" s="57" t="str">
        <f aca="false">IF(2_Daily_input!BU60="","",2_Daily_input!BU60)</f>
        <v/>
      </c>
      <c r="BV71" s="57" t="str">
        <f aca="false">IF(2_Daily_input!BV60="","",2_Daily_input!BV60)</f>
        <v/>
      </c>
      <c r="BW71" s="57" t="str">
        <f aca="false">IF(2_Daily_input!BW60="","",2_Daily_input!BW60)</f>
        <v/>
      </c>
      <c r="BX71" s="57" t="str">
        <f aca="false">IF(2_Daily_input!BX60="","",2_Daily_input!BX60)</f>
        <v/>
      </c>
      <c r="BY71" s="57" t="n">
        <f aca="false">IF(2_Daily_input!BY60="","",2_Daily_input!BY60)</f>
        <v>9</v>
      </c>
      <c r="BZ71" s="57" t="str">
        <f aca="false">IF(2_Daily_input!BZ60="","",2_Daily_input!BZ60)</f>
        <v/>
      </c>
      <c r="CA71" s="57" t="str">
        <f aca="false">IF(2_Daily_input!CA60="","",2_Daily_input!CA60)</f>
        <v/>
      </c>
      <c r="CB71" s="57" t="str">
        <f aca="false">IF(2_Daily_input!CB60="","",2_Daily_input!CB60)</f>
        <v/>
      </c>
      <c r="CC71" s="57" t="str">
        <f aca="false">IF(2_Daily_input!CC60="","",2_Daily_input!CC60)</f>
        <v/>
      </c>
      <c r="CD71" s="57" t="str">
        <f aca="false">IF(2_Daily_input!CD60="","",2_Daily_input!CD60)</f>
        <v/>
      </c>
      <c r="CE71" s="57" t="str">
        <f aca="false">IF(2_Daily_input!CE60="","",2_Daily_input!CE60)</f>
        <v/>
      </c>
      <c r="CF71" s="57" t="str">
        <f aca="false">IF(2_Daily_input!CF60="","",2_Daily_input!CF60)</f>
        <v/>
      </c>
      <c r="CG71" s="57" t="str">
        <f aca="false">IF(2_Daily_input!CG60="","",2_Daily_input!CG60)</f>
        <v/>
      </c>
      <c r="CH71" s="57" t="str">
        <f aca="false">IF(2_Daily_input!CH60="","",2_Daily_input!CH60)</f>
        <v/>
      </c>
      <c r="CI71" s="57" t="str">
        <f aca="false">IF(2_Daily_input!CI60="","",2_Daily_input!CI60)</f>
        <v/>
      </c>
      <c r="CJ71" s="57" t="str">
        <f aca="false">IF(2_Daily_input!CJ60="","",2_Daily_input!CJ60)</f>
        <v/>
      </c>
      <c r="CK71" s="57" t="str">
        <f aca="false">IF(2_Daily_input!CK60="","",2_Daily_input!CK60)</f>
        <v/>
      </c>
      <c r="CL71" s="57" t="str">
        <f aca="false">IF(2_Daily_input!CL60="","",2_Daily_input!CL60)</f>
        <v/>
      </c>
      <c r="CM71" s="57" t="str">
        <f aca="false">IF(2_Daily_input!CM60="","",2_Daily_input!CM60)</f>
        <v/>
      </c>
      <c r="CN71" s="57" t="n">
        <f aca="false">IF(2_Daily_input!CN60="","",2_Daily_input!CN60)</f>
        <v>13</v>
      </c>
      <c r="CO71" s="57" t="str">
        <f aca="false">IF(2_Daily_input!CO60="","",2_Daily_input!CO60)</f>
        <v/>
      </c>
      <c r="CP71" s="57" t="str">
        <f aca="false">IF(2_Daily_input!CP60="","",2_Daily_input!CP60)</f>
        <v/>
      </c>
      <c r="CQ71" s="57" t="str">
        <f aca="false">IF(2_Daily_input!CQ60="","",2_Daily_input!CQ60)</f>
        <v/>
      </c>
      <c r="CR71" s="57" t="str">
        <f aca="false">IF(2_Daily_input!CR60="","",2_Daily_input!CR60)</f>
        <v/>
      </c>
      <c r="CS71" s="57" t="str">
        <f aca="false">IF(2_Daily_input!CS60="","",2_Daily_input!CS60)</f>
        <v/>
      </c>
      <c r="CT71" s="57" t="str">
        <f aca="false">IF(2_Daily_input!CT60="","",2_Daily_input!CT60)</f>
        <v/>
      </c>
      <c r="CU71" s="57" t="str">
        <f aca="false">IF(2_Daily_input!CU60="","",2_Daily_input!CU60)</f>
        <v/>
      </c>
      <c r="CV71" s="57" t="str">
        <f aca="false">IF(2_Daily_input!CV60="","",2_Daily_input!CV60)</f>
        <v/>
      </c>
      <c r="CW71" s="57" t="str">
        <f aca="false">IF(2_Daily_input!CW60="","",2_Daily_input!CW60)</f>
        <v/>
      </c>
      <c r="CX71" s="57" t="str">
        <f aca="false">IF(2_Daily_input!CX60="","",2_Daily_input!CX60)</f>
        <v/>
      </c>
      <c r="CY71" s="57" t="str">
        <f aca="false">IF(2_Daily_input!CY60="","",2_Daily_input!CY60)</f>
        <v/>
      </c>
      <c r="CZ71" s="57" t="str">
        <f aca="false">IF(2_Daily_input!CZ60="","",2_Daily_input!CZ60)</f>
        <v/>
      </c>
      <c r="DA71" s="57" t="str">
        <f aca="false">IF(2_Daily_input!DA60="","",2_Daily_input!DA60)</f>
        <v/>
      </c>
      <c r="DB71" s="57" t="str">
        <f aca="false">IF(2_Daily_input!DB60="","",2_Daily_input!DB60)</f>
        <v/>
      </c>
      <c r="DC71" s="57" t="n">
        <f aca="false">IF(2_Daily_input!DC60="","",2_Daily_input!DC60)</f>
        <v>21</v>
      </c>
      <c r="DD71" s="57" t="str">
        <f aca="false">IF(2_Daily_input!DD60="","",2_Daily_input!DD60)</f>
        <v/>
      </c>
      <c r="DE71" s="57" t="str">
        <f aca="false">IF(2_Daily_input!DE60="","",2_Daily_input!DE60)</f>
        <v/>
      </c>
      <c r="DF71" s="57" t="str">
        <f aca="false">IF(2_Daily_input!DF60="","",2_Daily_input!DF60)</f>
        <v/>
      </c>
      <c r="DG71" s="57" t="str">
        <f aca="false">IF(2_Daily_input!DG60="","",2_Daily_input!DG60)</f>
        <v/>
      </c>
      <c r="DH71" s="57" t="str">
        <f aca="false">IF(2_Daily_input!DH60="","",2_Daily_input!DH60)</f>
        <v/>
      </c>
      <c r="DI71" s="57" t="str">
        <f aca="false">IF(2_Daily_input!DI60="","",2_Daily_input!DI60)</f>
        <v/>
      </c>
      <c r="DJ71" s="57" t="str">
        <f aca="false">IF(2_Daily_input!DJ60="","",2_Daily_input!DJ60)</f>
        <v/>
      </c>
      <c r="DK71" s="57" t="str">
        <f aca="false">IF(2_Daily_input!DK60="","",2_Daily_input!DK60)</f>
        <v/>
      </c>
      <c r="DL71" s="57" t="str">
        <f aca="false">IF(2_Daily_input!DL60="","",2_Daily_input!DL60)</f>
        <v/>
      </c>
      <c r="DM71" s="57" t="str">
        <f aca="false">IF(2_Daily_input!DM60="","",2_Daily_input!DM60)</f>
        <v/>
      </c>
      <c r="DN71" s="57" t="str">
        <f aca="false">IF(2_Daily_input!DN60="","",2_Daily_input!DN60)</f>
        <v/>
      </c>
      <c r="DO71" s="57" t="str">
        <f aca="false">IF(2_Daily_input!DO60="","",2_Daily_input!DO60)</f>
        <v/>
      </c>
      <c r="DP71" s="57" t="str">
        <f aca="false">IF(2_Daily_input!DP60="","",2_Daily_input!DP60)</f>
        <v/>
      </c>
      <c r="DQ71" s="57" t="str">
        <f aca="false">IF(2_Daily_input!DQ60="","",2_Daily_input!DQ60)</f>
        <v/>
      </c>
      <c r="DR71" s="57" t="n">
        <f aca="false">IF(2_Daily_input!DR60="","",2_Daily_input!DR60)</f>
        <v>20</v>
      </c>
      <c r="DS71" s="57" t="str">
        <f aca="false">IF(2_Daily_input!DS60="","",2_Daily_input!DS60)</f>
        <v/>
      </c>
      <c r="DT71" s="57" t="str">
        <f aca="false">IF(2_Daily_input!DT60="","",2_Daily_input!DT60)</f>
        <v/>
      </c>
      <c r="DU71" s="57" t="str">
        <f aca="false">IF(2_Daily_input!DU60="","",2_Daily_input!DU60)</f>
        <v/>
      </c>
      <c r="DV71" s="57" t="str">
        <f aca="false">IF(2_Daily_input!DV60="","",2_Daily_input!DV60)</f>
        <v/>
      </c>
      <c r="DW71" s="57" t="str">
        <f aca="false">IF(2_Daily_input!DW60="","",2_Daily_input!DW60)</f>
        <v/>
      </c>
      <c r="DX71" s="57" t="str">
        <f aca="false">IF(2_Daily_input!DX60="","",2_Daily_input!DX60)</f>
        <v/>
      </c>
      <c r="DY71" s="57" t="str">
        <f aca="false">IF(2_Daily_input!DY60="","",2_Daily_input!DY60)</f>
        <v/>
      </c>
      <c r="DZ71" s="57" t="str">
        <f aca="false">IF(2_Daily_input!DZ60="","",2_Daily_input!DZ60)</f>
        <v/>
      </c>
      <c r="EA71" s="57" t="str">
        <f aca="false">IF(2_Daily_input!EA60="","",2_Daily_input!EA60)</f>
        <v/>
      </c>
      <c r="EB71" s="57" t="str">
        <f aca="false">IF(2_Daily_input!EB60="","",2_Daily_input!EB60)</f>
        <v/>
      </c>
      <c r="EC71" s="57" t="str">
        <f aca="false">IF(2_Daily_input!EC60="","",2_Daily_input!EC60)</f>
        <v/>
      </c>
      <c r="ED71" s="57" t="str">
        <f aca="false">IF(2_Daily_input!ED60="","",2_Daily_input!ED60)</f>
        <v/>
      </c>
      <c r="EE71" s="57" t="str">
        <f aca="false">IF(2_Daily_input!EE60="","",2_Daily_input!EE60)</f>
        <v/>
      </c>
      <c r="EF71" s="57" t="str">
        <f aca="false">IF(2_Daily_input!EF60="","",2_Daily_input!EF60)</f>
        <v/>
      </c>
      <c r="EG71" s="57" t="str">
        <f aca="false">IF(2_Daily_input!EG60="","",2_Daily_input!EG60)</f>
        <v/>
      </c>
      <c r="EH71" s="57" t="str">
        <f aca="false">IF(2_Daily_input!EH60="","",2_Daily_input!EH60)</f>
        <v/>
      </c>
      <c r="EI71" s="57" t="str">
        <f aca="false">IF(2_Daily_input!EI60="","",2_Daily_input!EI60)</f>
        <v/>
      </c>
      <c r="EJ71" s="57" t="str">
        <f aca="false">IF(2_Daily_input!EJ60="","",2_Daily_input!EJ60)</f>
        <v/>
      </c>
      <c r="EK71" s="57" t="str">
        <f aca="false">IF(2_Daily_input!EK60="","",2_Daily_input!EK60)</f>
        <v/>
      </c>
      <c r="EL71" s="57" t="str">
        <f aca="false">IF(2_Daily_input!EL60="","",2_Daily_input!EL60)</f>
        <v/>
      </c>
      <c r="EM71" s="57" t="str">
        <f aca="false">IF(2_Daily_input!EM60="","",2_Daily_input!EM60)</f>
        <v/>
      </c>
      <c r="EN71" s="57" t="str">
        <f aca="false">IF(2_Daily_input!EN60="","",2_Daily_input!EN60)</f>
        <v/>
      </c>
      <c r="EO71" s="57" t="str">
        <f aca="false">IF(2_Daily_input!EO60="","",2_Daily_input!EO60)</f>
        <v/>
      </c>
      <c r="EP71" s="57" t="str">
        <f aca="false">IF(2_Daily_input!EP60="","",2_Daily_input!EP60)</f>
        <v/>
      </c>
      <c r="EQ71" s="57" t="str">
        <f aca="false">IF(2_Daily_input!EQ60="","",2_Daily_input!EQ60)</f>
        <v/>
      </c>
      <c r="ER71" s="57" t="str">
        <f aca="false">IF(2_Daily_input!ER60="","",2_Daily_input!ER60)</f>
        <v/>
      </c>
      <c r="ES71" s="57" t="str">
        <f aca="false">IF(2_Daily_input!ES60="","",2_Daily_input!ES60)</f>
        <v/>
      </c>
      <c r="ET71" s="57" t="str">
        <f aca="false">IF(2_Daily_input!ET60="","",2_Daily_input!ET60)</f>
        <v/>
      </c>
      <c r="EU71" s="57" t="str">
        <f aca="false">IF(2_Daily_input!EU60="","",2_Daily_input!EU60)</f>
        <v/>
      </c>
      <c r="EV71" s="57" t="str">
        <f aca="false">IF(2_Daily_input!EV60="","",2_Daily_input!EV60)</f>
        <v/>
      </c>
      <c r="EW71" s="57" t="str">
        <f aca="false">IF(2_Daily_input!EW60="","",2_Daily_input!EW60)</f>
        <v/>
      </c>
      <c r="EX71" s="57" t="str">
        <f aca="false">IF(2_Daily_input!EX60="","",2_Daily_input!EX60)</f>
        <v/>
      </c>
      <c r="EY71" s="57" t="str">
        <f aca="false">IF(2_Daily_input!EY60="","",2_Daily_input!EY60)</f>
        <v/>
      </c>
      <c r="EZ71" s="57" t="str">
        <f aca="false">IF(2_Daily_input!EZ60="","",2_Daily_input!EZ60)</f>
        <v/>
      </c>
      <c r="FA71" s="57" t="str">
        <f aca="false">IF(2_Daily_input!FA60="","",2_Daily_input!FA60)</f>
        <v/>
      </c>
      <c r="FB71" s="57" t="str">
        <f aca="false">IF(2_Daily_input!FB60="","",2_Daily_input!FB60)</f>
        <v/>
      </c>
      <c r="FC71" s="57" t="str">
        <f aca="false">IF(2_Daily_input!FC60="","",2_Daily_input!FC60)</f>
        <v/>
      </c>
      <c r="FD71" s="57" t="str">
        <f aca="false">IF(2_Daily_input!FD60="","",2_Daily_input!FD60)</f>
        <v/>
      </c>
      <c r="FE71" s="57" t="str">
        <f aca="false">IF(2_Daily_input!FE60="","",2_Daily_input!FE60)</f>
        <v/>
      </c>
      <c r="FF71" s="57" t="str">
        <f aca="false">IF(2_Daily_input!FF60="","",2_Daily_input!FF60)</f>
        <v/>
      </c>
      <c r="FG71" s="57" t="str">
        <f aca="false">IF(2_Daily_input!FG60="","",2_Daily_input!FG60)</f>
        <v/>
      </c>
      <c r="FH71" s="57" t="str">
        <f aca="false">IF(2_Daily_input!FH60="","",2_Daily_input!FH60)</f>
        <v/>
      </c>
      <c r="FI71" s="57" t="str">
        <f aca="false">IF(2_Daily_input!FI60="","",2_Daily_input!FI60)</f>
        <v/>
      </c>
      <c r="FJ71" s="57" t="str">
        <f aca="false">IF(2_Daily_input!FJ60="","",2_Daily_input!FJ60)</f>
        <v/>
      </c>
      <c r="FK71" s="57" t="str">
        <f aca="false">IF(2_Daily_input!FK60="","",2_Daily_input!FK60)</f>
        <v/>
      </c>
      <c r="FL71" s="57" t="str">
        <f aca="false">IF(2_Daily_input!FL60="","",2_Daily_input!FL60)</f>
        <v/>
      </c>
      <c r="FM71" s="57" t="str">
        <f aca="false">IF(2_Daily_input!FM60="","",2_Daily_input!FM60)</f>
        <v/>
      </c>
      <c r="FN71" s="57" t="str">
        <f aca="false">IF(2_Daily_input!FN60="","",2_Daily_input!FN60)</f>
        <v/>
      </c>
      <c r="FO71" s="57" t="str">
        <f aca="false">IF(2_Daily_input!FO60="","",2_Daily_input!FO60)</f>
        <v/>
      </c>
      <c r="FP71" s="57" t="str">
        <f aca="false">IF(2_Daily_input!FP60="","",2_Daily_input!FP60)</f>
        <v/>
      </c>
      <c r="FQ71" s="57" t="str">
        <f aca="false">IF(2_Daily_input!FQ60="","",2_Daily_input!FQ60)</f>
        <v/>
      </c>
    </row>
    <row r="72" customFormat="false" ht="15" hidden="false" customHeight="false" outlineLevel="0" collapsed="false">
      <c r="A72" s="33" t="s">
        <v>83</v>
      </c>
      <c r="B72" s="33" t="s">
        <v>438</v>
      </c>
      <c r="D72" s="57" t="str">
        <f aca="false">IF(2_Daily_input!D61="","",2_Daily_input!D61)</f>
        <v/>
      </c>
      <c r="E72" s="57" t="str">
        <f aca="false">IF(2_Daily_input!E61="","",2_Daily_input!E61)</f>
        <v/>
      </c>
      <c r="F72" s="57" t="str">
        <f aca="false">IF(2_Daily_input!F61="","",2_Daily_input!F61)</f>
        <v/>
      </c>
      <c r="G72" s="57" t="str">
        <f aca="false">IF(2_Daily_input!G61="","",2_Daily_input!G61)</f>
        <v/>
      </c>
      <c r="H72" s="57" t="str">
        <f aca="false">IF(2_Daily_input!H61="","",2_Daily_input!H61)</f>
        <v/>
      </c>
      <c r="I72" s="57" t="str">
        <f aca="false">IF(2_Daily_input!I61="","",2_Daily_input!I61)</f>
        <v/>
      </c>
      <c r="J72" s="57" t="str">
        <f aca="false">IF(2_Daily_input!J61="","",2_Daily_input!J61)</f>
        <v/>
      </c>
      <c r="K72" s="57" t="str">
        <f aca="false">IF(2_Daily_input!K61="","",2_Daily_input!K61)</f>
        <v/>
      </c>
      <c r="L72" s="57" t="str">
        <f aca="false">IF(2_Daily_input!L61="","",2_Daily_input!L61)</f>
        <v/>
      </c>
      <c r="M72" s="57" t="str">
        <f aca="false">IF(2_Daily_input!M61="","",2_Daily_input!M61)</f>
        <v/>
      </c>
      <c r="N72" s="57" t="str">
        <f aca="false">IF(2_Daily_input!N61="","",2_Daily_input!N61)</f>
        <v/>
      </c>
      <c r="O72" s="57" t="str">
        <f aca="false">IF(2_Daily_input!O61="","",2_Daily_input!O61)</f>
        <v/>
      </c>
      <c r="P72" s="57" t="str">
        <f aca="false">IF(2_Daily_input!P61="","",2_Daily_input!P61)</f>
        <v/>
      </c>
      <c r="Q72" s="57" t="str">
        <f aca="false">IF(2_Daily_input!Q61="","",2_Daily_input!Q61)</f>
        <v/>
      </c>
      <c r="R72" s="57" t="str">
        <f aca="false">IF(2_Daily_input!R61="","",2_Daily_input!R61)</f>
        <v/>
      </c>
      <c r="S72" s="57" t="str">
        <f aca="false">IF(2_Daily_input!S61="","",2_Daily_input!S61)</f>
        <v/>
      </c>
      <c r="T72" s="57" t="str">
        <f aca="false">IF(2_Daily_input!T61="","",2_Daily_input!T61)</f>
        <v/>
      </c>
      <c r="U72" s="57" t="str">
        <f aca="false">IF(2_Daily_input!U61="","",2_Daily_input!U61)</f>
        <v/>
      </c>
      <c r="V72" s="57" t="str">
        <f aca="false">IF(2_Daily_input!V61="","",2_Daily_input!V61)</f>
        <v/>
      </c>
      <c r="W72" s="57" t="str">
        <f aca="false">IF(2_Daily_input!W61="","",2_Daily_input!W61)</f>
        <v/>
      </c>
      <c r="X72" s="57" t="str">
        <f aca="false">IF(2_Daily_input!X61="","",2_Daily_input!X61)</f>
        <v/>
      </c>
      <c r="Y72" s="57" t="str">
        <f aca="false">IF(2_Daily_input!Y61="","",2_Daily_input!Y61)</f>
        <v/>
      </c>
      <c r="Z72" s="57" t="str">
        <f aca="false">IF(2_Daily_input!Z61="","",2_Daily_input!Z61)</f>
        <v/>
      </c>
      <c r="AA72" s="57" t="str">
        <f aca="false">IF(2_Daily_input!AA61="","",2_Daily_input!AA61)</f>
        <v/>
      </c>
      <c r="AB72" s="57" t="str">
        <f aca="false">IF(2_Daily_input!AB61="","",2_Daily_input!AB61)</f>
        <v/>
      </c>
      <c r="AC72" s="57" t="str">
        <f aca="false">IF(2_Daily_input!AC61="","",2_Daily_input!AC61)</f>
        <v/>
      </c>
      <c r="AD72" s="57" t="str">
        <f aca="false">IF(2_Daily_input!AD61="","",2_Daily_input!AD61)</f>
        <v/>
      </c>
      <c r="AE72" s="57" t="str">
        <f aca="false">IF(2_Daily_input!AE61="","",2_Daily_input!AE61)</f>
        <v/>
      </c>
      <c r="AF72" s="57" t="str">
        <f aca="false">IF(2_Daily_input!AF61="","",2_Daily_input!AF61)</f>
        <v/>
      </c>
      <c r="AG72" s="57" t="str">
        <f aca="false">IF(2_Daily_input!AG61="","",2_Daily_input!AG61)</f>
        <v/>
      </c>
      <c r="AH72" s="57" t="str">
        <f aca="false">IF(2_Daily_input!AH61="","",2_Daily_input!AH61)</f>
        <v/>
      </c>
      <c r="AI72" s="57" t="str">
        <f aca="false">IF(2_Daily_input!AI61="","",2_Daily_input!AI61)</f>
        <v/>
      </c>
      <c r="AJ72" s="57" t="str">
        <f aca="false">IF(2_Daily_input!AJ61="","",2_Daily_input!AJ61)</f>
        <v/>
      </c>
      <c r="AK72" s="57" t="str">
        <f aca="false">IF(2_Daily_input!AK61="","",2_Daily_input!AK61)</f>
        <v/>
      </c>
      <c r="AL72" s="57" t="str">
        <f aca="false">IF(2_Daily_input!AL61="","",2_Daily_input!AL61)</f>
        <v/>
      </c>
      <c r="AM72" s="57" t="str">
        <f aca="false">IF(2_Daily_input!AM61="","",2_Daily_input!AM61)</f>
        <v/>
      </c>
      <c r="AN72" s="57" t="str">
        <f aca="false">IF(2_Daily_input!AN61="","",2_Daily_input!AN61)</f>
        <v/>
      </c>
      <c r="AO72" s="57" t="str">
        <f aca="false">IF(2_Daily_input!AO61="","",2_Daily_input!AO61)</f>
        <v/>
      </c>
      <c r="AP72" s="57" t="str">
        <f aca="false">IF(2_Daily_input!AP61="","",2_Daily_input!AP61)</f>
        <v/>
      </c>
      <c r="AQ72" s="57" t="str">
        <f aca="false">IF(2_Daily_input!AQ61="","",2_Daily_input!AQ61)</f>
        <v/>
      </c>
      <c r="AR72" s="57" t="str">
        <f aca="false">IF(2_Daily_input!AR61="","",2_Daily_input!AR61)</f>
        <v/>
      </c>
      <c r="AS72" s="57" t="str">
        <f aca="false">IF(2_Daily_input!AS61="","",2_Daily_input!AS61)</f>
        <v/>
      </c>
      <c r="AT72" s="57" t="str">
        <f aca="false">IF(2_Daily_input!AT61="","",2_Daily_input!AT61)</f>
        <v/>
      </c>
      <c r="AU72" s="57" t="str">
        <f aca="false">IF(2_Daily_input!AU61="","",2_Daily_input!AU61)</f>
        <v/>
      </c>
      <c r="AV72" s="57" t="str">
        <f aca="false">IF(2_Daily_input!AV61="","",2_Daily_input!AV61)</f>
        <v/>
      </c>
      <c r="AW72" s="57" t="str">
        <f aca="false">IF(2_Daily_input!AW61="","",2_Daily_input!AW61)</f>
        <v/>
      </c>
      <c r="AX72" s="57" t="str">
        <f aca="false">IF(2_Daily_input!AX61="","",2_Daily_input!AX61)</f>
        <v/>
      </c>
      <c r="AY72" s="57" t="str">
        <f aca="false">IF(2_Daily_input!AY61="","",2_Daily_input!AY61)</f>
        <v/>
      </c>
      <c r="AZ72" s="57" t="str">
        <f aca="false">IF(2_Daily_input!AZ61="","",2_Daily_input!AZ61)</f>
        <v/>
      </c>
      <c r="BA72" s="57" t="str">
        <f aca="false">IF(2_Daily_input!BA61="","",2_Daily_input!BA61)</f>
        <v/>
      </c>
      <c r="BB72" s="57" t="str">
        <f aca="false">IF(2_Daily_input!BB61="","",2_Daily_input!BB61)</f>
        <v/>
      </c>
      <c r="BC72" s="57" t="str">
        <f aca="false">IF(2_Daily_input!BC61="","",2_Daily_input!BC61)</f>
        <v/>
      </c>
      <c r="BD72" s="57" t="str">
        <f aca="false">IF(2_Daily_input!BD61="","",2_Daily_input!BD61)</f>
        <v/>
      </c>
      <c r="BE72" s="57" t="str">
        <f aca="false">IF(2_Daily_input!BE61="","",2_Daily_input!BE61)</f>
        <v/>
      </c>
      <c r="BF72" s="57" t="str">
        <f aca="false">IF(2_Daily_input!BF61="","",2_Daily_input!BF61)</f>
        <v/>
      </c>
      <c r="BG72" s="57" t="str">
        <f aca="false">IF(2_Daily_input!BG61="","",2_Daily_input!BG61)</f>
        <v/>
      </c>
      <c r="BH72" s="57" t="str">
        <f aca="false">IF(2_Daily_input!BH61="","",2_Daily_input!BH61)</f>
        <v/>
      </c>
      <c r="BI72" s="57" t="str">
        <f aca="false">IF(2_Daily_input!BI61="","",2_Daily_input!BI61)</f>
        <v/>
      </c>
      <c r="BJ72" s="57" t="str">
        <f aca="false">IF(2_Daily_input!BJ61="","",2_Daily_input!BJ61)</f>
        <v/>
      </c>
      <c r="BK72" s="57" t="str">
        <f aca="false">IF(2_Daily_input!BK61="","",2_Daily_input!BK61)</f>
        <v/>
      </c>
      <c r="BL72" s="57" t="str">
        <f aca="false">IF(2_Daily_input!BL61="","",2_Daily_input!BL61)</f>
        <v/>
      </c>
      <c r="BM72" s="57" t="str">
        <f aca="false">IF(2_Daily_input!BM61="","",2_Daily_input!BM61)</f>
        <v/>
      </c>
      <c r="BN72" s="57" t="str">
        <f aca="false">IF(2_Daily_input!BN61="","",2_Daily_input!BN61)</f>
        <v/>
      </c>
      <c r="BO72" s="57" t="str">
        <f aca="false">IF(2_Daily_input!BO61="","",2_Daily_input!BO61)</f>
        <v/>
      </c>
      <c r="BP72" s="57" t="str">
        <f aca="false">IF(2_Daily_input!BP61="","",2_Daily_input!BP61)</f>
        <v/>
      </c>
      <c r="BQ72" s="57" t="str">
        <f aca="false">IF(2_Daily_input!BQ61="","",2_Daily_input!BQ61)</f>
        <v/>
      </c>
      <c r="BR72" s="57" t="str">
        <f aca="false">IF(2_Daily_input!BR61="","",2_Daily_input!BR61)</f>
        <v/>
      </c>
      <c r="BS72" s="57" t="str">
        <f aca="false">IF(2_Daily_input!BS61="","",2_Daily_input!BS61)</f>
        <v/>
      </c>
      <c r="BT72" s="57" t="str">
        <f aca="false">IF(2_Daily_input!BT61="","",2_Daily_input!BT61)</f>
        <v/>
      </c>
      <c r="BU72" s="57" t="str">
        <f aca="false">IF(2_Daily_input!BU61="","",2_Daily_input!BU61)</f>
        <v/>
      </c>
      <c r="BV72" s="57" t="str">
        <f aca="false">IF(2_Daily_input!BV61="","",2_Daily_input!BV61)</f>
        <v/>
      </c>
      <c r="BW72" s="57" t="str">
        <f aca="false">IF(2_Daily_input!BW61="","",2_Daily_input!BW61)</f>
        <v/>
      </c>
      <c r="BX72" s="57" t="str">
        <f aca="false">IF(2_Daily_input!BX61="","",2_Daily_input!BX61)</f>
        <v/>
      </c>
      <c r="BY72" s="57" t="n">
        <f aca="false">IF(2_Daily_input!BY61="","",2_Daily_input!BY61)</f>
        <v>7</v>
      </c>
      <c r="BZ72" s="57" t="str">
        <f aca="false">IF(2_Daily_input!BZ61="","",2_Daily_input!BZ61)</f>
        <v/>
      </c>
      <c r="CA72" s="57" t="str">
        <f aca="false">IF(2_Daily_input!CA61="","",2_Daily_input!CA61)</f>
        <v/>
      </c>
      <c r="CB72" s="57" t="str">
        <f aca="false">IF(2_Daily_input!CB61="","",2_Daily_input!CB61)</f>
        <v/>
      </c>
      <c r="CC72" s="57" t="str">
        <f aca="false">IF(2_Daily_input!CC61="","",2_Daily_input!CC61)</f>
        <v/>
      </c>
      <c r="CD72" s="57" t="str">
        <f aca="false">IF(2_Daily_input!CD61="","",2_Daily_input!CD61)</f>
        <v/>
      </c>
      <c r="CE72" s="57" t="str">
        <f aca="false">IF(2_Daily_input!CE61="","",2_Daily_input!CE61)</f>
        <v/>
      </c>
      <c r="CF72" s="57" t="str">
        <f aca="false">IF(2_Daily_input!CF61="","",2_Daily_input!CF61)</f>
        <v/>
      </c>
      <c r="CG72" s="57" t="str">
        <f aca="false">IF(2_Daily_input!CG61="","",2_Daily_input!CG61)</f>
        <v/>
      </c>
      <c r="CH72" s="57" t="str">
        <f aca="false">IF(2_Daily_input!CH61="","",2_Daily_input!CH61)</f>
        <v/>
      </c>
      <c r="CI72" s="57" t="str">
        <f aca="false">IF(2_Daily_input!CI61="","",2_Daily_input!CI61)</f>
        <v/>
      </c>
      <c r="CJ72" s="57" t="str">
        <f aca="false">IF(2_Daily_input!CJ61="","",2_Daily_input!CJ61)</f>
        <v/>
      </c>
      <c r="CK72" s="57" t="str">
        <f aca="false">IF(2_Daily_input!CK61="","",2_Daily_input!CK61)</f>
        <v/>
      </c>
      <c r="CL72" s="57" t="str">
        <f aca="false">IF(2_Daily_input!CL61="","",2_Daily_input!CL61)</f>
        <v/>
      </c>
      <c r="CM72" s="57" t="str">
        <f aca="false">IF(2_Daily_input!CM61="","",2_Daily_input!CM61)</f>
        <v/>
      </c>
      <c r="CN72" s="57" t="n">
        <f aca="false">IF(2_Daily_input!CN61="","",2_Daily_input!CN61)</f>
        <v>14</v>
      </c>
      <c r="CO72" s="57" t="str">
        <f aca="false">IF(2_Daily_input!CO61="","",2_Daily_input!CO61)</f>
        <v/>
      </c>
      <c r="CP72" s="57" t="str">
        <f aca="false">IF(2_Daily_input!CP61="","",2_Daily_input!CP61)</f>
        <v/>
      </c>
      <c r="CQ72" s="57" t="str">
        <f aca="false">IF(2_Daily_input!CQ61="","",2_Daily_input!CQ61)</f>
        <v/>
      </c>
      <c r="CR72" s="57" t="str">
        <f aca="false">IF(2_Daily_input!CR61="","",2_Daily_input!CR61)</f>
        <v/>
      </c>
      <c r="CS72" s="57" t="str">
        <f aca="false">IF(2_Daily_input!CS61="","",2_Daily_input!CS61)</f>
        <v/>
      </c>
      <c r="CT72" s="57" t="str">
        <f aca="false">IF(2_Daily_input!CT61="","",2_Daily_input!CT61)</f>
        <v/>
      </c>
      <c r="CU72" s="57" t="str">
        <f aca="false">IF(2_Daily_input!CU61="","",2_Daily_input!CU61)</f>
        <v/>
      </c>
      <c r="CV72" s="57" t="str">
        <f aca="false">IF(2_Daily_input!CV61="","",2_Daily_input!CV61)</f>
        <v/>
      </c>
      <c r="CW72" s="57" t="str">
        <f aca="false">IF(2_Daily_input!CW61="","",2_Daily_input!CW61)</f>
        <v/>
      </c>
      <c r="CX72" s="57" t="str">
        <f aca="false">IF(2_Daily_input!CX61="","",2_Daily_input!CX61)</f>
        <v/>
      </c>
      <c r="CY72" s="57" t="str">
        <f aca="false">IF(2_Daily_input!CY61="","",2_Daily_input!CY61)</f>
        <v/>
      </c>
      <c r="CZ72" s="57" t="str">
        <f aca="false">IF(2_Daily_input!CZ61="","",2_Daily_input!CZ61)</f>
        <v/>
      </c>
      <c r="DA72" s="57" t="str">
        <f aca="false">IF(2_Daily_input!DA61="","",2_Daily_input!DA61)</f>
        <v/>
      </c>
      <c r="DB72" s="57" t="str">
        <f aca="false">IF(2_Daily_input!DB61="","",2_Daily_input!DB61)</f>
        <v/>
      </c>
      <c r="DC72" s="57" t="n">
        <f aca="false">IF(2_Daily_input!DC61="","",2_Daily_input!DC61)</f>
        <v>23</v>
      </c>
      <c r="DD72" s="57" t="str">
        <f aca="false">IF(2_Daily_input!DD61="","",2_Daily_input!DD61)</f>
        <v/>
      </c>
      <c r="DE72" s="57" t="str">
        <f aca="false">IF(2_Daily_input!DE61="","",2_Daily_input!DE61)</f>
        <v/>
      </c>
      <c r="DF72" s="57" t="str">
        <f aca="false">IF(2_Daily_input!DF61="","",2_Daily_input!DF61)</f>
        <v/>
      </c>
      <c r="DG72" s="57" t="str">
        <f aca="false">IF(2_Daily_input!DG61="","",2_Daily_input!DG61)</f>
        <v/>
      </c>
      <c r="DH72" s="57" t="str">
        <f aca="false">IF(2_Daily_input!DH61="","",2_Daily_input!DH61)</f>
        <v/>
      </c>
      <c r="DI72" s="57" t="str">
        <f aca="false">IF(2_Daily_input!DI61="","",2_Daily_input!DI61)</f>
        <v/>
      </c>
      <c r="DJ72" s="57" t="str">
        <f aca="false">IF(2_Daily_input!DJ61="","",2_Daily_input!DJ61)</f>
        <v/>
      </c>
      <c r="DK72" s="57" t="str">
        <f aca="false">IF(2_Daily_input!DK61="","",2_Daily_input!DK61)</f>
        <v/>
      </c>
      <c r="DL72" s="57" t="str">
        <f aca="false">IF(2_Daily_input!DL61="","",2_Daily_input!DL61)</f>
        <v/>
      </c>
      <c r="DM72" s="57" t="str">
        <f aca="false">IF(2_Daily_input!DM61="","",2_Daily_input!DM61)</f>
        <v/>
      </c>
      <c r="DN72" s="57" t="str">
        <f aca="false">IF(2_Daily_input!DN61="","",2_Daily_input!DN61)</f>
        <v/>
      </c>
      <c r="DO72" s="57" t="str">
        <f aca="false">IF(2_Daily_input!DO61="","",2_Daily_input!DO61)</f>
        <v/>
      </c>
      <c r="DP72" s="57" t="str">
        <f aca="false">IF(2_Daily_input!DP61="","",2_Daily_input!DP61)</f>
        <v/>
      </c>
      <c r="DQ72" s="57" t="str">
        <f aca="false">IF(2_Daily_input!DQ61="","",2_Daily_input!DQ61)</f>
        <v/>
      </c>
      <c r="DR72" s="57" t="n">
        <f aca="false">IF(2_Daily_input!DR61="","",2_Daily_input!DR61)</f>
        <v>23</v>
      </c>
      <c r="DS72" s="57" t="str">
        <f aca="false">IF(2_Daily_input!DS61="","",2_Daily_input!DS61)</f>
        <v/>
      </c>
      <c r="DT72" s="57" t="str">
        <f aca="false">IF(2_Daily_input!DT61="","",2_Daily_input!DT61)</f>
        <v/>
      </c>
      <c r="DU72" s="57" t="str">
        <f aca="false">IF(2_Daily_input!DU61="","",2_Daily_input!DU61)</f>
        <v/>
      </c>
      <c r="DV72" s="57" t="str">
        <f aca="false">IF(2_Daily_input!DV61="","",2_Daily_input!DV61)</f>
        <v/>
      </c>
      <c r="DW72" s="57" t="str">
        <f aca="false">IF(2_Daily_input!DW61="","",2_Daily_input!DW61)</f>
        <v/>
      </c>
      <c r="DX72" s="57" t="str">
        <f aca="false">IF(2_Daily_input!DX61="","",2_Daily_input!DX61)</f>
        <v/>
      </c>
      <c r="DY72" s="57" t="str">
        <f aca="false">IF(2_Daily_input!DY61="","",2_Daily_input!DY61)</f>
        <v/>
      </c>
      <c r="DZ72" s="57" t="str">
        <f aca="false">IF(2_Daily_input!DZ61="","",2_Daily_input!DZ61)</f>
        <v/>
      </c>
      <c r="EA72" s="57" t="str">
        <f aca="false">IF(2_Daily_input!EA61="","",2_Daily_input!EA61)</f>
        <v/>
      </c>
      <c r="EB72" s="57" t="str">
        <f aca="false">IF(2_Daily_input!EB61="","",2_Daily_input!EB61)</f>
        <v/>
      </c>
      <c r="EC72" s="57" t="str">
        <f aca="false">IF(2_Daily_input!EC61="","",2_Daily_input!EC61)</f>
        <v/>
      </c>
      <c r="ED72" s="57" t="str">
        <f aca="false">IF(2_Daily_input!ED61="","",2_Daily_input!ED61)</f>
        <v/>
      </c>
      <c r="EE72" s="57" t="str">
        <f aca="false">IF(2_Daily_input!EE61="","",2_Daily_input!EE61)</f>
        <v/>
      </c>
      <c r="EF72" s="57" t="str">
        <f aca="false">IF(2_Daily_input!EF61="","",2_Daily_input!EF61)</f>
        <v/>
      </c>
      <c r="EG72" s="57" t="str">
        <f aca="false">IF(2_Daily_input!EG61="","",2_Daily_input!EG61)</f>
        <v/>
      </c>
      <c r="EH72" s="57" t="str">
        <f aca="false">IF(2_Daily_input!EH61="","",2_Daily_input!EH61)</f>
        <v/>
      </c>
      <c r="EI72" s="57" t="str">
        <f aca="false">IF(2_Daily_input!EI61="","",2_Daily_input!EI61)</f>
        <v/>
      </c>
      <c r="EJ72" s="57" t="str">
        <f aca="false">IF(2_Daily_input!EJ61="","",2_Daily_input!EJ61)</f>
        <v/>
      </c>
      <c r="EK72" s="57" t="str">
        <f aca="false">IF(2_Daily_input!EK61="","",2_Daily_input!EK61)</f>
        <v/>
      </c>
      <c r="EL72" s="57" t="str">
        <f aca="false">IF(2_Daily_input!EL61="","",2_Daily_input!EL61)</f>
        <v/>
      </c>
      <c r="EM72" s="57" t="str">
        <f aca="false">IF(2_Daily_input!EM61="","",2_Daily_input!EM61)</f>
        <v/>
      </c>
      <c r="EN72" s="57" t="str">
        <f aca="false">IF(2_Daily_input!EN61="","",2_Daily_input!EN61)</f>
        <v/>
      </c>
      <c r="EO72" s="57" t="str">
        <f aca="false">IF(2_Daily_input!EO61="","",2_Daily_input!EO61)</f>
        <v/>
      </c>
      <c r="EP72" s="57" t="str">
        <f aca="false">IF(2_Daily_input!EP61="","",2_Daily_input!EP61)</f>
        <v/>
      </c>
      <c r="EQ72" s="57" t="str">
        <f aca="false">IF(2_Daily_input!EQ61="","",2_Daily_input!EQ61)</f>
        <v/>
      </c>
      <c r="ER72" s="57" t="str">
        <f aca="false">IF(2_Daily_input!ER61="","",2_Daily_input!ER61)</f>
        <v/>
      </c>
      <c r="ES72" s="57" t="str">
        <f aca="false">IF(2_Daily_input!ES61="","",2_Daily_input!ES61)</f>
        <v/>
      </c>
      <c r="ET72" s="57" t="str">
        <f aca="false">IF(2_Daily_input!ET61="","",2_Daily_input!ET61)</f>
        <v/>
      </c>
      <c r="EU72" s="57" t="str">
        <f aca="false">IF(2_Daily_input!EU61="","",2_Daily_input!EU61)</f>
        <v/>
      </c>
      <c r="EV72" s="57" t="str">
        <f aca="false">IF(2_Daily_input!EV61="","",2_Daily_input!EV61)</f>
        <v/>
      </c>
      <c r="EW72" s="57" t="str">
        <f aca="false">IF(2_Daily_input!EW61="","",2_Daily_input!EW61)</f>
        <v/>
      </c>
      <c r="EX72" s="57" t="str">
        <f aca="false">IF(2_Daily_input!EX61="","",2_Daily_input!EX61)</f>
        <v/>
      </c>
      <c r="EY72" s="57" t="str">
        <f aca="false">IF(2_Daily_input!EY61="","",2_Daily_input!EY61)</f>
        <v/>
      </c>
      <c r="EZ72" s="57" t="str">
        <f aca="false">IF(2_Daily_input!EZ61="","",2_Daily_input!EZ61)</f>
        <v/>
      </c>
      <c r="FA72" s="57" t="str">
        <f aca="false">IF(2_Daily_input!FA61="","",2_Daily_input!FA61)</f>
        <v/>
      </c>
      <c r="FB72" s="57" t="str">
        <f aca="false">IF(2_Daily_input!FB61="","",2_Daily_input!FB61)</f>
        <v/>
      </c>
      <c r="FC72" s="57" t="str">
        <f aca="false">IF(2_Daily_input!FC61="","",2_Daily_input!FC61)</f>
        <v/>
      </c>
      <c r="FD72" s="57" t="str">
        <f aca="false">IF(2_Daily_input!FD61="","",2_Daily_input!FD61)</f>
        <v/>
      </c>
      <c r="FE72" s="57" t="str">
        <f aca="false">IF(2_Daily_input!FE61="","",2_Daily_input!FE61)</f>
        <v/>
      </c>
      <c r="FF72" s="57" t="str">
        <f aca="false">IF(2_Daily_input!FF61="","",2_Daily_input!FF61)</f>
        <v/>
      </c>
      <c r="FG72" s="57" t="str">
        <f aca="false">IF(2_Daily_input!FG61="","",2_Daily_input!FG61)</f>
        <v/>
      </c>
      <c r="FH72" s="57" t="str">
        <f aca="false">IF(2_Daily_input!FH61="","",2_Daily_input!FH61)</f>
        <v/>
      </c>
      <c r="FI72" s="57" t="str">
        <f aca="false">IF(2_Daily_input!FI61="","",2_Daily_input!FI61)</f>
        <v/>
      </c>
      <c r="FJ72" s="57" t="str">
        <f aca="false">IF(2_Daily_input!FJ61="","",2_Daily_input!FJ61)</f>
        <v/>
      </c>
      <c r="FK72" s="57" t="str">
        <f aca="false">IF(2_Daily_input!FK61="","",2_Daily_input!FK61)</f>
        <v/>
      </c>
      <c r="FL72" s="57" t="str">
        <f aca="false">IF(2_Daily_input!FL61="","",2_Daily_input!FL61)</f>
        <v/>
      </c>
      <c r="FM72" s="57" t="str">
        <f aca="false">IF(2_Daily_input!FM61="","",2_Daily_input!FM61)</f>
        <v/>
      </c>
      <c r="FN72" s="57" t="str">
        <f aca="false">IF(2_Daily_input!FN61="","",2_Daily_input!FN61)</f>
        <v/>
      </c>
      <c r="FO72" s="57" t="str">
        <f aca="false">IF(2_Daily_input!FO61="","",2_Daily_input!FO61)</f>
        <v/>
      </c>
      <c r="FP72" s="57" t="str">
        <f aca="false">IF(2_Daily_input!FP61="","",2_Daily_input!FP61)</f>
        <v/>
      </c>
      <c r="FQ72" s="57" t="str">
        <f aca="false">IF(2_Daily_input!FQ61="","",2_Daily_input!FQ61)</f>
        <v/>
      </c>
    </row>
    <row r="73" customFormat="false" ht="15" hidden="false" customHeight="false" outlineLevel="0" collapsed="false">
      <c r="A73" s="33" t="s">
        <v>83</v>
      </c>
      <c r="B73" s="20" t="s">
        <v>439</v>
      </c>
      <c r="D73" s="49" t="str">
        <f aca="false">IF(COUNT(D68:D72)=5,ROUND((LARGE(D68:D72,2)+LARGE(D68:D72,3)+LARGE(D68:D72,4))/3,1),"")</f>
        <v/>
      </c>
      <c r="E73" s="49" t="str">
        <f aca="false">IF(COUNT(E68:E72)=5,ROUND((LARGE(E68:E72,2)+LARGE(E68:E72,3)+LARGE(E68:E72,4))/3,1),"")</f>
        <v/>
      </c>
      <c r="F73" s="49" t="str">
        <f aca="false">IF(COUNT(F68:F72)=5,ROUND((LARGE(F68:F72,2)+LARGE(F68:F72,3)+LARGE(F68:F72,4))/3,1),"")</f>
        <v/>
      </c>
      <c r="G73" s="49" t="str">
        <f aca="false">IF(COUNT(G68:G72)=5,ROUND((LARGE(G68:G72,2)+LARGE(G68:G72,3)+LARGE(G68:G72,4))/3,1),"")</f>
        <v/>
      </c>
      <c r="H73" s="49" t="str">
        <f aca="false">IF(COUNT(H68:H72)=5,ROUND((LARGE(H68:H72,2)+LARGE(H68:H72,3)+LARGE(H68:H72,4))/3,1),"")</f>
        <v/>
      </c>
      <c r="I73" s="49" t="str">
        <f aca="false">IF(COUNT(I68:I72)=5,ROUND((LARGE(I68:I72,2)+LARGE(I68:I72,3)+LARGE(I68:I72,4))/3,1),"")</f>
        <v/>
      </c>
      <c r="J73" s="49" t="str">
        <f aca="false">IF(COUNT(J68:J72)=5,ROUND((LARGE(J68:J72,2)+LARGE(J68:J72,3)+LARGE(J68:J72,4))/3,1),"")</f>
        <v/>
      </c>
      <c r="K73" s="49" t="str">
        <f aca="false">IF(COUNT(K68:K72)=5,ROUND((LARGE(K68:K72,2)+LARGE(K68:K72,3)+LARGE(K68:K72,4))/3,1),"")</f>
        <v/>
      </c>
      <c r="L73" s="49" t="str">
        <f aca="false">IF(COUNT(L68:L72)=5,ROUND((LARGE(L68:L72,2)+LARGE(L68:L72,3)+LARGE(L68:L72,4))/3,1),"")</f>
        <v/>
      </c>
      <c r="M73" s="49" t="str">
        <f aca="false">IF(COUNT(M68:M72)=5,ROUND((LARGE(M68:M72,2)+LARGE(M68:M72,3)+LARGE(M68:M72,4))/3,1),"")</f>
        <v/>
      </c>
      <c r="N73" s="49" t="str">
        <f aca="false">IF(COUNT(N68:N72)=5,ROUND((LARGE(N68:N72,2)+LARGE(N68:N72,3)+LARGE(N68:N72,4))/3,1),"")</f>
        <v/>
      </c>
      <c r="O73" s="49" t="str">
        <f aca="false">IF(COUNT(O68:O72)=5,ROUND((LARGE(O68:O72,2)+LARGE(O68:O72,3)+LARGE(O68:O72,4))/3,1),"")</f>
        <v/>
      </c>
      <c r="P73" s="49" t="str">
        <f aca="false">IF(COUNT(P68:P72)=5,ROUND((LARGE(P68:P72,2)+LARGE(P68:P72,3)+LARGE(P68:P72,4))/3,1),"")</f>
        <v/>
      </c>
      <c r="Q73" s="49" t="str">
        <f aca="false">IF(COUNT(Q68:Q72)=5,ROUND((LARGE(Q68:Q72,2)+LARGE(Q68:Q72,3)+LARGE(Q68:Q72,4))/3,1),"")</f>
        <v/>
      </c>
      <c r="R73" s="49" t="str">
        <f aca="false">IF(COUNT(R68:R72)=5,ROUND((LARGE(R68:R72,2)+LARGE(R68:R72,3)+LARGE(R68:R72,4))/3,1),"")</f>
        <v/>
      </c>
      <c r="S73" s="49" t="str">
        <f aca="false">IF(COUNT(S68:S72)=5,ROUND((LARGE(S68:S72,2)+LARGE(S68:S72,3)+LARGE(S68:S72,4))/3,1),"")</f>
        <v/>
      </c>
      <c r="T73" s="49" t="str">
        <f aca="false">IF(COUNT(T68:T72)=5,ROUND((LARGE(T68:T72,2)+LARGE(T68:T72,3)+LARGE(T68:T72,4))/3,1),"")</f>
        <v/>
      </c>
      <c r="U73" s="49" t="str">
        <f aca="false">IF(COUNT(U68:U72)=5,ROUND((LARGE(U68:U72,2)+LARGE(U68:U72,3)+LARGE(U68:U72,4))/3,1),"")</f>
        <v/>
      </c>
      <c r="V73" s="49" t="str">
        <f aca="false">IF(COUNT(V68:V72)=5,ROUND((LARGE(V68:V72,2)+LARGE(V68:V72,3)+LARGE(V68:V72,4))/3,1),"")</f>
        <v/>
      </c>
      <c r="W73" s="49" t="str">
        <f aca="false">IF(COUNT(W68:W72)=5,ROUND((LARGE(W68:W72,2)+LARGE(W68:W72,3)+LARGE(W68:W72,4))/3,1),"")</f>
        <v/>
      </c>
      <c r="X73" s="49" t="str">
        <f aca="false">IF(COUNT(X68:X72)=5,ROUND((LARGE(X68:X72,2)+LARGE(X68:X72,3)+LARGE(X68:X72,4))/3,1),"")</f>
        <v/>
      </c>
      <c r="Y73" s="49" t="str">
        <f aca="false">IF(COUNT(Y68:Y72)=5,ROUND((LARGE(Y68:Y72,2)+LARGE(Y68:Y72,3)+LARGE(Y68:Y72,4))/3,1),"")</f>
        <v/>
      </c>
      <c r="Z73" s="49" t="str">
        <f aca="false">IF(COUNT(Z68:Z72)=5,ROUND((LARGE(Z68:Z72,2)+LARGE(Z68:Z72,3)+LARGE(Z68:Z72,4))/3,1),"")</f>
        <v/>
      </c>
      <c r="AA73" s="49" t="str">
        <f aca="false">IF(COUNT(AA68:AA72)=5,ROUND((LARGE(AA68:AA72,2)+LARGE(AA68:AA72,3)+LARGE(AA68:AA72,4))/3,1),"")</f>
        <v/>
      </c>
      <c r="AB73" s="49" t="str">
        <f aca="false">IF(COUNT(AB68:AB72)=5,ROUND((LARGE(AB68:AB72,2)+LARGE(AB68:AB72,3)+LARGE(AB68:AB72,4))/3,1),"")</f>
        <v/>
      </c>
      <c r="AC73" s="49" t="str">
        <f aca="false">IF(COUNT(AC68:AC72)=5,ROUND((LARGE(AC68:AC72,2)+LARGE(AC68:AC72,3)+LARGE(AC68:AC72,4))/3,1),"")</f>
        <v/>
      </c>
      <c r="AD73" s="49" t="str">
        <f aca="false">IF(COUNT(AD68:AD72)=5,ROUND((LARGE(AD68:AD72,2)+LARGE(AD68:AD72,3)+LARGE(AD68:AD72,4))/3,1),"")</f>
        <v/>
      </c>
      <c r="AE73" s="49" t="str">
        <f aca="false">IF(COUNT(AE68:AE72)=5,ROUND((LARGE(AE68:AE72,2)+LARGE(AE68:AE72,3)+LARGE(AE68:AE72,4))/3,1),"")</f>
        <v/>
      </c>
      <c r="AF73" s="49" t="str">
        <f aca="false">IF(COUNT(AF68:AF72)=5,ROUND((LARGE(AF68:AF72,2)+LARGE(AF68:AF72,3)+LARGE(AF68:AF72,4))/3,1),"")</f>
        <v/>
      </c>
      <c r="AG73" s="49" t="str">
        <f aca="false">IF(COUNT(AG68:AG72)=5,ROUND((LARGE(AG68:AG72,2)+LARGE(AG68:AG72,3)+LARGE(AG68:AG72,4))/3,1),"")</f>
        <v/>
      </c>
      <c r="AH73" s="49" t="str">
        <f aca="false">IF(COUNT(AH68:AH72)=5,ROUND((LARGE(AH68:AH72,2)+LARGE(AH68:AH72,3)+LARGE(AH68:AH72,4))/3,1),"")</f>
        <v/>
      </c>
      <c r="AI73" s="49" t="str">
        <f aca="false">IF(COUNT(AI68:AI72)=5,ROUND((LARGE(AI68:AI72,2)+LARGE(AI68:AI72,3)+LARGE(AI68:AI72,4))/3,1),"")</f>
        <v/>
      </c>
      <c r="AJ73" s="49" t="str">
        <f aca="false">IF(COUNT(AJ68:AJ72)=5,ROUND((LARGE(AJ68:AJ72,2)+LARGE(AJ68:AJ72,3)+LARGE(AJ68:AJ72,4))/3,1),"")</f>
        <v/>
      </c>
      <c r="AK73" s="49" t="str">
        <f aca="false">IF(COUNT(AK68:AK72)=5,ROUND((LARGE(AK68:AK72,2)+LARGE(AK68:AK72,3)+LARGE(AK68:AK72,4))/3,1),"")</f>
        <v/>
      </c>
      <c r="AL73" s="49" t="str">
        <f aca="false">IF(COUNT(AL68:AL72)=5,ROUND((LARGE(AL68:AL72,2)+LARGE(AL68:AL72,3)+LARGE(AL68:AL72,4))/3,1),"")</f>
        <v/>
      </c>
      <c r="AM73" s="49" t="str">
        <f aca="false">IF(COUNT(AM68:AM72)=5,ROUND((LARGE(AM68:AM72,2)+LARGE(AM68:AM72,3)+LARGE(AM68:AM72,4))/3,1),"")</f>
        <v/>
      </c>
      <c r="AN73" s="49" t="str">
        <f aca="false">IF(COUNT(AN68:AN72)=5,ROUND((LARGE(AN68:AN72,2)+LARGE(AN68:AN72,3)+LARGE(AN68:AN72,4))/3,1),"")</f>
        <v/>
      </c>
      <c r="AO73" s="49" t="str">
        <f aca="false">IF(COUNT(AO68:AO72)=5,ROUND((LARGE(AO68:AO72,2)+LARGE(AO68:AO72,3)+LARGE(AO68:AO72,4))/3,1),"")</f>
        <v/>
      </c>
      <c r="AP73" s="49" t="str">
        <f aca="false">IF(COUNT(AP68:AP72)=5,ROUND((LARGE(AP68:AP72,2)+LARGE(AP68:AP72,3)+LARGE(AP68:AP72,4))/3,1),"")</f>
        <v/>
      </c>
      <c r="AQ73" s="49" t="str">
        <f aca="false">IF(COUNT(AQ68:AQ72)=5,ROUND((LARGE(AQ68:AQ72,2)+LARGE(AQ68:AQ72,3)+LARGE(AQ68:AQ72,4))/3,1),"")</f>
        <v/>
      </c>
      <c r="AR73" s="49" t="str">
        <f aca="false">IF(COUNT(AR68:AR72)=5,ROUND((LARGE(AR68:AR72,2)+LARGE(AR68:AR72,3)+LARGE(AR68:AR72,4))/3,1),"")</f>
        <v/>
      </c>
      <c r="AS73" s="49" t="str">
        <f aca="false">IF(COUNT(AS68:AS72)=5,ROUND((LARGE(AS68:AS72,2)+LARGE(AS68:AS72,3)+LARGE(AS68:AS72,4))/3,1),"")</f>
        <v/>
      </c>
      <c r="AT73" s="49" t="str">
        <f aca="false">IF(COUNT(AT68:AT72)=5,ROUND((LARGE(AT68:AT72,2)+LARGE(AT68:AT72,3)+LARGE(AT68:AT72,4))/3,1),"")</f>
        <v/>
      </c>
      <c r="AU73" s="49" t="str">
        <f aca="false">IF(COUNT(AU68:AU72)=5,ROUND((LARGE(AU68:AU72,2)+LARGE(AU68:AU72,3)+LARGE(AU68:AU72,4))/3,1),"")</f>
        <v/>
      </c>
      <c r="AV73" s="49" t="str">
        <f aca="false">IF(COUNT(AV68:AV72)=5,ROUND((LARGE(AV68:AV72,2)+LARGE(AV68:AV72,3)+LARGE(AV68:AV72,4))/3,1),"")</f>
        <v/>
      </c>
      <c r="AW73" s="49" t="str">
        <f aca="false">IF(COUNT(AW68:AW72)=5,ROUND((LARGE(AW68:AW72,2)+LARGE(AW68:AW72,3)+LARGE(AW68:AW72,4))/3,1),"")</f>
        <v/>
      </c>
      <c r="AX73" s="49" t="str">
        <f aca="false">IF(COUNT(AX68:AX72)=5,ROUND((LARGE(AX68:AX72,2)+LARGE(AX68:AX72,3)+LARGE(AX68:AX72,4))/3,1),"")</f>
        <v/>
      </c>
      <c r="AY73" s="49" t="str">
        <f aca="false">IF(COUNT(AY68:AY72)=5,ROUND((LARGE(AY68:AY72,2)+LARGE(AY68:AY72,3)+LARGE(AY68:AY72,4))/3,1),"")</f>
        <v/>
      </c>
      <c r="AZ73" s="49" t="str">
        <f aca="false">IF(COUNT(AZ68:AZ72)=5,ROUND((LARGE(AZ68:AZ72,2)+LARGE(AZ68:AZ72,3)+LARGE(AZ68:AZ72,4))/3,1),"")</f>
        <v/>
      </c>
      <c r="BA73" s="49" t="str">
        <f aca="false">IF(COUNT(BA68:BA72)=5,ROUND((LARGE(BA68:BA72,2)+LARGE(BA68:BA72,3)+LARGE(BA68:BA72,4))/3,1),"")</f>
        <v/>
      </c>
      <c r="BB73" s="49" t="str">
        <f aca="false">IF(COUNT(BB68:BB72)=5,ROUND((LARGE(BB68:BB72,2)+LARGE(BB68:BB72,3)+LARGE(BB68:BB72,4))/3,1),"")</f>
        <v/>
      </c>
      <c r="BC73" s="49" t="str">
        <f aca="false">IF(COUNT(BC68:BC72)=5,ROUND((LARGE(BC68:BC72,2)+LARGE(BC68:BC72,3)+LARGE(BC68:BC72,4))/3,1),"")</f>
        <v/>
      </c>
      <c r="BD73" s="49" t="str">
        <f aca="false">IF(COUNT(BD68:BD72)=5,ROUND((LARGE(BD68:BD72,2)+LARGE(BD68:BD72,3)+LARGE(BD68:BD72,4))/3,1),"")</f>
        <v/>
      </c>
      <c r="BE73" s="49" t="str">
        <f aca="false">IF(COUNT(BE68:BE72)=5,ROUND((LARGE(BE68:BE72,2)+LARGE(BE68:BE72,3)+LARGE(BE68:BE72,4))/3,1),"")</f>
        <v/>
      </c>
      <c r="BF73" s="49" t="str">
        <f aca="false">IF(COUNT(BF68:BF72)=5,ROUND((LARGE(BF68:BF72,2)+LARGE(BF68:BF72,3)+LARGE(BF68:BF72,4))/3,1),"")</f>
        <v/>
      </c>
      <c r="BG73" s="49" t="str">
        <f aca="false">IF(COUNT(BG68:BG72)=5,ROUND((LARGE(BG68:BG72,2)+LARGE(BG68:BG72,3)+LARGE(BG68:BG72,4))/3,1),"")</f>
        <v/>
      </c>
      <c r="BH73" s="49" t="str">
        <f aca="false">IF(COUNT(BH68:BH72)=5,ROUND((LARGE(BH68:BH72,2)+LARGE(BH68:BH72,3)+LARGE(BH68:BH72,4))/3,1),"")</f>
        <v/>
      </c>
      <c r="BI73" s="49" t="str">
        <f aca="false">IF(COUNT(BI68:BI72)=5,ROUND((LARGE(BI68:BI72,2)+LARGE(BI68:BI72,3)+LARGE(BI68:BI72,4))/3,1),"")</f>
        <v/>
      </c>
      <c r="BJ73" s="49" t="str">
        <f aca="false">IF(COUNT(BJ68:BJ72)=5,ROUND((LARGE(BJ68:BJ72,2)+LARGE(BJ68:BJ72,3)+LARGE(BJ68:BJ72,4))/3,1),"")</f>
        <v/>
      </c>
      <c r="BK73" s="49" t="str">
        <f aca="false">IF(COUNT(BK68:BK72)=5,ROUND((LARGE(BK68:BK72,2)+LARGE(BK68:BK72,3)+LARGE(BK68:BK72,4))/3,1),"")</f>
        <v/>
      </c>
      <c r="BL73" s="49" t="str">
        <f aca="false">IF(COUNT(BL68:BL72)=5,ROUND((LARGE(BL68:BL72,2)+LARGE(BL68:BL72,3)+LARGE(BL68:BL72,4))/3,1),"")</f>
        <v/>
      </c>
      <c r="BM73" s="49" t="str">
        <f aca="false">IF(COUNT(BM68:BM72)=5,ROUND((LARGE(BM68:BM72,2)+LARGE(BM68:BM72,3)+LARGE(BM68:BM72,4))/3,1),"")</f>
        <v/>
      </c>
      <c r="BN73" s="49" t="str">
        <f aca="false">IF(COUNT(BN68:BN72)=5,ROUND((LARGE(BN68:BN72,2)+LARGE(BN68:BN72,3)+LARGE(BN68:BN72,4))/3,1),"")</f>
        <v/>
      </c>
      <c r="BO73" s="49" t="str">
        <f aca="false">IF(COUNT(BO68:BO72)=5,ROUND((LARGE(BO68:BO72,2)+LARGE(BO68:BO72,3)+LARGE(BO68:BO72,4))/3,1),"")</f>
        <v/>
      </c>
      <c r="BP73" s="49" t="str">
        <f aca="false">IF(COUNT(BP68:BP72)=5,ROUND((LARGE(BP68:BP72,2)+LARGE(BP68:BP72,3)+LARGE(BP68:BP72,4))/3,1),"")</f>
        <v/>
      </c>
      <c r="BQ73" s="49" t="str">
        <f aca="false">IF(COUNT(BQ68:BQ72)=5,ROUND((LARGE(BQ68:BQ72,2)+LARGE(BQ68:BQ72,3)+LARGE(BQ68:BQ72,4))/3,1),"")</f>
        <v/>
      </c>
      <c r="BR73" s="49" t="str">
        <f aca="false">IF(COUNT(BR68:BR72)=5,ROUND((LARGE(BR68:BR72,2)+LARGE(BR68:BR72,3)+LARGE(BR68:BR72,4))/3,1),"")</f>
        <v/>
      </c>
      <c r="BS73" s="49" t="str">
        <f aca="false">IF(COUNT(BS68:BS72)=5,ROUND((LARGE(BS68:BS72,2)+LARGE(BS68:BS72,3)+LARGE(BS68:BS72,4))/3,1),"")</f>
        <v/>
      </c>
      <c r="BT73" s="49" t="str">
        <f aca="false">IF(COUNT(BT68:BT72)=5,ROUND((LARGE(BT68:BT72,2)+LARGE(BT68:BT72,3)+LARGE(BT68:BT72,4))/3,1),"")</f>
        <v/>
      </c>
      <c r="BU73" s="49" t="str">
        <f aca="false">IF(COUNT(BU68:BU72)=5,ROUND((LARGE(BU68:BU72,2)+LARGE(BU68:BU72,3)+LARGE(BU68:BU72,4))/3,1),"")</f>
        <v/>
      </c>
      <c r="BV73" s="49" t="str">
        <f aca="false">IF(COUNT(BV68:BV72)=5,ROUND((LARGE(BV68:BV72,2)+LARGE(BV68:BV72,3)+LARGE(BV68:BV72,4))/3,1),"")</f>
        <v/>
      </c>
      <c r="BW73" s="49" t="str">
        <f aca="false">IF(COUNT(BW68:BW72)=5,ROUND((LARGE(BW68:BW72,2)+LARGE(BW68:BW72,3)+LARGE(BW68:BW72,4))/3,1),"")</f>
        <v/>
      </c>
      <c r="BX73" s="49" t="str">
        <f aca="false">IF(COUNT(BX68:BX72)=5,ROUND((LARGE(BX68:BX72,2)+LARGE(BX68:BX72,3)+LARGE(BX68:BX72,4))/3,1),"")</f>
        <v/>
      </c>
      <c r="BY73" s="49" t="n">
        <f aca="false">IF(COUNT(BY68:BY72)=5,ROUND((LARGE(BY68:BY72,2)+LARGE(BY68:BY72,3)+LARGE(BY68:BY72,4))/3,1),"")</f>
        <v>7.7</v>
      </c>
      <c r="BZ73" s="49" t="str">
        <f aca="false">IF(COUNT(BZ68:BZ72)=5,ROUND((LARGE(BZ68:BZ72,2)+LARGE(BZ68:BZ72,3)+LARGE(BZ68:BZ72,4))/3,1),"")</f>
        <v/>
      </c>
      <c r="CA73" s="49" t="str">
        <f aca="false">IF(COUNT(CA68:CA72)=5,ROUND((LARGE(CA68:CA72,2)+LARGE(CA68:CA72,3)+LARGE(CA68:CA72,4))/3,1),"")</f>
        <v/>
      </c>
      <c r="CB73" s="49" t="str">
        <f aca="false">IF(COUNT(CB68:CB72)=5,ROUND((LARGE(CB68:CB72,2)+LARGE(CB68:CB72,3)+LARGE(CB68:CB72,4))/3,1),"")</f>
        <v/>
      </c>
      <c r="CC73" s="49" t="str">
        <f aca="false">IF(COUNT(CC68:CC72)=5,ROUND((LARGE(CC68:CC72,2)+LARGE(CC68:CC72,3)+LARGE(CC68:CC72,4))/3,1),"")</f>
        <v/>
      </c>
      <c r="CD73" s="49" t="str">
        <f aca="false">IF(COUNT(CD68:CD72)=5,ROUND((LARGE(CD68:CD72,2)+LARGE(CD68:CD72,3)+LARGE(CD68:CD72,4))/3,1),"")</f>
        <v/>
      </c>
      <c r="CE73" s="49" t="str">
        <f aca="false">IF(COUNT(CE68:CE72)=5,ROUND((LARGE(CE68:CE72,2)+LARGE(CE68:CE72,3)+LARGE(CE68:CE72,4))/3,1),"")</f>
        <v/>
      </c>
      <c r="CF73" s="49" t="str">
        <f aca="false">IF(COUNT(CF68:CF72)=5,ROUND((LARGE(CF68:CF72,2)+LARGE(CF68:CF72,3)+LARGE(CF68:CF72,4))/3,1),"")</f>
        <v/>
      </c>
      <c r="CG73" s="49" t="str">
        <f aca="false">IF(COUNT(CG68:CG72)=5,ROUND((LARGE(CG68:CG72,2)+LARGE(CG68:CG72,3)+LARGE(CG68:CG72,4))/3,1),"")</f>
        <v/>
      </c>
      <c r="CH73" s="49" t="str">
        <f aca="false">IF(COUNT(CH68:CH72)=5,ROUND((LARGE(CH68:CH72,2)+LARGE(CH68:CH72,3)+LARGE(CH68:CH72,4))/3,1),"")</f>
        <v/>
      </c>
      <c r="CI73" s="49" t="str">
        <f aca="false">IF(COUNT(CI68:CI72)=5,ROUND((LARGE(CI68:CI72,2)+LARGE(CI68:CI72,3)+LARGE(CI68:CI72,4))/3,1),"")</f>
        <v/>
      </c>
      <c r="CJ73" s="49" t="str">
        <f aca="false">IF(COUNT(CJ68:CJ72)=5,ROUND((LARGE(CJ68:CJ72,2)+LARGE(CJ68:CJ72,3)+LARGE(CJ68:CJ72,4))/3,1),"")</f>
        <v/>
      </c>
      <c r="CK73" s="49" t="str">
        <f aca="false">IF(COUNT(CK68:CK72)=5,ROUND((LARGE(CK68:CK72,2)+LARGE(CK68:CK72,3)+LARGE(CK68:CK72,4))/3,1),"")</f>
        <v/>
      </c>
      <c r="CL73" s="49" t="str">
        <f aca="false">IF(COUNT(CL68:CL72)=5,ROUND((LARGE(CL68:CL72,2)+LARGE(CL68:CL72,3)+LARGE(CL68:CL72,4))/3,1),"")</f>
        <v/>
      </c>
      <c r="CM73" s="49" t="str">
        <f aca="false">IF(COUNT(CM68:CM72)=5,ROUND((LARGE(CM68:CM72,2)+LARGE(CM68:CM72,3)+LARGE(CM68:CM72,4))/3,1),"")</f>
        <v/>
      </c>
      <c r="CN73" s="49" t="n">
        <f aca="false">IF(COUNT(CN68:CN72)=5,ROUND((LARGE(CN68:CN72,2)+LARGE(CN68:CN72,3)+LARGE(CN68:CN72,4))/3,1),"")</f>
        <v>13.7</v>
      </c>
      <c r="CO73" s="49" t="str">
        <f aca="false">IF(COUNT(CO68:CO72)=5,ROUND((LARGE(CO68:CO72,2)+LARGE(CO68:CO72,3)+LARGE(CO68:CO72,4))/3,1),"")</f>
        <v/>
      </c>
      <c r="CP73" s="49" t="str">
        <f aca="false">IF(COUNT(CP68:CP72)=5,ROUND((LARGE(CP68:CP72,2)+LARGE(CP68:CP72,3)+LARGE(CP68:CP72,4))/3,1),"")</f>
        <v/>
      </c>
      <c r="CQ73" s="49" t="str">
        <f aca="false">IF(COUNT(CQ68:CQ72)=5,ROUND((LARGE(CQ68:CQ72,2)+LARGE(CQ68:CQ72,3)+LARGE(CQ68:CQ72,4))/3,1),"")</f>
        <v/>
      </c>
      <c r="CR73" s="49" t="str">
        <f aca="false">IF(COUNT(CR68:CR72)=5,ROUND((LARGE(CR68:CR72,2)+LARGE(CR68:CR72,3)+LARGE(CR68:CR72,4))/3,1),"")</f>
        <v/>
      </c>
      <c r="CS73" s="49" t="str">
        <f aca="false">IF(COUNT(CS68:CS72)=5,ROUND((LARGE(CS68:CS72,2)+LARGE(CS68:CS72,3)+LARGE(CS68:CS72,4))/3,1),"")</f>
        <v/>
      </c>
      <c r="CT73" s="49" t="str">
        <f aca="false">IF(COUNT(CT68:CT72)=5,ROUND((LARGE(CT68:CT72,2)+LARGE(CT68:CT72,3)+LARGE(CT68:CT72,4))/3,1),"")</f>
        <v/>
      </c>
      <c r="CU73" s="49" t="str">
        <f aca="false">IF(COUNT(CU68:CU72)=5,ROUND((LARGE(CU68:CU72,2)+LARGE(CU68:CU72,3)+LARGE(CU68:CU72,4))/3,1),"")</f>
        <v/>
      </c>
      <c r="CV73" s="49" t="str">
        <f aca="false">IF(COUNT(CV68:CV72)=5,ROUND((LARGE(CV68:CV72,2)+LARGE(CV68:CV72,3)+LARGE(CV68:CV72,4))/3,1),"")</f>
        <v/>
      </c>
      <c r="CW73" s="49" t="str">
        <f aca="false">IF(COUNT(CW68:CW72)=5,ROUND((LARGE(CW68:CW72,2)+LARGE(CW68:CW72,3)+LARGE(CW68:CW72,4))/3,1),"")</f>
        <v/>
      </c>
      <c r="CX73" s="49" t="str">
        <f aca="false">IF(COUNT(CX68:CX72)=5,ROUND((LARGE(CX68:CX72,2)+LARGE(CX68:CX72,3)+LARGE(CX68:CX72,4))/3,1),"")</f>
        <v/>
      </c>
      <c r="CY73" s="49" t="str">
        <f aca="false">IF(COUNT(CY68:CY72)=5,ROUND((LARGE(CY68:CY72,2)+LARGE(CY68:CY72,3)+LARGE(CY68:CY72,4))/3,1),"")</f>
        <v/>
      </c>
      <c r="CZ73" s="49" t="str">
        <f aca="false">IF(COUNT(CZ68:CZ72)=5,ROUND((LARGE(CZ68:CZ72,2)+LARGE(CZ68:CZ72,3)+LARGE(CZ68:CZ72,4))/3,1),"")</f>
        <v/>
      </c>
      <c r="DA73" s="49" t="str">
        <f aca="false">IF(COUNT(DA68:DA72)=5,ROUND((LARGE(DA68:DA72,2)+LARGE(DA68:DA72,3)+LARGE(DA68:DA72,4))/3,1),"")</f>
        <v/>
      </c>
      <c r="DB73" s="49" t="str">
        <f aca="false">IF(COUNT(DB68:DB72)=5,ROUND((LARGE(DB68:DB72,2)+LARGE(DB68:DB72,3)+LARGE(DB68:DB72,4))/3,1),"")</f>
        <v/>
      </c>
      <c r="DC73" s="49" t="n">
        <f aca="false">IF(COUNT(DC68:DC72)=5,ROUND((LARGE(DC68:DC72,2)+LARGE(DC68:DC72,3)+LARGE(DC68:DC72,4))/3,1),"")</f>
        <v>21</v>
      </c>
      <c r="DD73" s="49" t="str">
        <f aca="false">IF(COUNT(DD68:DD72)=5,ROUND((LARGE(DD68:DD72,2)+LARGE(DD68:DD72,3)+LARGE(DD68:DD72,4))/3,1),"")</f>
        <v/>
      </c>
      <c r="DE73" s="49" t="str">
        <f aca="false">IF(COUNT(DE68:DE72)=5,ROUND((LARGE(DE68:DE72,2)+LARGE(DE68:DE72,3)+LARGE(DE68:DE72,4))/3,1),"")</f>
        <v/>
      </c>
      <c r="DF73" s="49" t="str">
        <f aca="false">IF(COUNT(DF68:DF72)=5,ROUND((LARGE(DF68:DF72,2)+LARGE(DF68:DF72,3)+LARGE(DF68:DF72,4))/3,1),"")</f>
        <v/>
      </c>
      <c r="DG73" s="49" t="str">
        <f aca="false">IF(COUNT(DG68:DG72)=5,ROUND((LARGE(DG68:DG72,2)+LARGE(DG68:DG72,3)+LARGE(DG68:DG72,4))/3,1),"")</f>
        <v/>
      </c>
      <c r="DH73" s="49" t="str">
        <f aca="false">IF(COUNT(DH68:DH72)=5,ROUND((LARGE(DH68:DH72,2)+LARGE(DH68:DH72,3)+LARGE(DH68:DH72,4))/3,1),"")</f>
        <v/>
      </c>
      <c r="DI73" s="49" t="str">
        <f aca="false">IF(COUNT(DI68:DI72)=5,ROUND((LARGE(DI68:DI72,2)+LARGE(DI68:DI72,3)+LARGE(DI68:DI72,4))/3,1),"")</f>
        <v/>
      </c>
      <c r="DJ73" s="49" t="str">
        <f aca="false">IF(COUNT(DJ68:DJ72)=5,ROUND((LARGE(DJ68:DJ72,2)+LARGE(DJ68:DJ72,3)+LARGE(DJ68:DJ72,4))/3,1),"")</f>
        <v/>
      </c>
      <c r="DK73" s="49" t="str">
        <f aca="false">IF(COUNT(DK68:DK72)=5,ROUND((LARGE(DK68:DK72,2)+LARGE(DK68:DK72,3)+LARGE(DK68:DK72,4))/3,1),"")</f>
        <v/>
      </c>
      <c r="DL73" s="49" t="str">
        <f aca="false">IF(COUNT(DL68:DL72)=5,ROUND((LARGE(DL68:DL72,2)+LARGE(DL68:DL72,3)+LARGE(DL68:DL72,4))/3,1),"")</f>
        <v/>
      </c>
      <c r="DM73" s="49" t="str">
        <f aca="false">IF(COUNT(DM68:DM72)=5,ROUND((LARGE(DM68:DM72,2)+LARGE(DM68:DM72,3)+LARGE(DM68:DM72,4))/3,1),"")</f>
        <v/>
      </c>
      <c r="DN73" s="49" t="str">
        <f aca="false">IF(COUNT(DN68:DN72)=5,ROUND((LARGE(DN68:DN72,2)+LARGE(DN68:DN72,3)+LARGE(DN68:DN72,4))/3,1),"")</f>
        <v/>
      </c>
      <c r="DO73" s="49" t="str">
        <f aca="false">IF(COUNT(DO68:DO72)=5,ROUND((LARGE(DO68:DO72,2)+LARGE(DO68:DO72,3)+LARGE(DO68:DO72,4))/3,1),"")</f>
        <v/>
      </c>
      <c r="DP73" s="49" t="str">
        <f aca="false">IF(COUNT(DP68:DP72)=5,ROUND((LARGE(DP68:DP72,2)+LARGE(DP68:DP72,3)+LARGE(DP68:DP72,4))/3,1),"")</f>
        <v/>
      </c>
      <c r="DQ73" s="49" t="str">
        <f aca="false">IF(COUNT(DQ68:DQ72)=5,ROUND((LARGE(DQ68:DQ72,2)+LARGE(DQ68:DQ72,3)+LARGE(DQ68:DQ72,4))/3,1),"")</f>
        <v/>
      </c>
      <c r="DR73" s="49" t="n">
        <f aca="false">IF(COUNT(DR68:DR72)=5,ROUND((LARGE(DR68:DR72,2)+LARGE(DR68:DR72,3)+LARGE(DR68:DR72,4))/3,1),"")</f>
        <v>22</v>
      </c>
      <c r="DS73" s="49" t="str">
        <f aca="false">IF(COUNT(DS68:DS72)=5,ROUND((LARGE(DS68:DS72,2)+LARGE(DS68:DS72,3)+LARGE(DS68:DS72,4))/3,1),"")</f>
        <v/>
      </c>
      <c r="DT73" s="49" t="str">
        <f aca="false">IF(COUNT(DT68:DT72)=5,ROUND((LARGE(DT68:DT72,2)+LARGE(DT68:DT72,3)+LARGE(DT68:DT72,4))/3,1),"")</f>
        <v/>
      </c>
      <c r="DU73" s="49" t="str">
        <f aca="false">IF(COUNT(DU68:DU72)=5,ROUND((LARGE(DU68:DU72,2)+LARGE(DU68:DU72,3)+LARGE(DU68:DU72,4))/3,1),"")</f>
        <v/>
      </c>
      <c r="DV73" s="49" t="str">
        <f aca="false">IF(COUNT(DV68:DV72)=5,ROUND((LARGE(DV68:DV72,2)+LARGE(DV68:DV72,3)+LARGE(DV68:DV72,4))/3,1),"")</f>
        <v/>
      </c>
      <c r="DW73" s="49" t="str">
        <f aca="false">IF(COUNT(DW68:DW72)=5,ROUND((LARGE(DW68:DW72,2)+LARGE(DW68:DW72,3)+LARGE(DW68:DW72,4))/3,1),"")</f>
        <v/>
      </c>
      <c r="DX73" s="49" t="str">
        <f aca="false">IF(COUNT(DX68:DX72)=5,ROUND((LARGE(DX68:DX72,2)+LARGE(DX68:DX72,3)+LARGE(DX68:DX72,4))/3,1),"")</f>
        <v/>
      </c>
      <c r="DY73" s="49" t="str">
        <f aca="false">IF(COUNT(DY68:DY72)=5,ROUND((LARGE(DY68:DY72,2)+LARGE(DY68:DY72,3)+LARGE(DY68:DY72,4))/3,1),"")</f>
        <v/>
      </c>
      <c r="DZ73" s="49" t="str">
        <f aca="false">IF(COUNT(DZ68:DZ72)=5,ROUND((LARGE(DZ68:DZ72,2)+LARGE(DZ68:DZ72,3)+LARGE(DZ68:DZ72,4))/3,1),"")</f>
        <v/>
      </c>
      <c r="EA73" s="49" t="str">
        <f aca="false">IF(COUNT(EA68:EA72)=5,ROUND((LARGE(EA68:EA72,2)+LARGE(EA68:EA72,3)+LARGE(EA68:EA72,4))/3,1),"")</f>
        <v/>
      </c>
      <c r="EB73" s="49" t="str">
        <f aca="false">IF(COUNT(EB68:EB72)=5,ROUND((LARGE(EB68:EB72,2)+LARGE(EB68:EB72,3)+LARGE(EB68:EB72,4))/3,1),"")</f>
        <v/>
      </c>
      <c r="EC73" s="49" t="str">
        <f aca="false">IF(COUNT(EC68:EC72)=5,ROUND((LARGE(EC68:EC72,2)+LARGE(EC68:EC72,3)+LARGE(EC68:EC72,4))/3,1),"")</f>
        <v/>
      </c>
      <c r="ED73" s="49" t="str">
        <f aca="false">IF(COUNT(ED68:ED72)=5,ROUND((LARGE(ED68:ED72,2)+LARGE(ED68:ED72,3)+LARGE(ED68:ED72,4))/3,1),"")</f>
        <v/>
      </c>
      <c r="EE73" s="49" t="str">
        <f aca="false">IF(COUNT(EE68:EE72)=5,ROUND((LARGE(EE68:EE72,2)+LARGE(EE68:EE72,3)+LARGE(EE68:EE72,4))/3,1),"")</f>
        <v/>
      </c>
      <c r="EF73" s="49" t="str">
        <f aca="false">IF(COUNT(EF68:EF72)=5,ROUND((LARGE(EF68:EF72,2)+LARGE(EF68:EF72,3)+LARGE(EF68:EF72,4))/3,1),"")</f>
        <v/>
      </c>
      <c r="EG73" s="49" t="str">
        <f aca="false">IF(COUNT(EG68:EG72)=5,ROUND((LARGE(EG68:EG72,2)+LARGE(EG68:EG72,3)+LARGE(EG68:EG72,4))/3,1),"")</f>
        <v/>
      </c>
      <c r="EH73" s="49" t="str">
        <f aca="false">IF(COUNT(EH68:EH72)=5,ROUND((LARGE(EH68:EH72,2)+LARGE(EH68:EH72,3)+LARGE(EH68:EH72,4))/3,1),"")</f>
        <v/>
      </c>
      <c r="EI73" s="49" t="str">
        <f aca="false">IF(COUNT(EI68:EI72)=5,ROUND((LARGE(EI68:EI72,2)+LARGE(EI68:EI72,3)+LARGE(EI68:EI72,4))/3,1),"")</f>
        <v/>
      </c>
      <c r="EJ73" s="49" t="str">
        <f aca="false">IF(COUNT(EJ68:EJ72)=5,ROUND((LARGE(EJ68:EJ72,2)+LARGE(EJ68:EJ72,3)+LARGE(EJ68:EJ72,4))/3,1),"")</f>
        <v/>
      </c>
      <c r="EK73" s="49" t="str">
        <f aca="false">IF(COUNT(EK68:EK72)=5,ROUND((LARGE(EK68:EK72,2)+LARGE(EK68:EK72,3)+LARGE(EK68:EK72,4))/3,1),"")</f>
        <v/>
      </c>
      <c r="EL73" s="49" t="str">
        <f aca="false">IF(COUNT(EL68:EL72)=5,ROUND((LARGE(EL68:EL72,2)+LARGE(EL68:EL72,3)+LARGE(EL68:EL72,4))/3,1),"")</f>
        <v/>
      </c>
      <c r="EM73" s="49" t="str">
        <f aca="false">IF(COUNT(EM68:EM72)=5,ROUND((LARGE(EM68:EM72,2)+LARGE(EM68:EM72,3)+LARGE(EM68:EM72,4))/3,1),"")</f>
        <v/>
      </c>
      <c r="EN73" s="49" t="str">
        <f aca="false">IF(COUNT(EN68:EN72)=5,ROUND((LARGE(EN68:EN72,2)+LARGE(EN68:EN72,3)+LARGE(EN68:EN72,4))/3,1),"")</f>
        <v/>
      </c>
      <c r="EO73" s="49" t="str">
        <f aca="false">IF(COUNT(EO68:EO72)=5,ROUND((LARGE(EO68:EO72,2)+LARGE(EO68:EO72,3)+LARGE(EO68:EO72,4))/3,1),"")</f>
        <v/>
      </c>
      <c r="EP73" s="49" t="str">
        <f aca="false">IF(COUNT(EP68:EP72)=5,ROUND((LARGE(EP68:EP72,2)+LARGE(EP68:EP72,3)+LARGE(EP68:EP72,4))/3,1),"")</f>
        <v/>
      </c>
      <c r="EQ73" s="49" t="str">
        <f aca="false">IF(COUNT(EQ68:EQ72)=5,ROUND((LARGE(EQ68:EQ72,2)+LARGE(EQ68:EQ72,3)+LARGE(EQ68:EQ72,4))/3,1),"")</f>
        <v/>
      </c>
      <c r="ER73" s="49" t="str">
        <f aca="false">IF(COUNT(ER68:ER72)=5,ROUND((LARGE(ER68:ER72,2)+LARGE(ER68:ER72,3)+LARGE(ER68:ER72,4))/3,1),"")</f>
        <v/>
      </c>
      <c r="ES73" s="49" t="str">
        <f aca="false">IF(COUNT(ES68:ES72)=5,ROUND((LARGE(ES68:ES72,2)+LARGE(ES68:ES72,3)+LARGE(ES68:ES72,4))/3,1),"")</f>
        <v/>
      </c>
      <c r="ET73" s="49" t="str">
        <f aca="false">IF(COUNT(ET68:ET72)=5,ROUND((LARGE(ET68:ET72,2)+LARGE(ET68:ET72,3)+LARGE(ET68:ET72,4))/3,1),"")</f>
        <v/>
      </c>
      <c r="EU73" s="49" t="str">
        <f aca="false">IF(COUNT(EU68:EU72)=5,ROUND((LARGE(EU68:EU72,2)+LARGE(EU68:EU72,3)+LARGE(EU68:EU72,4))/3,1),"")</f>
        <v/>
      </c>
      <c r="EV73" s="49" t="str">
        <f aca="false">IF(COUNT(EV68:EV72)=5,ROUND((LARGE(EV68:EV72,2)+LARGE(EV68:EV72,3)+LARGE(EV68:EV72,4))/3,1),"")</f>
        <v/>
      </c>
      <c r="EW73" s="49" t="str">
        <f aca="false">IF(COUNT(EW68:EW72)=5,ROUND((LARGE(EW68:EW72,2)+LARGE(EW68:EW72,3)+LARGE(EW68:EW72,4))/3,1),"")</f>
        <v/>
      </c>
      <c r="EX73" s="49" t="str">
        <f aca="false">IF(COUNT(EX68:EX72)=5,ROUND((LARGE(EX68:EX72,2)+LARGE(EX68:EX72,3)+LARGE(EX68:EX72,4))/3,1),"")</f>
        <v/>
      </c>
      <c r="EY73" s="49" t="str">
        <f aca="false">IF(COUNT(EY68:EY72)=5,ROUND((LARGE(EY68:EY72,2)+LARGE(EY68:EY72,3)+LARGE(EY68:EY72,4))/3,1),"")</f>
        <v/>
      </c>
      <c r="EZ73" s="49" t="str">
        <f aca="false">IF(COUNT(EZ68:EZ72)=5,ROUND((LARGE(EZ68:EZ72,2)+LARGE(EZ68:EZ72,3)+LARGE(EZ68:EZ72,4))/3,1),"")</f>
        <v/>
      </c>
      <c r="FA73" s="49" t="str">
        <f aca="false">IF(COUNT(FA68:FA72)=5,ROUND((LARGE(FA68:FA72,2)+LARGE(FA68:FA72,3)+LARGE(FA68:FA72,4))/3,1),"")</f>
        <v/>
      </c>
      <c r="FB73" s="49" t="str">
        <f aca="false">IF(COUNT(FB68:FB72)=5,ROUND((LARGE(FB68:FB72,2)+LARGE(FB68:FB72,3)+LARGE(FB68:FB72,4))/3,1),"")</f>
        <v/>
      </c>
      <c r="FC73" s="49" t="str">
        <f aca="false">IF(COUNT(FC68:FC72)=5,ROUND((LARGE(FC68:FC72,2)+LARGE(FC68:FC72,3)+LARGE(FC68:FC72,4))/3,1),"")</f>
        <v/>
      </c>
      <c r="FD73" s="49" t="str">
        <f aca="false">IF(COUNT(FD68:FD72)=5,ROUND((LARGE(FD68:FD72,2)+LARGE(FD68:FD72,3)+LARGE(FD68:FD72,4))/3,1),"")</f>
        <v/>
      </c>
      <c r="FE73" s="49" t="str">
        <f aca="false">IF(COUNT(FE68:FE72)=5,ROUND((LARGE(FE68:FE72,2)+LARGE(FE68:FE72,3)+LARGE(FE68:FE72,4))/3,1),"")</f>
        <v/>
      </c>
      <c r="FF73" s="49" t="str">
        <f aca="false">IF(COUNT(FF68:FF72)=5,ROUND((LARGE(FF68:FF72,2)+LARGE(FF68:FF72,3)+LARGE(FF68:FF72,4))/3,1),"")</f>
        <v/>
      </c>
      <c r="FG73" s="49" t="str">
        <f aca="false">IF(COUNT(FG68:FG72)=5,ROUND((LARGE(FG68:FG72,2)+LARGE(FG68:FG72,3)+LARGE(FG68:FG72,4))/3,1),"")</f>
        <v/>
      </c>
      <c r="FH73" s="49" t="str">
        <f aca="false">IF(COUNT(FH68:FH72)=5,ROUND((LARGE(FH68:FH72,2)+LARGE(FH68:FH72,3)+LARGE(FH68:FH72,4))/3,1),"")</f>
        <v/>
      </c>
      <c r="FI73" s="49" t="str">
        <f aca="false">IF(COUNT(FI68:FI72)=5,ROUND((LARGE(FI68:FI72,2)+LARGE(FI68:FI72,3)+LARGE(FI68:FI72,4))/3,1),"")</f>
        <v/>
      </c>
      <c r="FJ73" s="49" t="str">
        <f aca="false">IF(COUNT(FJ68:FJ72)=5,ROUND((LARGE(FJ68:FJ72,2)+LARGE(FJ68:FJ72,3)+LARGE(FJ68:FJ72,4))/3,1),"")</f>
        <v/>
      </c>
      <c r="FK73" s="49" t="str">
        <f aca="false">IF(COUNT(FK68:FK72)=5,ROUND((LARGE(FK68:FK72,2)+LARGE(FK68:FK72,3)+LARGE(FK68:FK72,4))/3,1),"")</f>
        <v/>
      </c>
      <c r="FL73" s="49" t="str">
        <f aca="false">IF(COUNT(FL68:FL72)=5,ROUND((LARGE(FL68:FL72,2)+LARGE(FL68:FL72,3)+LARGE(FL68:FL72,4))/3,1),"")</f>
        <v/>
      </c>
      <c r="FM73" s="49" t="str">
        <f aca="false">IF(COUNT(FM68:FM72)=5,ROUND((LARGE(FM68:FM72,2)+LARGE(FM68:FM72,3)+LARGE(FM68:FM72,4))/3,1),"")</f>
        <v/>
      </c>
      <c r="FN73" s="49" t="str">
        <f aca="false">IF(COUNT(FN68:FN72)=5,ROUND((LARGE(FN68:FN72,2)+LARGE(FN68:FN72,3)+LARGE(FN68:FN72,4))/3,1),"")</f>
        <v/>
      </c>
      <c r="FO73" s="49" t="str">
        <f aca="false">IF(COUNT(FO68:FO72)=5,ROUND((LARGE(FO68:FO72,2)+LARGE(FO68:FO72,3)+LARGE(FO68:FO72,4))/3,1),"")</f>
        <v/>
      </c>
      <c r="FP73" s="49" t="str">
        <f aca="false">IF(COUNT(FP68:FP72)=5,ROUND((LARGE(FP68:FP72,2)+LARGE(FP68:FP72,3)+LARGE(FP68:FP72,4))/3,1),"")</f>
        <v/>
      </c>
      <c r="FQ73" s="49" t="str">
        <f aca="false">IF(COUNT(FQ68:FQ72)=5,ROUND((LARGE(FQ68:FQ72,2)+LARGE(FQ68:FQ72,3)+LARGE(FQ68:FQ72,4))/3,1),"")</f>
        <v/>
      </c>
    </row>
    <row r="74" customFormat="false" ht="15" hidden="false" customHeight="false" outlineLevel="0" collapsed="false">
      <c r="A74" s="63" t="s">
        <v>406</v>
      </c>
      <c r="B74" s="38" t="s">
        <v>440</v>
      </c>
    </row>
    <row r="75" customFormat="false" ht="15" hidden="false" customHeight="false" outlineLevel="0" collapsed="false">
      <c r="A75" s="37" t="s">
        <v>406</v>
      </c>
      <c r="B75" s="38" t="s">
        <v>168</v>
      </c>
      <c r="D75" s="57" t="str">
        <f aca="false">IF(2_Daily_input!D28="","",2_Daily_input!D28)</f>
        <v/>
      </c>
      <c r="E75" s="57" t="str">
        <f aca="false">IF(2_Daily_input!E28="","",2_Daily_input!E28)</f>
        <v/>
      </c>
      <c r="F75" s="57" t="str">
        <f aca="false">IF(2_Daily_input!F28="","",2_Daily_input!F28)</f>
        <v/>
      </c>
      <c r="G75" s="57" t="str">
        <f aca="false">IF(2_Daily_input!G28="","",2_Daily_input!G28)</f>
        <v/>
      </c>
      <c r="H75" s="57" t="str">
        <f aca="false">IF(2_Daily_input!H28="","",2_Daily_input!H28)</f>
        <v/>
      </c>
      <c r="I75" s="57" t="str">
        <f aca="false">IF(2_Daily_input!I28="","",2_Daily_input!I28)</f>
        <v/>
      </c>
      <c r="J75" s="57" t="str">
        <f aca="false">IF(2_Daily_input!J28="","",2_Daily_input!J28)</f>
        <v/>
      </c>
      <c r="K75" s="57" t="str">
        <f aca="false">IF(2_Daily_input!K28="","",2_Daily_input!K28)</f>
        <v/>
      </c>
      <c r="L75" s="57" t="str">
        <f aca="false">IF(2_Daily_input!L28="","",2_Daily_input!L28)</f>
        <v/>
      </c>
      <c r="M75" s="57" t="str">
        <f aca="false">IF(2_Daily_input!M28="","",2_Daily_input!M28)</f>
        <v/>
      </c>
      <c r="N75" s="57" t="str">
        <f aca="false">IF(2_Daily_input!N28="","",2_Daily_input!N28)</f>
        <v/>
      </c>
      <c r="O75" s="57" t="str">
        <f aca="false">IF(2_Daily_input!O28="","",2_Daily_input!O28)</f>
        <v/>
      </c>
      <c r="P75" s="57" t="str">
        <f aca="false">IF(2_Daily_input!P28="","",2_Daily_input!P28)</f>
        <v/>
      </c>
      <c r="Q75" s="57" t="str">
        <f aca="false">IF(2_Daily_input!Q28="","",2_Daily_input!Q28)</f>
        <v/>
      </c>
      <c r="R75" s="57" t="str">
        <f aca="false">IF(2_Daily_input!R28="","",2_Daily_input!R28)</f>
        <v/>
      </c>
      <c r="S75" s="57" t="str">
        <f aca="false">IF(2_Daily_input!S28="","",2_Daily_input!S28)</f>
        <v/>
      </c>
      <c r="T75" s="57" t="str">
        <f aca="false">IF(2_Daily_input!T28="","",2_Daily_input!T28)</f>
        <v/>
      </c>
      <c r="U75" s="57" t="str">
        <f aca="false">IF(2_Daily_input!U28="","",2_Daily_input!U28)</f>
        <v/>
      </c>
      <c r="V75" s="57" t="str">
        <f aca="false">IF(2_Daily_input!V28="","",2_Daily_input!V28)</f>
        <v/>
      </c>
      <c r="W75" s="57" t="str">
        <f aca="false">IF(2_Daily_input!W28="","",2_Daily_input!W28)</f>
        <v/>
      </c>
      <c r="X75" s="57" t="str">
        <f aca="false">IF(2_Daily_input!X28="","",2_Daily_input!X28)</f>
        <v/>
      </c>
      <c r="Y75" s="57" t="str">
        <f aca="false">IF(2_Daily_input!Y28="","",2_Daily_input!Y28)</f>
        <v/>
      </c>
      <c r="Z75" s="57" t="str">
        <f aca="false">IF(2_Daily_input!Z28="","",2_Daily_input!Z28)</f>
        <v/>
      </c>
      <c r="AA75" s="57" t="str">
        <f aca="false">IF(2_Daily_input!AA28="","",2_Daily_input!AA28)</f>
        <v/>
      </c>
      <c r="AB75" s="57" t="str">
        <f aca="false">IF(2_Daily_input!AB28="","",2_Daily_input!AB28)</f>
        <v/>
      </c>
      <c r="AC75" s="57" t="str">
        <f aca="false">IF(2_Daily_input!AC28="","",2_Daily_input!AC28)</f>
        <v/>
      </c>
      <c r="AD75" s="57" t="str">
        <f aca="false">IF(2_Daily_input!AD28="","",2_Daily_input!AD28)</f>
        <v/>
      </c>
      <c r="AE75" s="57" t="str">
        <f aca="false">IF(2_Daily_input!AE28="","",2_Daily_input!AE28)</f>
        <v/>
      </c>
      <c r="AF75" s="57" t="str">
        <f aca="false">IF(2_Daily_input!AF28="","",2_Daily_input!AF28)</f>
        <v/>
      </c>
      <c r="AG75" s="57" t="str">
        <f aca="false">IF(2_Daily_input!AG28="","",2_Daily_input!AG28)</f>
        <v/>
      </c>
      <c r="AH75" s="57" t="str">
        <f aca="false">IF(2_Daily_input!AH28="","",2_Daily_input!AH28)</f>
        <v/>
      </c>
      <c r="AI75" s="57" t="str">
        <f aca="false">IF(2_Daily_input!AI28="","",2_Daily_input!AI28)</f>
        <v/>
      </c>
      <c r="AJ75" s="57" t="str">
        <f aca="false">IF(2_Daily_input!AJ28="","",2_Daily_input!AJ28)</f>
        <v/>
      </c>
      <c r="AK75" s="57" t="str">
        <f aca="false">IF(2_Daily_input!AK28="","",2_Daily_input!AK28)</f>
        <v/>
      </c>
      <c r="AL75" s="57" t="str">
        <f aca="false">IF(2_Daily_input!AL28="","",2_Daily_input!AL28)</f>
        <v/>
      </c>
      <c r="AM75" s="57" t="str">
        <f aca="false">IF(2_Daily_input!AM28="","",2_Daily_input!AM28)</f>
        <v/>
      </c>
      <c r="AN75" s="57" t="str">
        <f aca="false">IF(2_Daily_input!AN28="","",2_Daily_input!AN28)</f>
        <v/>
      </c>
      <c r="AO75" s="57" t="str">
        <f aca="false">IF(2_Daily_input!AO28="","",2_Daily_input!AO28)</f>
        <v/>
      </c>
      <c r="AP75" s="57" t="str">
        <f aca="false">IF(2_Daily_input!AP28="","",2_Daily_input!AP28)</f>
        <v/>
      </c>
      <c r="AQ75" s="57" t="str">
        <f aca="false">IF(2_Daily_input!AQ28="","",2_Daily_input!AQ28)</f>
        <v/>
      </c>
      <c r="AR75" s="57" t="str">
        <f aca="false">IF(2_Daily_input!AR28="","",2_Daily_input!AR28)</f>
        <v/>
      </c>
      <c r="AS75" s="57" t="str">
        <f aca="false">IF(2_Daily_input!AS28="","",2_Daily_input!AS28)</f>
        <v/>
      </c>
      <c r="AT75" s="57" t="str">
        <f aca="false">IF(2_Daily_input!AT28="","",2_Daily_input!AT28)</f>
        <v/>
      </c>
      <c r="AU75" s="57" t="str">
        <f aca="false">IF(2_Daily_input!AU28="","",2_Daily_input!AU28)</f>
        <v/>
      </c>
      <c r="AV75" s="57" t="str">
        <f aca="false">IF(2_Daily_input!AV28="","",2_Daily_input!AV28)</f>
        <v/>
      </c>
      <c r="AW75" s="57" t="str">
        <f aca="false">IF(2_Daily_input!AW28="","",2_Daily_input!AW28)</f>
        <v/>
      </c>
      <c r="AX75" s="57" t="str">
        <f aca="false">IF(2_Daily_input!AX28="","",2_Daily_input!AX28)</f>
        <v/>
      </c>
      <c r="AY75" s="57" t="str">
        <f aca="false">IF(2_Daily_input!AY28="","",2_Daily_input!AY28)</f>
        <v/>
      </c>
      <c r="AZ75" s="57" t="str">
        <f aca="false">IF(2_Daily_input!AZ28="","",2_Daily_input!AZ28)</f>
        <v/>
      </c>
      <c r="BA75" s="57" t="str">
        <f aca="false">IF(2_Daily_input!BA28="","",2_Daily_input!BA28)</f>
        <v/>
      </c>
      <c r="BB75" s="57" t="str">
        <f aca="false">IF(2_Daily_input!BB28="","",2_Daily_input!BB28)</f>
        <v/>
      </c>
      <c r="BC75" s="57" t="str">
        <f aca="false">IF(2_Daily_input!BC28="","",2_Daily_input!BC28)</f>
        <v/>
      </c>
      <c r="BD75" s="57" t="str">
        <f aca="false">IF(2_Daily_input!BD28="","",2_Daily_input!BD28)</f>
        <v/>
      </c>
      <c r="BE75" s="57" t="str">
        <f aca="false">IF(2_Daily_input!BE28="","",2_Daily_input!BE28)</f>
        <v/>
      </c>
      <c r="BF75" s="57" t="str">
        <f aca="false">IF(2_Daily_input!BF28="","",2_Daily_input!BF28)</f>
        <v/>
      </c>
      <c r="BG75" s="57" t="str">
        <f aca="false">IF(2_Daily_input!BG28="","",2_Daily_input!BG28)</f>
        <v/>
      </c>
      <c r="BH75" s="57" t="str">
        <f aca="false">IF(2_Daily_input!BH28="","",2_Daily_input!BH28)</f>
        <v/>
      </c>
      <c r="BI75" s="57" t="str">
        <f aca="false">IF(2_Daily_input!BI28="","",2_Daily_input!BI28)</f>
        <v/>
      </c>
      <c r="BJ75" s="57" t="str">
        <f aca="false">IF(2_Daily_input!BJ28="","",2_Daily_input!BJ28)</f>
        <v/>
      </c>
      <c r="BK75" s="57" t="str">
        <f aca="false">IF(2_Daily_input!BK28="","",2_Daily_input!BK28)</f>
        <v/>
      </c>
      <c r="BL75" s="57" t="str">
        <f aca="false">IF(2_Daily_input!BL28="","",2_Daily_input!BL28)</f>
        <v/>
      </c>
      <c r="BM75" s="57" t="str">
        <f aca="false">IF(2_Daily_input!BM28="","",2_Daily_input!BM28)</f>
        <v/>
      </c>
      <c r="BN75" s="57" t="str">
        <f aca="false">IF(2_Daily_input!BN28="","",2_Daily_input!BN28)</f>
        <v/>
      </c>
      <c r="BO75" s="57" t="str">
        <f aca="false">IF(2_Daily_input!BO28="","",2_Daily_input!BO28)</f>
        <v/>
      </c>
      <c r="BP75" s="57" t="str">
        <f aca="false">IF(2_Daily_input!BP28="","",2_Daily_input!BP28)</f>
        <v/>
      </c>
      <c r="BQ75" s="57" t="str">
        <f aca="false">IF(2_Daily_input!BQ28="","",2_Daily_input!BQ28)</f>
        <v/>
      </c>
      <c r="BR75" s="57" t="str">
        <f aca="false">IF(2_Daily_input!BR28="","",2_Daily_input!BR28)</f>
        <v/>
      </c>
      <c r="BS75" s="57" t="str">
        <f aca="false">IF(2_Daily_input!BS28="","",2_Daily_input!BS28)</f>
        <v/>
      </c>
      <c r="BT75" s="57" t="str">
        <f aca="false">IF(2_Daily_input!BT28="","",2_Daily_input!BT28)</f>
        <v/>
      </c>
      <c r="BU75" s="57" t="str">
        <f aca="false">IF(2_Daily_input!BU28="","",2_Daily_input!BU28)</f>
        <v/>
      </c>
      <c r="BV75" s="57" t="str">
        <f aca="false">IF(2_Daily_input!BV28="","",2_Daily_input!BV28)</f>
        <v/>
      </c>
      <c r="BW75" s="57" t="str">
        <f aca="false">IF(2_Daily_input!BW28="","",2_Daily_input!BW28)</f>
        <v/>
      </c>
      <c r="BX75" s="57" t="str">
        <f aca="false">IF(2_Daily_input!BX28="","",2_Daily_input!BX28)</f>
        <v/>
      </c>
      <c r="BY75" s="57" t="str">
        <f aca="false">IF(2_Daily_input!BY28="","",2_Daily_input!BY28)</f>
        <v/>
      </c>
      <c r="BZ75" s="57" t="str">
        <f aca="false">IF(2_Daily_input!BZ28="","",2_Daily_input!BZ28)</f>
        <v/>
      </c>
      <c r="CA75" s="57" t="str">
        <f aca="false">IF(2_Daily_input!CA28="","",2_Daily_input!CA28)</f>
        <v/>
      </c>
      <c r="CB75" s="57" t="str">
        <f aca="false">IF(2_Daily_input!CB28="","",2_Daily_input!CB28)</f>
        <v/>
      </c>
      <c r="CC75" s="57" t="str">
        <f aca="false">IF(2_Daily_input!CC28="","",2_Daily_input!CC28)</f>
        <v/>
      </c>
      <c r="CD75" s="57" t="str">
        <f aca="false">IF(2_Daily_input!CD28="","",2_Daily_input!CD28)</f>
        <v/>
      </c>
      <c r="CE75" s="57" t="str">
        <f aca="false">IF(2_Daily_input!CE28="","",2_Daily_input!CE28)</f>
        <v/>
      </c>
      <c r="CF75" s="57" t="str">
        <f aca="false">IF(2_Daily_input!CF28="","",2_Daily_input!CF28)</f>
        <v/>
      </c>
      <c r="CG75" s="57" t="str">
        <f aca="false">IF(2_Daily_input!CG28="","",2_Daily_input!CG28)</f>
        <v/>
      </c>
      <c r="CH75" s="57" t="str">
        <f aca="false">IF(2_Daily_input!CH28="","",2_Daily_input!CH28)</f>
        <v/>
      </c>
      <c r="CI75" s="57" t="str">
        <f aca="false">IF(2_Daily_input!CI28="","",2_Daily_input!CI28)</f>
        <v/>
      </c>
      <c r="CJ75" s="57" t="str">
        <f aca="false">IF(2_Daily_input!CJ28="","",2_Daily_input!CJ28)</f>
        <v/>
      </c>
      <c r="CK75" s="57" t="str">
        <f aca="false">IF(2_Daily_input!CK28="","",2_Daily_input!CK28)</f>
        <v/>
      </c>
      <c r="CL75" s="57" t="str">
        <f aca="false">IF(2_Daily_input!CL28="","",2_Daily_input!CL28)</f>
        <v/>
      </c>
      <c r="CM75" s="57" t="str">
        <f aca="false">IF(2_Daily_input!CM28="","",2_Daily_input!CM28)</f>
        <v/>
      </c>
      <c r="CN75" s="57" t="str">
        <f aca="false">IF(2_Daily_input!CN28="","",2_Daily_input!CN28)</f>
        <v/>
      </c>
      <c r="CO75" s="57" t="str">
        <f aca="false">IF(2_Daily_input!CO28="","",2_Daily_input!CO28)</f>
        <v/>
      </c>
      <c r="CP75" s="57" t="str">
        <f aca="false">IF(2_Daily_input!CP28="","",2_Daily_input!CP28)</f>
        <v/>
      </c>
      <c r="CQ75" s="57" t="str">
        <f aca="false">IF(2_Daily_input!CQ28="","",2_Daily_input!CQ28)</f>
        <v/>
      </c>
      <c r="CR75" s="57" t="str">
        <f aca="false">IF(2_Daily_input!CR28="","",2_Daily_input!CR28)</f>
        <v/>
      </c>
      <c r="CS75" s="57" t="str">
        <f aca="false">IF(2_Daily_input!CS28="","",2_Daily_input!CS28)</f>
        <v/>
      </c>
      <c r="CT75" s="57" t="str">
        <f aca="false">IF(2_Daily_input!CT28="","",2_Daily_input!CT28)</f>
        <v/>
      </c>
      <c r="CU75" s="57" t="str">
        <f aca="false">IF(2_Daily_input!CU28="","",2_Daily_input!CU28)</f>
        <v/>
      </c>
      <c r="CV75" s="57" t="str">
        <f aca="false">IF(2_Daily_input!CV28="","",2_Daily_input!CV28)</f>
        <v/>
      </c>
      <c r="CW75" s="57" t="str">
        <f aca="false">IF(2_Daily_input!CW28="","",2_Daily_input!CW28)</f>
        <v/>
      </c>
      <c r="CX75" s="57" t="str">
        <f aca="false">IF(2_Daily_input!CX28="","",2_Daily_input!CX28)</f>
        <v/>
      </c>
      <c r="CY75" s="57" t="str">
        <f aca="false">IF(2_Daily_input!CY28="","",2_Daily_input!CY28)</f>
        <v/>
      </c>
      <c r="CZ75" s="57" t="str">
        <f aca="false">IF(2_Daily_input!CZ28="","",2_Daily_input!CZ28)</f>
        <v/>
      </c>
      <c r="DA75" s="57" t="str">
        <f aca="false">IF(2_Daily_input!DA28="","",2_Daily_input!DA28)</f>
        <v/>
      </c>
      <c r="DB75" s="57" t="str">
        <f aca="false">IF(2_Daily_input!DB28="","",2_Daily_input!DB28)</f>
        <v/>
      </c>
      <c r="DC75" s="57" t="str">
        <f aca="false">IF(2_Daily_input!DC28="","",2_Daily_input!DC28)</f>
        <v/>
      </c>
      <c r="DD75" s="57" t="str">
        <f aca="false">IF(2_Daily_input!DD28="","",2_Daily_input!DD28)</f>
        <v/>
      </c>
      <c r="DE75" s="57" t="str">
        <f aca="false">IF(2_Daily_input!DE28="","",2_Daily_input!DE28)</f>
        <v/>
      </c>
      <c r="DF75" s="57" t="str">
        <f aca="false">IF(2_Daily_input!DF28="","",2_Daily_input!DF28)</f>
        <v/>
      </c>
      <c r="DG75" s="57" t="str">
        <f aca="false">IF(2_Daily_input!DG28="","",2_Daily_input!DG28)</f>
        <v/>
      </c>
      <c r="DH75" s="57" t="str">
        <f aca="false">IF(2_Daily_input!DH28="","",2_Daily_input!DH28)</f>
        <v/>
      </c>
      <c r="DI75" s="57" t="str">
        <f aca="false">IF(2_Daily_input!DI28="","",2_Daily_input!DI28)</f>
        <v/>
      </c>
      <c r="DJ75" s="57" t="str">
        <f aca="false">IF(2_Daily_input!DJ28="","",2_Daily_input!DJ28)</f>
        <v/>
      </c>
      <c r="DK75" s="57" t="str">
        <f aca="false">IF(2_Daily_input!DK28="","",2_Daily_input!DK28)</f>
        <v/>
      </c>
      <c r="DL75" s="57" t="str">
        <f aca="false">IF(2_Daily_input!DL28="","",2_Daily_input!DL28)</f>
        <v/>
      </c>
      <c r="DM75" s="57" t="str">
        <f aca="false">IF(2_Daily_input!DM28="","",2_Daily_input!DM28)</f>
        <v/>
      </c>
      <c r="DN75" s="57" t="str">
        <f aca="false">IF(2_Daily_input!DN28="","",2_Daily_input!DN28)</f>
        <v/>
      </c>
      <c r="DO75" s="57" t="str">
        <f aca="false">IF(2_Daily_input!DO28="","",2_Daily_input!DO28)</f>
        <v/>
      </c>
      <c r="DP75" s="57" t="str">
        <f aca="false">IF(2_Daily_input!DP28="","",2_Daily_input!DP28)</f>
        <v/>
      </c>
      <c r="DQ75" s="57" t="str">
        <f aca="false">IF(2_Daily_input!DQ28="","",2_Daily_input!DQ28)</f>
        <v/>
      </c>
      <c r="DR75" s="57" t="str">
        <f aca="false">IF(2_Daily_input!DR28="","",2_Daily_input!DR28)</f>
        <v/>
      </c>
      <c r="DS75" s="57" t="str">
        <f aca="false">IF(2_Daily_input!DS28="","",2_Daily_input!DS28)</f>
        <v/>
      </c>
      <c r="DT75" s="57" t="str">
        <f aca="false">IF(2_Daily_input!DT28="","",2_Daily_input!DT28)</f>
        <v/>
      </c>
      <c r="DU75" s="57" t="str">
        <f aca="false">IF(2_Daily_input!DU28="","",2_Daily_input!DU28)</f>
        <v/>
      </c>
      <c r="DV75" s="57" t="str">
        <f aca="false">IF(2_Daily_input!DV28="","",2_Daily_input!DV28)</f>
        <v/>
      </c>
      <c r="DW75" s="57" t="str">
        <f aca="false">IF(2_Daily_input!DW28="","",2_Daily_input!DW28)</f>
        <v/>
      </c>
      <c r="DX75" s="57" t="str">
        <f aca="false">IF(2_Daily_input!DX28="","",2_Daily_input!DX28)</f>
        <v/>
      </c>
      <c r="DY75" s="57" t="str">
        <f aca="false">IF(2_Daily_input!DY28="","",2_Daily_input!DY28)</f>
        <v/>
      </c>
      <c r="DZ75" s="57" t="str">
        <f aca="false">IF(2_Daily_input!DZ28="","",2_Daily_input!DZ28)</f>
        <v/>
      </c>
      <c r="EA75" s="57" t="str">
        <f aca="false">IF(2_Daily_input!EA28="","",2_Daily_input!EA28)</f>
        <v/>
      </c>
      <c r="EB75" s="57" t="str">
        <f aca="false">IF(2_Daily_input!EB28="","",2_Daily_input!EB28)</f>
        <v/>
      </c>
      <c r="EC75" s="57" t="str">
        <f aca="false">IF(2_Daily_input!EC28="","",2_Daily_input!EC28)</f>
        <v/>
      </c>
      <c r="ED75" s="57" t="str">
        <f aca="false">IF(2_Daily_input!ED28="","",2_Daily_input!ED28)</f>
        <v/>
      </c>
      <c r="EE75" s="57" t="str">
        <f aca="false">IF(2_Daily_input!EE28="","",2_Daily_input!EE28)</f>
        <v/>
      </c>
      <c r="EF75" s="57" t="str">
        <f aca="false">IF(2_Daily_input!EF28="","",2_Daily_input!EF28)</f>
        <v/>
      </c>
      <c r="EG75" s="57" t="str">
        <f aca="false">IF(2_Daily_input!EG28="","",2_Daily_input!EG28)</f>
        <v/>
      </c>
      <c r="EH75" s="57" t="str">
        <f aca="false">IF(2_Daily_input!EH28="","",2_Daily_input!EH28)</f>
        <v/>
      </c>
      <c r="EI75" s="57" t="str">
        <f aca="false">IF(2_Daily_input!EI28="","",2_Daily_input!EI28)</f>
        <v/>
      </c>
      <c r="EJ75" s="57" t="str">
        <f aca="false">IF(2_Daily_input!EJ28="","",2_Daily_input!EJ28)</f>
        <v/>
      </c>
      <c r="EK75" s="57" t="str">
        <f aca="false">IF(2_Daily_input!EK28="","",2_Daily_input!EK28)</f>
        <v/>
      </c>
      <c r="EL75" s="57" t="str">
        <f aca="false">IF(2_Daily_input!EL28="","",2_Daily_input!EL28)</f>
        <v/>
      </c>
      <c r="EM75" s="57" t="str">
        <f aca="false">IF(2_Daily_input!EM28="","",2_Daily_input!EM28)</f>
        <v/>
      </c>
      <c r="EN75" s="57" t="str">
        <f aca="false">IF(2_Daily_input!EN28="","",2_Daily_input!EN28)</f>
        <v/>
      </c>
      <c r="EO75" s="57" t="str">
        <f aca="false">IF(2_Daily_input!EO28="","",2_Daily_input!EO28)</f>
        <v/>
      </c>
      <c r="EP75" s="57" t="str">
        <f aca="false">IF(2_Daily_input!EP28="","",2_Daily_input!EP28)</f>
        <v/>
      </c>
      <c r="EQ75" s="57" t="str">
        <f aca="false">IF(2_Daily_input!EQ28="","",2_Daily_input!EQ28)</f>
        <v/>
      </c>
      <c r="ER75" s="57" t="str">
        <f aca="false">IF(2_Daily_input!ER28="","",2_Daily_input!ER28)</f>
        <v/>
      </c>
      <c r="ES75" s="57" t="str">
        <f aca="false">IF(2_Daily_input!ES28="","",2_Daily_input!ES28)</f>
        <v/>
      </c>
      <c r="ET75" s="57" t="str">
        <f aca="false">IF(2_Daily_input!ET28="","",2_Daily_input!ET28)</f>
        <v/>
      </c>
      <c r="EU75" s="57" t="str">
        <f aca="false">IF(2_Daily_input!EU28="","",2_Daily_input!EU28)</f>
        <v/>
      </c>
      <c r="EV75" s="57" t="str">
        <f aca="false">IF(2_Daily_input!EV28="","",2_Daily_input!EV28)</f>
        <v/>
      </c>
      <c r="EW75" s="57" t="str">
        <f aca="false">IF(2_Daily_input!EW28="","",2_Daily_input!EW28)</f>
        <v/>
      </c>
      <c r="EX75" s="57" t="str">
        <f aca="false">IF(2_Daily_input!EX28="","",2_Daily_input!EX28)</f>
        <v/>
      </c>
      <c r="EY75" s="57" t="str">
        <f aca="false">IF(2_Daily_input!EY28="","",2_Daily_input!EY28)</f>
        <v/>
      </c>
      <c r="EZ75" s="57" t="str">
        <f aca="false">IF(2_Daily_input!EZ28="","",2_Daily_input!EZ28)</f>
        <v/>
      </c>
      <c r="FA75" s="57" t="str">
        <f aca="false">IF(2_Daily_input!FA28="","",2_Daily_input!FA28)</f>
        <v/>
      </c>
      <c r="FB75" s="57" t="str">
        <f aca="false">IF(2_Daily_input!FB28="","",2_Daily_input!FB28)</f>
        <v/>
      </c>
      <c r="FC75" s="57" t="str">
        <f aca="false">IF(2_Daily_input!FC28="","",2_Daily_input!FC28)</f>
        <v/>
      </c>
      <c r="FD75" s="57" t="str">
        <f aca="false">IF(2_Daily_input!FD28="","",2_Daily_input!FD28)</f>
        <v/>
      </c>
      <c r="FE75" s="57" t="str">
        <f aca="false">IF(2_Daily_input!FE28="","",2_Daily_input!FE28)</f>
        <v/>
      </c>
      <c r="FF75" s="57" t="str">
        <f aca="false">IF(2_Daily_input!FF28="","",2_Daily_input!FF28)</f>
        <v/>
      </c>
      <c r="FG75" s="57" t="str">
        <f aca="false">IF(2_Daily_input!FG28="","",2_Daily_input!FG28)</f>
        <v/>
      </c>
      <c r="FH75" s="57" t="str">
        <f aca="false">IF(2_Daily_input!FH28="","",2_Daily_input!FH28)</f>
        <v/>
      </c>
      <c r="FI75" s="57" t="str">
        <f aca="false">IF(2_Daily_input!FI28="","",2_Daily_input!FI28)</f>
        <v/>
      </c>
      <c r="FJ75" s="57" t="str">
        <f aca="false">IF(2_Daily_input!FJ28="","",2_Daily_input!FJ28)</f>
        <v/>
      </c>
      <c r="FK75" s="57" t="str">
        <f aca="false">IF(2_Daily_input!FK28="","",2_Daily_input!FK28)</f>
        <v/>
      </c>
      <c r="FL75" s="57" t="str">
        <f aca="false">IF(2_Daily_input!FL28="","",2_Daily_input!FL28)</f>
        <v/>
      </c>
      <c r="FM75" s="57" t="str">
        <f aca="false">IF(2_Daily_input!FM28="","",2_Daily_input!FM28)</f>
        <v/>
      </c>
      <c r="FN75" s="57" t="str">
        <f aca="false">IF(2_Daily_input!FN28="","",2_Daily_input!FN28)</f>
        <v/>
      </c>
      <c r="FO75" s="57" t="str">
        <f aca="false">IF(2_Daily_input!FO28="","",2_Daily_input!FO28)</f>
        <v/>
      </c>
      <c r="FP75" s="57" t="str">
        <f aca="false">IF(2_Daily_input!FP28="","",2_Daily_input!FP28)</f>
        <v/>
      </c>
      <c r="FQ75" s="57" t="str">
        <f aca="false">IF(2_Daily_input!FQ28="","",2_Daily_input!FQ28)</f>
        <v/>
      </c>
    </row>
    <row r="76" customFormat="false" ht="15" hidden="false" customHeight="false" outlineLevel="0" collapsed="false">
      <c r="A76" s="37" t="s">
        <v>406</v>
      </c>
      <c r="B76" s="38" t="s">
        <v>170</v>
      </c>
      <c r="D76" s="57" t="str">
        <f aca="false">IF(2_Daily_input!D29="","",2_Daily_input!D29)</f>
        <v/>
      </c>
      <c r="E76" s="57" t="str">
        <f aca="false">IF(2_Daily_input!E29="","",2_Daily_input!E29)</f>
        <v/>
      </c>
      <c r="F76" s="57" t="str">
        <f aca="false">IF(2_Daily_input!F29="","",2_Daily_input!F29)</f>
        <v/>
      </c>
      <c r="G76" s="57" t="str">
        <f aca="false">IF(2_Daily_input!G29="","",2_Daily_input!G29)</f>
        <v/>
      </c>
      <c r="H76" s="57" t="str">
        <f aca="false">IF(2_Daily_input!H29="","",2_Daily_input!H29)</f>
        <v/>
      </c>
      <c r="I76" s="57" t="str">
        <f aca="false">IF(2_Daily_input!I29="","",2_Daily_input!I29)</f>
        <v/>
      </c>
      <c r="J76" s="57" t="str">
        <f aca="false">IF(2_Daily_input!J29="","",2_Daily_input!J29)</f>
        <v/>
      </c>
      <c r="K76" s="57" t="str">
        <f aca="false">IF(2_Daily_input!K29="","",2_Daily_input!K29)</f>
        <v/>
      </c>
      <c r="L76" s="57" t="str">
        <f aca="false">IF(2_Daily_input!L29="","",2_Daily_input!L29)</f>
        <v/>
      </c>
      <c r="M76" s="57" t="str">
        <f aca="false">IF(2_Daily_input!M29="","",2_Daily_input!M29)</f>
        <v/>
      </c>
      <c r="N76" s="57" t="str">
        <f aca="false">IF(2_Daily_input!N29="","",2_Daily_input!N29)</f>
        <v/>
      </c>
      <c r="O76" s="57" t="str">
        <f aca="false">IF(2_Daily_input!O29="","",2_Daily_input!O29)</f>
        <v/>
      </c>
      <c r="P76" s="57" t="str">
        <f aca="false">IF(2_Daily_input!P29="","",2_Daily_input!P29)</f>
        <v/>
      </c>
      <c r="Q76" s="57" t="str">
        <f aca="false">IF(2_Daily_input!Q29="","",2_Daily_input!Q29)</f>
        <v/>
      </c>
      <c r="R76" s="57" t="str">
        <f aca="false">IF(2_Daily_input!R29="","",2_Daily_input!R29)</f>
        <v/>
      </c>
      <c r="S76" s="57" t="str">
        <f aca="false">IF(2_Daily_input!S29="","",2_Daily_input!S29)</f>
        <v/>
      </c>
      <c r="T76" s="57" t="str">
        <f aca="false">IF(2_Daily_input!T29="","",2_Daily_input!T29)</f>
        <v/>
      </c>
      <c r="U76" s="57" t="str">
        <f aca="false">IF(2_Daily_input!U29="","",2_Daily_input!U29)</f>
        <v/>
      </c>
      <c r="V76" s="57" t="str">
        <f aca="false">IF(2_Daily_input!V29="","",2_Daily_input!V29)</f>
        <v/>
      </c>
      <c r="W76" s="57" t="str">
        <f aca="false">IF(2_Daily_input!W29="","",2_Daily_input!W29)</f>
        <v/>
      </c>
      <c r="X76" s="57" t="str">
        <f aca="false">IF(2_Daily_input!X29="","",2_Daily_input!X29)</f>
        <v/>
      </c>
      <c r="Y76" s="57" t="str">
        <f aca="false">IF(2_Daily_input!Y29="","",2_Daily_input!Y29)</f>
        <v/>
      </c>
      <c r="Z76" s="57" t="str">
        <f aca="false">IF(2_Daily_input!Z29="","",2_Daily_input!Z29)</f>
        <v/>
      </c>
      <c r="AA76" s="57" t="str">
        <f aca="false">IF(2_Daily_input!AA29="","",2_Daily_input!AA29)</f>
        <v/>
      </c>
      <c r="AB76" s="57" t="str">
        <f aca="false">IF(2_Daily_input!AB29="","",2_Daily_input!AB29)</f>
        <v/>
      </c>
      <c r="AC76" s="57" t="str">
        <f aca="false">IF(2_Daily_input!AC29="","",2_Daily_input!AC29)</f>
        <v/>
      </c>
      <c r="AD76" s="57" t="str">
        <f aca="false">IF(2_Daily_input!AD29="","",2_Daily_input!AD29)</f>
        <v/>
      </c>
      <c r="AE76" s="57" t="str">
        <f aca="false">IF(2_Daily_input!AE29="","",2_Daily_input!AE29)</f>
        <v/>
      </c>
      <c r="AF76" s="57" t="str">
        <f aca="false">IF(2_Daily_input!AF29="","",2_Daily_input!AF29)</f>
        <v/>
      </c>
      <c r="AG76" s="57" t="str">
        <f aca="false">IF(2_Daily_input!AG29="","",2_Daily_input!AG29)</f>
        <v/>
      </c>
      <c r="AH76" s="57" t="str">
        <f aca="false">IF(2_Daily_input!AH29="","",2_Daily_input!AH29)</f>
        <v/>
      </c>
      <c r="AI76" s="57" t="str">
        <f aca="false">IF(2_Daily_input!AI29="","",2_Daily_input!AI29)</f>
        <v/>
      </c>
      <c r="AJ76" s="57" t="str">
        <f aca="false">IF(2_Daily_input!AJ29="","",2_Daily_input!AJ29)</f>
        <v/>
      </c>
      <c r="AK76" s="57" t="str">
        <f aca="false">IF(2_Daily_input!AK29="","",2_Daily_input!AK29)</f>
        <v/>
      </c>
      <c r="AL76" s="57" t="str">
        <f aca="false">IF(2_Daily_input!AL29="","",2_Daily_input!AL29)</f>
        <v/>
      </c>
      <c r="AM76" s="57" t="str">
        <f aca="false">IF(2_Daily_input!AM29="","",2_Daily_input!AM29)</f>
        <v/>
      </c>
      <c r="AN76" s="57" t="str">
        <f aca="false">IF(2_Daily_input!AN29="","",2_Daily_input!AN29)</f>
        <v/>
      </c>
      <c r="AO76" s="57" t="str">
        <f aca="false">IF(2_Daily_input!AO29="","",2_Daily_input!AO29)</f>
        <v/>
      </c>
      <c r="AP76" s="57" t="str">
        <f aca="false">IF(2_Daily_input!AP29="","",2_Daily_input!AP29)</f>
        <v/>
      </c>
      <c r="AQ76" s="57" t="str">
        <f aca="false">IF(2_Daily_input!AQ29="","",2_Daily_input!AQ29)</f>
        <v/>
      </c>
      <c r="AR76" s="57" t="str">
        <f aca="false">IF(2_Daily_input!AR29="","",2_Daily_input!AR29)</f>
        <v/>
      </c>
      <c r="AS76" s="57" t="str">
        <f aca="false">IF(2_Daily_input!AS29="","",2_Daily_input!AS29)</f>
        <v/>
      </c>
      <c r="AT76" s="57" t="str">
        <f aca="false">IF(2_Daily_input!AT29="","",2_Daily_input!AT29)</f>
        <v/>
      </c>
      <c r="AU76" s="57" t="str">
        <f aca="false">IF(2_Daily_input!AU29="","",2_Daily_input!AU29)</f>
        <v/>
      </c>
      <c r="AV76" s="57" t="str">
        <f aca="false">IF(2_Daily_input!AV29="","",2_Daily_input!AV29)</f>
        <v/>
      </c>
      <c r="AW76" s="57" t="str">
        <f aca="false">IF(2_Daily_input!AW29="","",2_Daily_input!AW29)</f>
        <v/>
      </c>
      <c r="AX76" s="57" t="str">
        <f aca="false">IF(2_Daily_input!AX29="","",2_Daily_input!AX29)</f>
        <v/>
      </c>
      <c r="AY76" s="57" t="str">
        <f aca="false">IF(2_Daily_input!AY29="","",2_Daily_input!AY29)</f>
        <v/>
      </c>
      <c r="AZ76" s="57" t="str">
        <f aca="false">IF(2_Daily_input!AZ29="","",2_Daily_input!AZ29)</f>
        <v/>
      </c>
      <c r="BA76" s="57" t="str">
        <f aca="false">IF(2_Daily_input!BA29="","",2_Daily_input!BA29)</f>
        <v/>
      </c>
      <c r="BB76" s="57" t="str">
        <f aca="false">IF(2_Daily_input!BB29="","",2_Daily_input!BB29)</f>
        <v/>
      </c>
      <c r="BC76" s="57" t="str">
        <f aca="false">IF(2_Daily_input!BC29="","",2_Daily_input!BC29)</f>
        <v/>
      </c>
      <c r="BD76" s="57" t="str">
        <f aca="false">IF(2_Daily_input!BD29="","",2_Daily_input!BD29)</f>
        <v/>
      </c>
      <c r="BE76" s="57" t="str">
        <f aca="false">IF(2_Daily_input!BE29="","",2_Daily_input!BE29)</f>
        <v/>
      </c>
      <c r="BF76" s="57" t="str">
        <f aca="false">IF(2_Daily_input!BF29="","",2_Daily_input!BF29)</f>
        <v/>
      </c>
      <c r="BG76" s="57" t="str">
        <f aca="false">IF(2_Daily_input!BG29="","",2_Daily_input!BG29)</f>
        <v/>
      </c>
      <c r="BH76" s="57" t="str">
        <f aca="false">IF(2_Daily_input!BH29="","",2_Daily_input!BH29)</f>
        <v/>
      </c>
      <c r="BI76" s="57" t="str">
        <f aca="false">IF(2_Daily_input!BI29="","",2_Daily_input!BI29)</f>
        <v/>
      </c>
      <c r="BJ76" s="57" t="str">
        <f aca="false">IF(2_Daily_input!BJ29="","",2_Daily_input!BJ29)</f>
        <v/>
      </c>
      <c r="BK76" s="57" t="str">
        <f aca="false">IF(2_Daily_input!BK29="","",2_Daily_input!BK29)</f>
        <v/>
      </c>
      <c r="BL76" s="57" t="str">
        <f aca="false">IF(2_Daily_input!BL29="","",2_Daily_input!BL29)</f>
        <v/>
      </c>
      <c r="BM76" s="57" t="str">
        <f aca="false">IF(2_Daily_input!BM29="","",2_Daily_input!BM29)</f>
        <v/>
      </c>
      <c r="BN76" s="57" t="str">
        <f aca="false">IF(2_Daily_input!BN29="","",2_Daily_input!BN29)</f>
        <v/>
      </c>
      <c r="BO76" s="57" t="str">
        <f aca="false">IF(2_Daily_input!BO29="","",2_Daily_input!BO29)</f>
        <v/>
      </c>
      <c r="BP76" s="57" t="str">
        <f aca="false">IF(2_Daily_input!BP29="","",2_Daily_input!BP29)</f>
        <v/>
      </c>
      <c r="BQ76" s="57" t="str">
        <f aca="false">IF(2_Daily_input!BQ29="","",2_Daily_input!BQ29)</f>
        <v/>
      </c>
      <c r="BR76" s="57" t="str">
        <f aca="false">IF(2_Daily_input!BR29="","",2_Daily_input!BR29)</f>
        <v/>
      </c>
      <c r="BS76" s="57" t="str">
        <f aca="false">IF(2_Daily_input!BS29="","",2_Daily_input!BS29)</f>
        <v/>
      </c>
      <c r="BT76" s="57" t="str">
        <f aca="false">IF(2_Daily_input!BT29="","",2_Daily_input!BT29)</f>
        <v/>
      </c>
      <c r="BU76" s="57" t="str">
        <f aca="false">IF(2_Daily_input!BU29="","",2_Daily_input!BU29)</f>
        <v/>
      </c>
      <c r="BV76" s="57" t="str">
        <f aca="false">IF(2_Daily_input!BV29="","",2_Daily_input!BV29)</f>
        <v/>
      </c>
      <c r="BW76" s="57" t="str">
        <f aca="false">IF(2_Daily_input!BW29="","",2_Daily_input!BW29)</f>
        <v/>
      </c>
      <c r="BX76" s="57" t="str">
        <f aca="false">IF(2_Daily_input!BX29="","",2_Daily_input!BX29)</f>
        <v/>
      </c>
      <c r="BY76" s="57" t="str">
        <f aca="false">IF(2_Daily_input!BY29="","",2_Daily_input!BY29)</f>
        <v/>
      </c>
      <c r="BZ76" s="57" t="str">
        <f aca="false">IF(2_Daily_input!BZ29="","",2_Daily_input!BZ29)</f>
        <v/>
      </c>
      <c r="CA76" s="57" t="str">
        <f aca="false">IF(2_Daily_input!CA29="","",2_Daily_input!CA29)</f>
        <v/>
      </c>
      <c r="CB76" s="57" t="str">
        <f aca="false">IF(2_Daily_input!CB29="","",2_Daily_input!CB29)</f>
        <v/>
      </c>
      <c r="CC76" s="57" t="str">
        <f aca="false">IF(2_Daily_input!CC29="","",2_Daily_input!CC29)</f>
        <v/>
      </c>
      <c r="CD76" s="57" t="str">
        <f aca="false">IF(2_Daily_input!CD29="","",2_Daily_input!CD29)</f>
        <v/>
      </c>
      <c r="CE76" s="57" t="str">
        <f aca="false">IF(2_Daily_input!CE29="","",2_Daily_input!CE29)</f>
        <v/>
      </c>
      <c r="CF76" s="57" t="str">
        <f aca="false">IF(2_Daily_input!CF29="","",2_Daily_input!CF29)</f>
        <v/>
      </c>
      <c r="CG76" s="57" t="str">
        <f aca="false">IF(2_Daily_input!CG29="","",2_Daily_input!CG29)</f>
        <v/>
      </c>
      <c r="CH76" s="57" t="str">
        <f aca="false">IF(2_Daily_input!CH29="","",2_Daily_input!CH29)</f>
        <v/>
      </c>
      <c r="CI76" s="57" t="str">
        <f aca="false">IF(2_Daily_input!CI29="","",2_Daily_input!CI29)</f>
        <v/>
      </c>
      <c r="CJ76" s="57" t="str">
        <f aca="false">IF(2_Daily_input!CJ29="","",2_Daily_input!CJ29)</f>
        <v/>
      </c>
      <c r="CK76" s="57" t="str">
        <f aca="false">IF(2_Daily_input!CK29="","",2_Daily_input!CK29)</f>
        <v/>
      </c>
      <c r="CL76" s="57" t="str">
        <f aca="false">IF(2_Daily_input!CL29="","",2_Daily_input!CL29)</f>
        <v/>
      </c>
      <c r="CM76" s="57" t="str">
        <f aca="false">IF(2_Daily_input!CM29="","",2_Daily_input!CM29)</f>
        <v/>
      </c>
      <c r="CN76" s="57" t="str">
        <f aca="false">IF(2_Daily_input!CN29="","",2_Daily_input!CN29)</f>
        <v/>
      </c>
      <c r="CO76" s="57" t="str">
        <f aca="false">IF(2_Daily_input!CO29="","",2_Daily_input!CO29)</f>
        <v/>
      </c>
      <c r="CP76" s="57" t="str">
        <f aca="false">IF(2_Daily_input!CP29="","",2_Daily_input!CP29)</f>
        <v/>
      </c>
      <c r="CQ76" s="57" t="str">
        <f aca="false">IF(2_Daily_input!CQ29="","",2_Daily_input!CQ29)</f>
        <v/>
      </c>
      <c r="CR76" s="57" t="str">
        <f aca="false">IF(2_Daily_input!CR29="","",2_Daily_input!CR29)</f>
        <v/>
      </c>
      <c r="CS76" s="57" t="str">
        <f aca="false">IF(2_Daily_input!CS29="","",2_Daily_input!CS29)</f>
        <v/>
      </c>
      <c r="CT76" s="57" t="str">
        <f aca="false">IF(2_Daily_input!CT29="","",2_Daily_input!CT29)</f>
        <v/>
      </c>
      <c r="CU76" s="57" t="str">
        <f aca="false">IF(2_Daily_input!CU29="","",2_Daily_input!CU29)</f>
        <v/>
      </c>
      <c r="CV76" s="57" t="str">
        <f aca="false">IF(2_Daily_input!CV29="","",2_Daily_input!CV29)</f>
        <v/>
      </c>
      <c r="CW76" s="57" t="str">
        <f aca="false">IF(2_Daily_input!CW29="","",2_Daily_input!CW29)</f>
        <v/>
      </c>
      <c r="CX76" s="57" t="str">
        <f aca="false">IF(2_Daily_input!CX29="","",2_Daily_input!CX29)</f>
        <v/>
      </c>
      <c r="CY76" s="57" t="str">
        <f aca="false">IF(2_Daily_input!CY29="","",2_Daily_input!CY29)</f>
        <v/>
      </c>
      <c r="CZ76" s="57" t="str">
        <f aca="false">IF(2_Daily_input!CZ29="","",2_Daily_input!CZ29)</f>
        <v/>
      </c>
      <c r="DA76" s="57" t="str">
        <f aca="false">IF(2_Daily_input!DA29="","",2_Daily_input!DA29)</f>
        <v/>
      </c>
      <c r="DB76" s="57" t="str">
        <f aca="false">IF(2_Daily_input!DB29="","",2_Daily_input!DB29)</f>
        <v/>
      </c>
      <c r="DC76" s="57" t="str">
        <f aca="false">IF(2_Daily_input!DC29="","",2_Daily_input!DC29)</f>
        <v/>
      </c>
      <c r="DD76" s="57" t="str">
        <f aca="false">IF(2_Daily_input!DD29="","",2_Daily_input!DD29)</f>
        <v/>
      </c>
      <c r="DE76" s="57" t="str">
        <f aca="false">IF(2_Daily_input!DE29="","",2_Daily_input!DE29)</f>
        <v/>
      </c>
      <c r="DF76" s="57" t="str">
        <f aca="false">IF(2_Daily_input!DF29="","",2_Daily_input!DF29)</f>
        <v/>
      </c>
      <c r="DG76" s="57" t="str">
        <f aca="false">IF(2_Daily_input!DG29="","",2_Daily_input!DG29)</f>
        <v/>
      </c>
      <c r="DH76" s="57" t="str">
        <f aca="false">IF(2_Daily_input!DH29="","",2_Daily_input!DH29)</f>
        <v/>
      </c>
      <c r="DI76" s="57" t="str">
        <f aca="false">IF(2_Daily_input!DI29="","",2_Daily_input!DI29)</f>
        <v/>
      </c>
      <c r="DJ76" s="57" t="str">
        <f aca="false">IF(2_Daily_input!DJ29="","",2_Daily_input!DJ29)</f>
        <v/>
      </c>
      <c r="DK76" s="57" t="str">
        <f aca="false">IF(2_Daily_input!DK29="","",2_Daily_input!DK29)</f>
        <v/>
      </c>
      <c r="DL76" s="57" t="str">
        <f aca="false">IF(2_Daily_input!DL29="","",2_Daily_input!DL29)</f>
        <v/>
      </c>
      <c r="DM76" s="57" t="str">
        <f aca="false">IF(2_Daily_input!DM29="","",2_Daily_input!DM29)</f>
        <v/>
      </c>
      <c r="DN76" s="57" t="str">
        <f aca="false">IF(2_Daily_input!DN29="","",2_Daily_input!DN29)</f>
        <v/>
      </c>
      <c r="DO76" s="57" t="str">
        <f aca="false">IF(2_Daily_input!DO29="","",2_Daily_input!DO29)</f>
        <v/>
      </c>
      <c r="DP76" s="57" t="str">
        <f aca="false">IF(2_Daily_input!DP29="","",2_Daily_input!DP29)</f>
        <v/>
      </c>
      <c r="DQ76" s="57" t="str">
        <f aca="false">IF(2_Daily_input!DQ29="","",2_Daily_input!DQ29)</f>
        <v/>
      </c>
      <c r="DR76" s="57" t="str">
        <f aca="false">IF(2_Daily_input!DR29="","",2_Daily_input!DR29)</f>
        <v/>
      </c>
      <c r="DS76" s="57" t="str">
        <f aca="false">IF(2_Daily_input!DS29="","",2_Daily_input!DS29)</f>
        <v/>
      </c>
      <c r="DT76" s="57" t="str">
        <f aca="false">IF(2_Daily_input!DT29="","",2_Daily_input!DT29)</f>
        <v/>
      </c>
      <c r="DU76" s="57" t="str">
        <f aca="false">IF(2_Daily_input!DU29="","",2_Daily_input!DU29)</f>
        <v/>
      </c>
      <c r="DV76" s="57" t="str">
        <f aca="false">IF(2_Daily_input!DV29="","",2_Daily_input!DV29)</f>
        <v/>
      </c>
      <c r="DW76" s="57" t="str">
        <f aca="false">IF(2_Daily_input!DW29="","",2_Daily_input!DW29)</f>
        <v/>
      </c>
      <c r="DX76" s="57" t="str">
        <f aca="false">IF(2_Daily_input!DX29="","",2_Daily_input!DX29)</f>
        <v/>
      </c>
      <c r="DY76" s="57" t="str">
        <f aca="false">IF(2_Daily_input!DY29="","",2_Daily_input!DY29)</f>
        <v/>
      </c>
      <c r="DZ76" s="57" t="str">
        <f aca="false">IF(2_Daily_input!DZ29="","",2_Daily_input!DZ29)</f>
        <v/>
      </c>
      <c r="EA76" s="57" t="str">
        <f aca="false">IF(2_Daily_input!EA29="","",2_Daily_input!EA29)</f>
        <v/>
      </c>
      <c r="EB76" s="57" t="str">
        <f aca="false">IF(2_Daily_input!EB29="","",2_Daily_input!EB29)</f>
        <v/>
      </c>
      <c r="EC76" s="57" t="str">
        <f aca="false">IF(2_Daily_input!EC29="","",2_Daily_input!EC29)</f>
        <v/>
      </c>
      <c r="ED76" s="57" t="str">
        <f aca="false">IF(2_Daily_input!ED29="","",2_Daily_input!ED29)</f>
        <v/>
      </c>
      <c r="EE76" s="57" t="str">
        <f aca="false">IF(2_Daily_input!EE29="","",2_Daily_input!EE29)</f>
        <v/>
      </c>
      <c r="EF76" s="57" t="str">
        <f aca="false">IF(2_Daily_input!EF29="","",2_Daily_input!EF29)</f>
        <v/>
      </c>
      <c r="EG76" s="57" t="str">
        <f aca="false">IF(2_Daily_input!EG29="","",2_Daily_input!EG29)</f>
        <v/>
      </c>
      <c r="EH76" s="57" t="str">
        <f aca="false">IF(2_Daily_input!EH29="","",2_Daily_input!EH29)</f>
        <v/>
      </c>
      <c r="EI76" s="57" t="str">
        <f aca="false">IF(2_Daily_input!EI29="","",2_Daily_input!EI29)</f>
        <v/>
      </c>
      <c r="EJ76" s="57" t="str">
        <f aca="false">IF(2_Daily_input!EJ29="","",2_Daily_input!EJ29)</f>
        <v/>
      </c>
      <c r="EK76" s="57" t="str">
        <f aca="false">IF(2_Daily_input!EK29="","",2_Daily_input!EK29)</f>
        <v/>
      </c>
      <c r="EL76" s="57" t="str">
        <f aca="false">IF(2_Daily_input!EL29="","",2_Daily_input!EL29)</f>
        <v/>
      </c>
      <c r="EM76" s="57" t="str">
        <f aca="false">IF(2_Daily_input!EM29="","",2_Daily_input!EM29)</f>
        <v/>
      </c>
      <c r="EN76" s="57" t="str">
        <f aca="false">IF(2_Daily_input!EN29="","",2_Daily_input!EN29)</f>
        <v/>
      </c>
      <c r="EO76" s="57" t="str">
        <f aca="false">IF(2_Daily_input!EO29="","",2_Daily_input!EO29)</f>
        <v/>
      </c>
      <c r="EP76" s="57" t="str">
        <f aca="false">IF(2_Daily_input!EP29="","",2_Daily_input!EP29)</f>
        <v/>
      </c>
      <c r="EQ76" s="57" t="str">
        <f aca="false">IF(2_Daily_input!EQ29="","",2_Daily_input!EQ29)</f>
        <v/>
      </c>
      <c r="ER76" s="57" t="str">
        <f aca="false">IF(2_Daily_input!ER29="","",2_Daily_input!ER29)</f>
        <v/>
      </c>
      <c r="ES76" s="57" t="str">
        <f aca="false">IF(2_Daily_input!ES29="","",2_Daily_input!ES29)</f>
        <v/>
      </c>
      <c r="ET76" s="57" t="str">
        <f aca="false">IF(2_Daily_input!ET29="","",2_Daily_input!ET29)</f>
        <v/>
      </c>
      <c r="EU76" s="57" t="str">
        <f aca="false">IF(2_Daily_input!EU29="","",2_Daily_input!EU29)</f>
        <v/>
      </c>
      <c r="EV76" s="57" t="str">
        <f aca="false">IF(2_Daily_input!EV29="","",2_Daily_input!EV29)</f>
        <v/>
      </c>
      <c r="EW76" s="57" t="str">
        <f aca="false">IF(2_Daily_input!EW29="","",2_Daily_input!EW29)</f>
        <v/>
      </c>
      <c r="EX76" s="57" t="str">
        <f aca="false">IF(2_Daily_input!EX29="","",2_Daily_input!EX29)</f>
        <v/>
      </c>
      <c r="EY76" s="57" t="str">
        <f aca="false">IF(2_Daily_input!EY29="","",2_Daily_input!EY29)</f>
        <v/>
      </c>
      <c r="EZ76" s="57" t="str">
        <f aca="false">IF(2_Daily_input!EZ29="","",2_Daily_input!EZ29)</f>
        <v/>
      </c>
      <c r="FA76" s="57" t="str">
        <f aca="false">IF(2_Daily_input!FA29="","",2_Daily_input!FA29)</f>
        <v/>
      </c>
      <c r="FB76" s="57" t="str">
        <f aca="false">IF(2_Daily_input!FB29="","",2_Daily_input!FB29)</f>
        <v/>
      </c>
      <c r="FC76" s="57" t="str">
        <f aca="false">IF(2_Daily_input!FC29="","",2_Daily_input!FC29)</f>
        <v/>
      </c>
      <c r="FD76" s="57" t="str">
        <f aca="false">IF(2_Daily_input!FD29="","",2_Daily_input!FD29)</f>
        <v/>
      </c>
      <c r="FE76" s="57" t="str">
        <f aca="false">IF(2_Daily_input!FE29="","",2_Daily_input!FE29)</f>
        <v/>
      </c>
      <c r="FF76" s="57" t="str">
        <f aca="false">IF(2_Daily_input!FF29="","",2_Daily_input!FF29)</f>
        <v/>
      </c>
      <c r="FG76" s="57" t="str">
        <f aca="false">IF(2_Daily_input!FG29="","",2_Daily_input!FG29)</f>
        <v/>
      </c>
      <c r="FH76" s="57" t="str">
        <f aca="false">IF(2_Daily_input!FH29="","",2_Daily_input!FH29)</f>
        <v/>
      </c>
      <c r="FI76" s="57" t="str">
        <f aca="false">IF(2_Daily_input!FI29="","",2_Daily_input!FI29)</f>
        <v/>
      </c>
      <c r="FJ76" s="57" t="str">
        <f aca="false">IF(2_Daily_input!FJ29="","",2_Daily_input!FJ29)</f>
        <v/>
      </c>
      <c r="FK76" s="57" t="str">
        <f aca="false">IF(2_Daily_input!FK29="","",2_Daily_input!FK29)</f>
        <v/>
      </c>
      <c r="FL76" s="57" t="str">
        <f aca="false">IF(2_Daily_input!FL29="","",2_Daily_input!FL29)</f>
        <v/>
      </c>
      <c r="FM76" s="57" t="str">
        <f aca="false">IF(2_Daily_input!FM29="","",2_Daily_input!FM29)</f>
        <v/>
      </c>
      <c r="FN76" s="57" t="str">
        <f aca="false">IF(2_Daily_input!FN29="","",2_Daily_input!FN29)</f>
        <v/>
      </c>
      <c r="FO76" s="57" t="str">
        <f aca="false">IF(2_Daily_input!FO29="","",2_Daily_input!FO29)</f>
        <v/>
      </c>
      <c r="FP76" s="57" t="str">
        <f aca="false">IF(2_Daily_input!FP29="","",2_Daily_input!FP29)</f>
        <v/>
      </c>
      <c r="FQ76" s="57" t="str">
        <f aca="false">IF(2_Daily_input!FQ29="","",2_Daily_input!FQ29)</f>
        <v/>
      </c>
    </row>
    <row r="77" customFormat="false" ht="15" hidden="false" customHeight="false" outlineLevel="0" collapsed="false">
      <c r="A77" s="37" t="s">
        <v>406</v>
      </c>
      <c r="B77" s="38" t="s">
        <v>184</v>
      </c>
      <c r="D77" s="57" t="str">
        <f aca="false">IF(2_Daily_input!D48="","",2_Daily_input!D48)</f>
        <v/>
      </c>
      <c r="E77" s="57" t="str">
        <f aca="false">IF(2_Daily_input!E48="","",2_Daily_input!E48)</f>
        <v/>
      </c>
      <c r="F77" s="57" t="str">
        <f aca="false">IF(2_Daily_input!F48="","",2_Daily_input!F48)</f>
        <v/>
      </c>
      <c r="G77" s="57" t="str">
        <f aca="false">IF(2_Daily_input!G48="","",2_Daily_input!G48)</f>
        <v/>
      </c>
      <c r="H77" s="57" t="str">
        <f aca="false">IF(2_Daily_input!H48="","",2_Daily_input!H48)</f>
        <v/>
      </c>
      <c r="I77" s="57" t="str">
        <f aca="false">IF(2_Daily_input!I48="","",2_Daily_input!I48)</f>
        <v/>
      </c>
      <c r="J77" s="57" t="str">
        <f aca="false">IF(2_Daily_input!J48="","",2_Daily_input!J48)</f>
        <v/>
      </c>
      <c r="K77" s="57" t="str">
        <f aca="false">IF(2_Daily_input!K48="","",2_Daily_input!K48)</f>
        <v/>
      </c>
      <c r="L77" s="57" t="str">
        <f aca="false">IF(2_Daily_input!L48="","",2_Daily_input!L48)</f>
        <v/>
      </c>
      <c r="M77" s="57" t="str">
        <f aca="false">IF(2_Daily_input!M48="","",2_Daily_input!M48)</f>
        <v/>
      </c>
      <c r="N77" s="57" t="str">
        <f aca="false">IF(2_Daily_input!N48="","",2_Daily_input!N48)</f>
        <v/>
      </c>
      <c r="O77" s="57" t="str">
        <f aca="false">IF(2_Daily_input!O48="","",2_Daily_input!O48)</f>
        <v/>
      </c>
      <c r="P77" s="57" t="str">
        <f aca="false">IF(2_Daily_input!P48="","",2_Daily_input!P48)</f>
        <v/>
      </c>
      <c r="Q77" s="57" t="str">
        <f aca="false">IF(2_Daily_input!Q48="","",2_Daily_input!Q48)</f>
        <v/>
      </c>
      <c r="R77" s="57" t="str">
        <f aca="false">IF(2_Daily_input!R48="","",2_Daily_input!R48)</f>
        <v/>
      </c>
      <c r="S77" s="57" t="str">
        <f aca="false">IF(2_Daily_input!S48="","",2_Daily_input!S48)</f>
        <v/>
      </c>
      <c r="T77" s="57" t="str">
        <f aca="false">IF(2_Daily_input!T48="","",2_Daily_input!T48)</f>
        <v/>
      </c>
      <c r="U77" s="57" t="str">
        <f aca="false">IF(2_Daily_input!U48="","",2_Daily_input!U48)</f>
        <v/>
      </c>
      <c r="V77" s="57" t="str">
        <f aca="false">IF(2_Daily_input!V48="","",2_Daily_input!V48)</f>
        <v/>
      </c>
      <c r="W77" s="57" t="str">
        <f aca="false">IF(2_Daily_input!W48="","",2_Daily_input!W48)</f>
        <v/>
      </c>
      <c r="X77" s="57" t="str">
        <f aca="false">IF(2_Daily_input!X48="","",2_Daily_input!X48)</f>
        <v/>
      </c>
      <c r="Y77" s="57" t="str">
        <f aca="false">IF(2_Daily_input!Y48="","",2_Daily_input!Y48)</f>
        <v/>
      </c>
      <c r="Z77" s="57" t="str">
        <f aca="false">IF(2_Daily_input!Z48="","",2_Daily_input!Z48)</f>
        <v/>
      </c>
      <c r="AA77" s="57" t="str">
        <f aca="false">IF(2_Daily_input!AA48="","",2_Daily_input!AA48)</f>
        <v/>
      </c>
      <c r="AB77" s="57" t="str">
        <f aca="false">IF(2_Daily_input!AB48="","",2_Daily_input!AB48)</f>
        <v/>
      </c>
      <c r="AC77" s="57" t="str">
        <f aca="false">IF(2_Daily_input!AC48="","",2_Daily_input!AC48)</f>
        <v/>
      </c>
      <c r="AD77" s="57" t="str">
        <f aca="false">IF(2_Daily_input!AD48="","",2_Daily_input!AD48)</f>
        <v/>
      </c>
      <c r="AE77" s="57" t="str">
        <f aca="false">IF(2_Daily_input!AE48="","",2_Daily_input!AE48)</f>
        <v/>
      </c>
      <c r="AF77" s="57" t="str">
        <f aca="false">IF(2_Daily_input!AF48="","",2_Daily_input!AF48)</f>
        <v/>
      </c>
      <c r="AG77" s="57" t="str">
        <f aca="false">IF(2_Daily_input!AG48="","",2_Daily_input!AG48)</f>
        <v/>
      </c>
      <c r="AH77" s="57" t="str">
        <f aca="false">IF(2_Daily_input!AH48="","",2_Daily_input!AH48)</f>
        <v/>
      </c>
      <c r="AI77" s="57" t="str">
        <f aca="false">IF(2_Daily_input!AI48="","",2_Daily_input!AI48)</f>
        <v/>
      </c>
      <c r="AJ77" s="57" t="str">
        <f aca="false">IF(2_Daily_input!AJ48="","",2_Daily_input!AJ48)</f>
        <v/>
      </c>
      <c r="AK77" s="57" t="str">
        <f aca="false">IF(2_Daily_input!AK48="","",2_Daily_input!AK48)</f>
        <v/>
      </c>
      <c r="AL77" s="57" t="str">
        <f aca="false">IF(2_Daily_input!AL48="","",2_Daily_input!AL48)</f>
        <v/>
      </c>
      <c r="AM77" s="57" t="str">
        <f aca="false">IF(2_Daily_input!AM48="","",2_Daily_input!AM48)</f>
        <v/>
      </c>
      <c r="AN77" s="57" t="str">
        <f aca="false">IF(2_Daily_input!AN48="","",2_Daily_input!AN48)</f>
        <v/>
      </c>
      <c r="AO77" s="57" t="str">
        <f aca="false">IF(2_Daily_input!AO48="","",2_Daily_input!AO48)</f>
        <v/>
      </c>
      <c r="AP77" s="57" t="str">
        <f aca="false">IF(2_Daily_input!AP48="","",2_Daily_input!AP48)</f>
        <v/>
      </c>
      <c r="AQ77" s="57" t="str">
        <f aca="false">IF(2_Daily_input!AQ48="","",2_Daily_input!AQ48)</f>
        <v/>
      </c>
      <c r="AR77" s="57" t="str">
        <f aca="false">IF(2_Daily_input!AR48="","",2_Daily_input!AR48)</f>
        <v/>
      </c>
      <c r="AS77" s="57" t="str">
        <f aca="false">IF(2_Daily_input!AS48="","",2_Daily_input!AS48)</f>
        <v/>
      </c>
      <c r="AT77" s="57" t="str">
        <f aca="false">IF(2_Daily_input!AT48="","",2_Daily_input!AT48)</f>
        <v/>
      </c>
      <c r="AU77" s="57" t="str">
        <f aca="false">IF(2_Daily_input!AU48="","",2_Daily_input!AU48)</f>
        <v/>
      </c>
      <c r="AV77" s="57" t="str">
        <f aca="false">IF(2_Daily_input!AV48="","",2_Daily_input!AV48)</f>
        <v/>
      </c>
      <c r="AW77" s="57" t="str">
        <f aca="false">IF(2_Daily_input!AW48="","",2_Daily_input!AW48)</f>
        <v/>
      </c>
      <c r="AX77" s="57" t="str">
        <f aca="false">IF(2_Daily_input!AX48="","",2_Daily_input!AX48)</f>
        <v/>
      </c>
      <c r="AY77" s="57" t="str">
        <f aca="false">IF(2_Daily_input!AY48="","",2_Daily_input!AY48)</f>
        <v/>
      </c>
      <c r="AZ77" s="57" t="str">
        <f aca="false">IF(2_Daily_input!AZ48="","",2_Daily_input!AZ48)</f>
        <v/>
      </c>
      <c r="BA77" s="57" t="str">
        <f aca="false">IF(2_Daily_input!BA48="","",2_Daily_input!BA48)</f>
        <v/>
      </c>
      <c r="BB77" s="57" t="str">
        <f aca="false">IF(2_Daily_input!BB48="","",2_Daily_input!BB48)</f>
        <v/>
      </c>
      <c r="BC77" s="57" t="str">
        <f aca="false">IF(2_Daily_input!BC48="","",2_Daily_input!BC48)</f>
        <v/>
      </c>
      <c r="BD77" s="57" t="str">
        <f aca="false">IF(2_Daily_input!BD48="","",2_Daily_input!BD48)</f>
        <v/>
      </c>
      <c r="BE77" s="57" t="str">
        <f aca="false">IF(2_Daily_input!BE48="","",2_Daily_input!BE48)</f>
        <v/>
      </c>
      <c r="BF77" s="57" t="str">
        <f aca="false">IF(2_Daily_input!BF48="","",2_Daily_input!BF48)</f>
        <v/>
      </c>
      <c r="BG77" s="57" t="str">
        <f aca="false">IF(2_Daily_input!BG48="","",2_Daily_input!BG48)</f>
        <v/>
      </c>
      <c r="BH77" s="57" t="str">
        <f aca="false">IF(2_Daily_input!BH48="","",2_Daily_input!BH48)</f>
        <v/>
      </c>
      <c r="BI77" s="57" t="str">
        <f aca="false">IF(2_Daily_input!BI48="","",2_Daily_input!BI48)</f>
        <v/>
      </c>
      <c r="BJ77" s="57" t="str">
        <f aca="false">IF(2_Daily_input!BJ48="","",2_Daily_input!BJ48)</f>
        <v/>
      </c>
      <c r="BK77" s="57" t="str">
        <f aca="false">IF(2_Daily_input!BK48="","",2_Daily_input!BK48)</f>
        <v/>
      </c>
      <c r="BL77" s="57" t="str">
        <f aca="false">IF(2_Daily_input!BL48="","",2_Daily_input!BL48)</f>
        <v/>
      </c>
      <c r="BM77" s="57" t="str">
        <f aca="false">IF(2_Daily_input!BM48="","",2_Daily_input!BM48)</f>
        <v/>
      </c>
      <c r="BN77" s="57" t="str">
        <f aca="false">IF(2_Daily_input!BN48="","",2_Daily_input!BN48)</f>
        <v/>
      </c>
      <c r="BO77" s="57" t="str">
        <f aca="false">IF(2_Daily_input!BO48="","",2_Daily_input!BO48)</f>
        <v/>
      </c>
      <c r="BP77" s="57" t="str">
        <f aca="false">IF(2_Daily_input!BP48="","",2_Daily_input!BP48)</f>
        <v/>
      </c>
      <c r="BQ77" s="57" t="str">
        <f aca="false">IF(2_Daily_input!BQ48="","",2_Daily_input!BQ48)</f>
        <v/>
      </c>
      <c r="BR77" s="57" t="str">
        <f aca="false">IF(2_Daily_input!BR48="","",2_Daily_input!BR48)</f>
        <v/>
      </c>
      <c r="BS77" s="57" t="str">
        <f aca="false">IF(2_Daily_input!BS48="","",2_Daily_input!BS48)</f>
        <v/>
      </c>
      <c r="BT77" s="57" t="str">
        <f aca="false">IF(2_Daily_input!BT48="","",2_Daily_input!BT48)</f>
        <v/>
      </c>
      <c r="BU77" s="57" t="str">
        <f aca="false">IF(2_Daily_input!BU48="","",2_Daily_input!BU48)</f>
        <v/>
      </c>
      <c r="BV77" s="57" t="str">
        <f aca="false">IF(2_Daily_input!BV48="","",2_Daily_input!BV48)</f>
        <v/>
      </c>
      <c r="BW77" s="57" t="str">
        <f aca="false">IF(2_Daily_input!BW48="","",2_Daily_input!BW48)</f>
        <v/>
      </c>
      <c r="BX77" s="57" t="str">
        <f aca="false">IF(2_Daily_input!BX48="","",2_Daily_input!BX48)</f>
        <v/>
      </c>
      <c r="BY77" s="57" t="str">
        <f aca="false">IF(2_Daily_input!BY48="","",2_Daily_input!BY48)</f>
        <v/>
      </c>
      <c r="BZ77" s="57" t="str">
        <f aca="false">IF(2_Daily_input!BZ48="","",2_Daily_input!BZ48)</f>
        <v/>
      </c>
      <c r="CA77" s="57" t="str">
        <f aca="false">IF(2_Daily_input!CA48="","",2_Daily_input!CA48)</f>
        <v/>
      </c>
      <c r="CB77" s="57" t="str">
        <f aca="false">IF(2_Daily_input!CB48="","",2_Daily_input!CB48)</f>
        <v/>
      </c>
      <c r="CC77" s="57" t="str">
        <f aca="false">IF(2_Daily_input!CC48="","",2_Daily_input!CC48)</f>
        <v/>
      </c>
      <c r="CD77" s="57" t="str">
        <f aca="false">IF(2_Daily_input!CD48="","",2_Daily_input!CD48)</f>
        <v/>
      </c>
      <c r="CE77" s="57" t="str">
        <f aca="false">IF(2_Daily_input!CE48="","",2_Daily_input!CE48)</f>
        <v/>
      </c>
      <c r="CF77" s="57" t="str">
        <f aca="false">IF(2_Daily_input!CF48="","",2_Daily_input!CF48)</f>
        <v/>
      </c>
      <c r="CG77" s="57" t="str">
        <f aca="false">IF(2_Daily_input!CG48="","",2_Daily_input!CG48)</f>
        <v/>
      </c>
      <c r="CH77" s="57" t="str">
        <f aca="false">IF(2_Daily_input!CH48="","",2_Daily_input!CH48)</f>
        <v/>
      </c>
      <c r="CI77" s="57" t="str">
        <f aca="false">IF(2_Daily_input!CI48="","",2_Daily_input!CI48)</f>
        <v/>
      </c>
      <c r="CJ77" s="57" t="str">
        <f aca="false">IF(2_Daily_input!CJ48="","",2_Daily_input!CJ48)</f>
        <v/>
      </c>
      <c r="CK77" s="57" t="str">
        <f aca="false">IF(2_Daily_input!CK48="","",2_Daily_input!CK48)</f>
        <v/>
      </c>
      <c r="CL77" s="57" t="str">
        <f aca="false">IF(2_Daily_input!CL48="","",2_Daily_input!CL48)</f>
        <v/>
      </c>
      <c r="CM77" s="57" t="str">
        <f aca="false">IF(2_Daily_input!CM48="","",2_Daily_input!CM48)</f>
        <v/>
      </c>
      <c r="CN77" s="57" t="str">
        <f aca="false">IF(2_Daily_input!CN48="","",2_Daily_input!CN48)</f>
        <v/>
      </c>
      <c r="CO77" s="57" t="str">
        <f aca="false">IF(2_Daily_input!CO48="","",2_Daily_input!CO48)</f>
        <v/>
      </c>
      <c r="CP77" s="57" t="str">
        <f aca="false">IF(2_Daily_input!CP48="","",2_Daily_input!CP48)</f>
        <v/>
      </c>
      <c r="CQ77" s="57" t="str">
        <f aca="false">IF(2_Daily_input!CQ48="","",2_Daily_input!CQ48)</f>
        <v>Drain</v>
      </c>
      <c r="CR77" s="57" t="str">
        <f aca="false">IF(2_Daily_input!CR48="","",2_Daily_input!CR48)</f>
        <v/>
      </c>
      <c r="CS77" s="57" t="str">
        <f aca="false">IF(2_Daily_input!CS48="","",2_Daily_input!CS48)</f>
        <v/>
      </c>
      <c r="CT77" s="57" t="str">
        <f aca="false">IF(2_Daily_input!CT48="","",2_Daily_input!CT48)</f>
        <v/>
      </c>
      <c r="CU77" s="57" t="str">
        <f aca="false">IF(2_Daily_input!CU48="","",2_Daily_input!CU48)</f>
        <v/>
      </c>
      <c r="CV77" s="57" t="str">
        <f aca="false">IF(2_Daily_input!CV48="","",2_Daily_input!CV48)</f>
        <v/>
      </c>
      <c r="CW77" s="57" t="str">
        <f aca="false">IF(2_Daily_input!CW48="","",2_Daily_input!CW48)</f>
        <v/>
      </c>
      <c r="CX77" s="57" t="str">
        <f aca="false">IF(2_Daily_input!CX48="","",2_Daily_input!CX48)</f>
        <v/>
      </c>
      <c r="CY77" s="57" t="str">
        <f aca="false">IF(2_Daily_input!CY48="","",2_Daily_input!CY48)</f>
        <v/>
      </c>
      <c r="CZ77" s="57" t="str">
        <f aca="false">IF(2_Daily_input!CZ48="","",2_Daily_input!CZ48)</f>
        <v/>
      </c>
      <c r="DA77" s="57" t="str">
        <f aca="false">IF(2_Daily_input!DA48="","",2_Daily_input!DA48)</f>
        <v/>
      </c>
      <c r="DB77" s="57" t="str">
        <f aca="false">IF(2_Daily_input!DB48="","",2_Daily_input!DB48)</f>
        <v/>
      </c>
      <c r="DC77" s="57" t="str">
        <f aca="false">IF(2_Daily_input!DC48="","",2_Daily_input!DC48)</f>
        <v/>
      </c>
      <c r="DD77" s="57" t="str">
        <f aca="false">IF(2_Daily_input!DD48="","",2_Daily_input!DD48)</f>
        <v/>
      </c>
      <c r="DE77" s="57" t="str">
        <f aca="false">IF(2_Daily_input!DE48="","",2_Daily_input!DE48)</f>
        <v/>
      </c>
      <c r="DF77" s="57" t="str">
        <f aca="false">IF(2_Daily_input!DF48="","",2_Daily_input!DF48)</f>
        <v/>
      </c>
      <c r="DG77" s="57" t="str">
        <f aca="false">IF(2_Daily_input!DG48="","",2_Daily_input!DG48)</f>
        <v/>
      </c>
      <c r="DH77" s="57" t="str">
        <f aca="false">IF(2_Daily_input!DH48="","",2_Daily_input!DH48)</f>
        <v/>
      </c>
      <c r="DI77" s="57" t="str">
        <f aca="false">IF(2_Daily_input!DI48="","",2_Daily_input!DI48)</f>
        <v/>
      </c>
      <c r="DJ77" s="57" t="str">
        <f aca="false">IF(2_Daily_input!DJ48="","",2_Daily_input!DJ48)</f>
        <v/>
      </c>
      <c r="DK77" s="57" t="str">
        <f aca="false">IF(2_Daily_input!DK48="","",2_Daily_input!DK48)</f>
        <v/>
      </c>
      <c r="DL77" s="57" t="str">
        <f aca="false">IF(2_Daily_input!DL48="","",2_Daily_input!DL48)</f>
        <v/>
      </c>
      <c r="DM77" s="57" t="str">
        <f aca="false">IF(2_Daily_input!DM48="","",2_Daily_input!DM48)</f>
        <v/>
      </c>
      <c r="DN77" s="57" t="str">
        <f aca="false">IF(2_Daily_input!DN48="","",2_Daily_input!DN48)</f>
        <v/>
      </c>
      <c r="DO77" s="57" t="str">
        <f aca="false">IF(2_Daily_input!DO48="","",2_Daily_input!DO48)</f>
        <v/>
      </c>
      <c r="DP77" s="57" t="str">
        <f aca="false">IF(2_Daily_input!DP48="","",2_Daily_input!DP48)</f>
        <v/>
      </c>
      <c r="DQ77" s="57" t="str">
        <f aca="false">IF(2_Daily_input!DQ48="","",2_Daily_input!DQ48)</f>
        <v/>
      </c>
      <c r="DR77" s="57" t="str">
        <f aca="false">IF(2_Daily_input!DR48="","",2_Daily_input!DR48)</f>
        <v/>
      </c>
      <c r="DS77" s="57" t="str">
        <f aca="false">IF(2_Daily_input!DS48="","",2_Daily_input!DS48)</f>
        <v/>
      </c>
      <c r="DT77" s="57" t="str">
        <f aca="false">IF(2_Daily_input!DT48="","",2_Daily_input!DT48)</f>
        <v/>
      </c>
      <c r="DU77" s="57" t="str">
        <f aca="false">IF(2_Daily_input!DU48="","",2_Daily_input!DU48)</f>
        <v/>
      </c>
      <c r="DV77" s="57" t="str">
        <f aca="false">IF(2_Daily_input!DV48="","",2_Daily_input!DV48)</f>
        <v/>
      </c>
      <c r="DW77" s="57" t="str">
        <f aca="false">IF(2_Daily_input!DW48="","",2_Daily_input!DW48)</f>
        <v/>
      </c>
      <c r="DX77" s="57" t="str">
        <f aca="false">IF(2_Daily_input!DX48="","",2_Daily_input!DX48)</f>
        <v/>
      </c>
      <c r="DY77" s="57" t="str">
        <f aca="false">IF(2_Daily_input!DY48="","",2_Daily_input!DY48)</f>
        <v/>
      </c>
      <c r="DZ77" s="57" t="str">
        <f aca="false">IF(2_Daily_input!DZ48="","",2_Daily_input!DZ48)</f>
        <v/>
      </c>
      <c r="EA77" s="57" t="str">
        <f aca="false">IF(2_Daily_input!EA48="","",2_Daily_input!EA48)</f>
        <v/>
      </c>
      <c r="EB77" s="57" t="str">
        <f aca="false">IF(2_Daily_input!EB48="","",2_Daily_input!EB48)</f>
        <v/>
      </c>
      <c r="EC77" s="57" t="str">
        <f aca="false">IF(2_Daily_input!EC48="","",2_Daily_input!EC48)</f>
        <v/>
      </c>
      <c r="ED77" s="57" t="str">
        <f aca="false">IF(2_Daily_input!ED48="","",2_Daily_input!ED48)</f>
        <v/>
      </c>
      <c r="EE77" s="57" t="str">
        <f aca="false">IF(2_Daily_input!EE48="","",2_Daily_input!EE48)</f>
        <v/>
      </c>
      <c r="EF77" s="57" t="str">
        <f aca="false">IF(2_Daily_input!EF48="","",2_Daily_input!EF48)</f>
        <v/>
      </c>
      <c r="EG77" s="57" t="str">
        <f aca="false">IF(2_Daily_input!EG48="","",2_Daily_input!EG48)</f>
        <v/>
      </c>
      <c r="EH77" s="57" t="str">
        <f aca="false">IF(2_Daily_input!EH48="","",2_Daily_input!EH48)</f>
        <v/>
      </c>
      <c r="EI77" s="57" t="str">
        <f aca="false">IF(2_Daily_input!EI48="","",2_Daily_input!EI48)</f>
        <v/>
      </c>
      <c r="EJ77" s="57" t="str">
        <f aca="false">IF(2_Daily_input!EJ48="","",2_Daily_input!EJ48)</f>
        <v/>
      </c>
      <c r="EK77" s="57" t="str">
        <f aca="false">IF(2_Daily_input!EK48="","",2_Daily_input!EK48)</f>
        <v>100%</v>
      </c>
      <c r="EL77" s="57" t="str">
        <f aca="false">IF(2_Daily_input!EL48="","",2_Daily_input!EL48)</f>
        <v/>
      </c>
      <c r="EM77" s="57" t="str">
        <f aca="false">IF(2_Daily_input!EM48="","",2_Daily_input!EM48)</f>
        <v/>
      </c>
      <c r="EN77" s="57" t="str">
        <f aca="false">IF(2_Daily_input!EN48="","",2_Daily_input!EN48)</f>
        <v/>
      </c>
      <c r="EO77" s="57" t="str">
        <f aca="false">IF(2_Daily_input!EO48="","",2_Daily_input!EO48)</f>
        <v/>
      </c>
      <c r="EP77" s="57" t="str">
        <f aca="false">IF(2_Daily_input!EP48="","",2_Daily_input!EP48)</f>
        <v/>
      </c>
      <c r="EQ77" s="57" t="str">
        <f aca="false">IF(2_Daily_input!EQ48="","",2_Daily_input!EQ48)</f>
        <v/>
      </c>
      <c r="ER77" s="57" t="str">
        <f aca="false">IF(2_Daily_input!ER48="","",2_Daily_input!ER48)</f>
        <v/>
      </c>
      <c r="ES77" s="57" t="str">
        <f aca="false">IF(2_Daily_input!ES48="","",2_Daily_input!ES48)</f>
        <v/>
      </c>
      <c r="ET77" s="57" t="str">
        <f aca="false">IF(2_Daily_input!ET48="","",2_Daily_input!ET48)</f>
        <v/>
      </c>
      <c r="EU77" s="57" t="str">
        <f aca="false">IF(2_Daily_input!EU48="","",2_Daily_input!EU48)</f>
        <v/>
      </c>
      <c r="EV77" s="57" t="str">
        <f aca="false">IF(2_Daily_input!EV48="","",2_Daily_input!EV48)</f>
        <v/>
      </c>
      <c r="EW77" s="57" t="str">
        <f aca="false">IF(2_Daily_input!EW48="","",2_Daily_input!EW48)</f>
        <v/>
      </c>
      <c r="EX77" s="57" t="str">
        <f aca="false">IF(2_Daily_input!EX48="","",2_Daily_input!EX48)</f>
        <v/>
      </c>
      <c r="EY77" s="57" t="str">
        <f aca="false">IF(2_Daily_input!EY48="","",2_Daily_input!EY48)</f>
        <v/>
      </c>
      <c r="EZ77" s="57" t="str">
        <f aca="false">IF(2_Daily_input!EZ48="","",2_Daily_input!EZ48)</f>
        <v/>
      </c>
      <c r="FA77" s="57" t="str">
        <f aca="false">IF(2_Daily_input!FA48="","",2_Daily_input!FA48)</f>
        <v/>
      </c>
      <c r="FB77" s="57" t="str">
        <f aca="false">IF(2_Daily_input!FB48="","",2_Daily_input!FB48)</f>
        <v/>
      </c>
      <c r="FC77" s="57" t="str">
        <f aca="false">IF(2_Daily_input!FC48="","",2_Daily_input!FC48)</f>
        <v/>
      </c>
      <c r="FD77" s="57" t="str">
        <f aca="false">IF(2_Daily_input!FD48="","",2_Daily_input!FD48)</f>
        <v/>
      </c>
      <c r="FE77" s="57" t="str">
        <f aca="false">IF(2_Daily_input!FE48="","",2_Daily_input!FE48)</f>
        <v/>
      </c>
      <c r="FF77" s="57" t="str">
        <f aca="false">IF(2_Daily_input!FF48="","",2_Daily_input!FF48)</f>
        <v/>
      </c>
      <c r="FG77" s="57" t="str">
        <f aca="false">IF(2_Daily_input!FG48="","",2_Daily_input!FG48)</f>
        <v/>
      </c>
      <c r="FH77" s="57" t="str">
        <f aca="false">IF(2_Daily_input!FH48="","",2_Daily_input!FH48)</f>
        <v/>
      </c>
      <c r="FI77" s="57" t="str">
        <f aca="false">IF(2_Daily_input!FI48="","",2_Daily_input!FI48)</f>
        <v/>
      </c>
      <c r="FJ77" s="57" t="str">
        <f aca="false">IF(2_Daily_input!FJ48="","",2_Daily_input!FJ48)</f>
        <v/>
      </c>
      <c r="FK77" s="57" t="str">
        <f aca="false">IF(2_Daily_input!FK48="","",2_Daily_input!FK48)</f>
        <v/>
      </c>
      <c r="FL77" s="57" t="str">
        <f aca="false">IF(2_Daily_input!FL48="","",2_Daily_input!FL48)</f>
        <v/>
      </c>
      <c r="FM77" s="57" t="str">
        <f aca="false">IF(2_Daily_input!FM48="","",2_Daily_input!FM48)</f>
        <v/>
      </c>
      <c r="FN77" s="57" t="str">
        <f aca="false">IF(2_Daily_input!FN48="","",2_Daily_input!FN48)</f>
        <v/>
      </c>
      <c r="FO77" s="57" t="str">
        <f aca="false">IF(2_Daily_input!FO48="","",2_Daily_input!FO48)</f>
        <v/>
      </c>
      <c r="FP77" s="57" t="str">
        <f aca="false">IF(2_Daily_input!FP48="","",2_Daily_input!FP48)</f>
        <v/>
      </c>
      <c r="FQ77" s="57" t="str">
        <f aca="false">IF(2_Daily_input!FQ48="","",2_Daily_input!FQ48)</f>
        <v/>
      </c>
    </row>
    <row r="78" customFormat="false" ht="15" hidden="false" customHeight="false" outlineLevel="0" collapsed="false">
      <c r="A78" s="37" t="s">
        <v>406</v>
      </c>
      <c r="B78" s="38" t="s">
        <v>441</v>
      </c>
      <c r="D78" s="36" t="str">
        <f aca="false">IF(D1="","",IF(AND(ISNUMBER(D8),OR(D8&lt;0,D8&gt;300)),"rain out of range; ","")&amp;IF(AND(ISNUMBER(D9),OR(D9&lt;0,D9&gt;45)),"temp out of range; ","")&amp;IF(AND(ISNUMBER(D10),OR(D10&lt;0,D10&gt;100)),"RH out of range; ",""))</f>
        <v/>
      </c>
      <c r="E78" s="36" t="str">
        <f aca="false">IF(E1="","",IF(AND(ISNUMBER(E8),OR(E8&lt;0,E8&gt;300)),"rain out of range; ","")&amp;IF(AND(ISNUMBER(E9),OR(E9&lt;0,E9&gt;45)),"temp out of range; ","")&amp;IF(AND(ISNUMBER(E10),OR(E10&lt;0,E10&gt;100)),"RH out of range; ",""))</f>
        <v/>
      </c>
      <c r="F78" s="36" t="str">
        <f aca="false">IF(F1="","",IF(AND(ISNUMBER(F8),OR(F8&lt;0,F8&gt;300)),"rain out of range; ","")&amp;IF(AND(ISNUMBER(F9),OR(F9&lt;0,F9&gt;45)),"temp out of range; ","")&amp;IF(AND(ISNUMBER(F10),OR(F10&lt;0,F10&gt;100)),"RH out of range; ",""))</f>
        <v/>
      </c>
      <c r="G78" s="36" t="str">
        <f aca="false">IF(G1="","",IF(AND(ISNUMBER(G8),OR(G8&lt;0,G8&gt;300)),"rain out of range; ","")&amp;IF(AND(ISNUMBER(G9),OR(G9&lt;0,G9&gt;45)),"temp out of range; ","")&amp;IF(AND(ISNUMBER(G10),OR(G10&lt;0,G10&gt;100)),"RH out of range; ",""))</f>
        <v/>
      </c>
      <c r="H78" s="36" t="str">
        <f aca="false">IF(H1="","",IF(AND(ISNUMBER(H8),OR(H8&lt;0,H8&gt;300)),"rain out of range; ","")&amp;IF(AND(ISNUMBER(H9),OR(H9&lt;0,H9&gt;45)),"temp out of range; ","")&amp;IF(AND(ISNUMBER(H10),OR(H10&lt;0,H10&gt;100)),"RH out of range; ",""))</f>
        <v/>
      </c>
      <c r="I78" s="36" t="str">
        <f aca="false">IF(I1="","",IF(AND(ISNUMBER(I8),OR(I8&lt;0,I8&gt;300)),"rain out of range; ","")&amp;IF(AND(ISNUMBER(I9),OR(I9&lt;0,I9&gt;45)),"temp out of range; ","")&amp;IF(AND(ISNUMBER(I10),OR(I10&lt;0,I10&gt;100)),"RH out of range; ",""))</f>
        <v/>
      </c>
      <c r="J78" s="36" t="str">
        <f aca="false">IF(J1="","",IF(AND(ISNUMBER(J8),OR(J8&lt;0,J8&gt;300)),"rain out of range; ","")&amp;IF(AND(ISNUMBER(J9),OR(J9&lt;0,J9&gt;45)),"temp out of range; ","")&amp;IF(AND(ISNUMBER(J10),OR(J10&lt;0,J10&gt;100)),"RH out of range; ",""))</f>
        <v/>
      </c>
      <c r="K78" s="36" t="str">
        <f aca="false">IF(K1="","",IF(AND(ISNUMBER(K8),OR(K8&lt;0,K8&gt;300)),"rain out of range; ","")&amp;IF(AND(ISNUMBER(K9),OR(K9&lt;0,K9&gt;45)),"temp out of range; ","")&amp;IF(AND(ISNUMBER(K10),OR(K10&lt;0,K10&gt;100)),"RH out of range; ",""))</f>
        <v/>
      </c>
      <c r="L78" s="36" t="str">
        <f aca="false">IF(L1="","",IF(AND(ISNUMBER(L8),OR(L8&lt;0,L8&gt;300)),"rain out of range; ","")&amp;IF(AND(ISNUMBER(L9),OR(L9&lt;0,L9&gt;45)),"temp out of range; ","")&amp;IF(AND(ISNUMBER(L10),OR(L10&lt;0,L10&gt;100)),"RH out of range; ",""))</f>
        <v/>
      </c>
      <c r="M78" s="36" t="str">
        <f aca="false">IF(M1="","",IF(AND(ISNUMBER(M8),OR(M8&lt;0,M8&gt;300)),"rain out of range; ","")&amp;IF(AND(ISNUMBER(M9),OR(M9&lt;0,M9&gt;45)),"temp out of range; ","")&amp;IF(AND(ISNUMBER(M10),OR(M10&lt;0,M10&gt;100)),"RH out of range; ",""))</f>
        <v/>
      </c>
      <c r="N78" s="36" t="str">
        <f aca="false">IF(N1="","",IF(AND(ISNUMBER(N8),OR(N8&lt;0,N8&gt;300)),"rain out of range; ","")&amp;IF(AND(ISNUMBER(N9),OR(N9&lt;0,N9&gt;45)),"temp out of range; ","")&amp;IF(AND(ISNUMBER(N10),OR(N10&lt;0,N10&gt;100)),"RH out of range; ",""))</f>
        <v/>
      </c>
      <c r="O78" s="36" t="str">
        <f aca="false">IF(O1="","",IF(AND(ISNUMBER(O8),OR(O8&lt;0,O8&gt;300)),"rain out of range; ","")&amp;IF(AND(ISNUMBER(O9),OR(O9&lt;0,O9&gt;45)),"temp out of range; ","")&amp;IF(AND(ISNUMBER(O10),OR(O10&lt;0,O10&gt;100)),"RH out of range; ",""))</f>
        <v/>
      </c>
      <c r="P78" s="36" t="str">
        <f aca="false">IF(P1="","",IF(AND(ISNUMBER(P8),OR(P8&lt;0,P8&gt;300)),"rain out of range; ","")&amp;IF(AND(ISNUMBER(P9),OR(P9&lt;0,P9&gt;45)),"temp out of range; ","")&amp;IF(AND(ISNUMBER(P10),OR(P10&lt;0,P10&gt;100)),"RH out of range; ",""))</f>
        <v/>
      </c>
      <c r="Q78" s="36" t="str">
        <f aca="false">IF(Q1="","",IF(AND(ISNUMBER(Q8),OR(Q8&lt;0,Q8&gt;300)),"rain out of range; ","")&amp;IF(AND(ISNUMBER(Q9),OR(Q9&lt;0,Q9&gt;45)),"temp out of range; ","")&amp;IF(AND(ISNUMBER(Q10),OR(Q10&lt;0,Q10&gt;100)),"RH out of range; ",""))</f>
        <v/>
      </c>
      <c r="R78" s="36" t="str">
        <f aca="false">IF(R1="","",IF(AND(ISNUMBER(R8),OR(R8&lt;0,R8&gt;300)),"rain out of range; ","")&amp;IF(AND(ISNUMBER(R9),OR(R9&lt;0,R9&gt;45)),"temp out of range; ","")&amp;IF(AND(ISNUMBER(R10),OR(R10&lt;0,R10&gt;100)),"RH out of range; ",""))</f>
        <v/>
      </c>
      <c r="S78" s="36" t="str">
        <f aca="false">IF(S1="","",IF(AND(ISNUMBER(S8),OR(S8&lt;0,S8&gt;300)),"rain out of range; ","")&amp;IF(AND(ISNUMBER(S9),OR(S9&lt;0,S9&gt;45)),"temp out of range; ","")&amp;IF(AND(ISNUMBER(S10),OR(S10&lt;0,S10&gt;100)),"RH out of range; ",""))</f>
        <v/>
      </c>
      <c r="T78" s="36" t="str">
        <f aca="false">IF(T1="","",IF(AND(ISNUMBER(T8),OR(T8&lt;0,T8&gt;300)),"rain out of range; ","")&amp;IF(AND(ISNUMBER(T9),OR(T9&lt;0,T9&gt;45)),"temp out of range; ","")&amp;IF(AND(ISNUMBER(T10),OR(T10&lt;0,T10&gt;100)),"RH out of range; ",""))</f>
        <v/>
      </c>
      <c r="U78" s="36" t="str">
        <f aca="false">IF(U1="","",IF(AND(ISNUMBER(U8),OR(U8&lt;0,U8&gt;300)),"rain out of range; ","")&amp;IF(AND(ISNUMBER(U9),OR(U9&lt;0,U9&gt;45)),"temp out of range; ","")&amp;IF(AND(ISNUMBER(U10),OR(U10&lt;0,U10&gt;100)),"RH out of range; ",""))</f>
        <v/>
      </c>
      <c r="V78" s="36" t="str">
        <f aca="false">IF(V1="","",IF(AND(ISNUMBER(V8),OR(V8&lt;0,V8&gt;300)),"rain out of range; ","")&amp;IF(AND(ISNUMBER(V9),OR(V9&lt;0,V9&gt;45)),"temp out of range; ","")&amp;IF(AND(ISNUMBER(V10),OR(V10&lt;0,V10&gt;100)),"RH out of range; ",""))</f>
        <v/>
      </c>
      <c r="W78" s="36" t="str">
        <f aca="false">IF(W1="","",IF(AND(ISNUMBER(W8),OR(W8&lt;0,W8&gt;300)),"rain out of range; ","")&amp;IF(AND(ISNUMBER(W9),OR(W9&lt;0,W9&gt;45)),"temp out of range; ","")&amp;IF(AND(ISNUMBER(W10),OR(W10&lt;0,W10&gt;100)),"RH out of range; ",""))</f>
        <v/>
      </c>
      <c r="X78" s="36" t="str">
        <f aca="false">IF(X1="","",IF(AND(ISNUMBER(X8),OR(X8&lt;0,X8&gt;300)),"rain out of range; ","")&amp;IF(AND(ISNUMBER(X9),OR(X9&lt;0,X9&gt;45)),"temp out of range; ","")&amp;IF(AND(ISNUMBER(X10),OR(X10&lt;0,X10&gt;100)),"RH out of range; ",""))</f>
        <v/>
      </c>
      <c r="Y78" s="36" t="str">
        <f aca="false">IF(Y1="","",IF(AND(ISNUMBER(Y8),OR(Y8&lt;0,Y8&gt;300)),"rain out of range; ","")&amp;IF(AND(ISNUMBER(Y9),OR(Y9&lt;0,Y9&gt;45)),"temp out of range; ","")&amp;IF(AND(ISNUMBER(Y10),OR(Y10&lt;0,Y10&gt;100)),"RH out of range; ",""))</f>
        <v/>
      </c>
      <c r="Z78" s="36" t="str">
        <f aca="false">IF(Z1="","",IF(AND(ISNUMBER(Z8),OR(Z8&lt;0,Z8&gt;300)),"rain out of range; ","")&amp;IF(AND(ISNUMBER(Z9),OR(Z9&lt;0,Z9&gt;45)),"temp out of range; ","")&amp;IF(AND(ISNUMBER(Z10),OR(Z10&lt;0,Z10&gt;100)),"RH out of range; ",""))</f>
        <v/>
      </c>
      <c r="AA78" s="36" t="str">
        <f aca="false"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36" t="str">
        <f aca="false"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36" t="str">
        <f aca="false"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36" t="str">
        <f aca="false"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36" t="str">
        <f aca="false"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36" t="str">
        <f aca="false"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36" t="str">
        <f aca="false"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36" t="str">
        <f aca="false"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36" t="str">
        <f aca="false"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36" t="str">
        <f aca="false"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36" t="str">
        <f aca="false"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36" t="str">
        <f aca="false"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36" t="str">
        <f aca="false"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36" t="str">
        <f aca="false"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36" t="str">
        <f aca="false"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36" t="str">
        <f aca="false"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36" t="str">
        <f aca="false"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36" t="str">
        <f aca="false"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36" t="str">
        <f aca="false"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36" t="str">
        <f aca="false"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36" t="str">
        <f aca="false"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36" t="str">
        <f aca="false"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36" t="str">
        <f aca="false"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36" t="str">
        <f aca="false"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36" t="str">
        <f aca="false"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36" t="str">
        <f aca="false"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36" t="str">
        <f aca="false"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36" t="str">
        <f aca="false"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36" t="str">
        <f aca="false"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36" t="str">
        <f aca="false"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36" t="str">
        <f aca="false"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36" t="str">
        <f aca="false"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36" t="str">
        <f aca="false"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36" t="str">
        <f aca="false"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36" t="str">
        <f aca="false"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36" t="str">
        <f aca="false"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36" t="str">
        <f aca="false"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36" t="str">
        <f aca="false"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36" t="str">
        <f aca="false"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36" t="str">
        <f aca="false"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36" t="str">
        <f aca="false"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36" t="str">
        <f aca="false"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36" t="str">
        <f aca="false"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36" t="str">
        <f aca="false"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36" t="str">
        <f aca="false"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36" t="str">
        <f aca="false"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36" t="str">
        <f aca="false"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36" t="str">
        <f aca="false"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36" t="str">
        <f aca="false"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36" t="str">
        <f aca="false"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36" t="str">
        <f aca="false"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36" t="str">
        <f aca="false"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36" t="str">
        <f aca="false"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36" t="str">
        <f aca="false"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36" t="str">
        <f aca="false"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36" t="str">
        <f aca="false"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36" t="str">
        <f aca="false"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36" t="str">
        <f aca="false"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36" t="str">
        <f aca="false"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36" t="str">
        <f aca="false"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36" t="str">
        <f aca="false"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36" t="str">
        <f aca="false"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36" t="str">
        <f aca="false"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36" t="str">
        <f aca="false"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36" t="str">
        <f aca="false"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36" t="str">
        <f aca="false"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36" t="str">
        <f aca="false"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36" t="str">
        <f aca="false"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36" t="str">
        <f aca="false"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36" t="str">
        <f aca="false"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36" t="str">
        <f aca="false"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36" t="str">
        <f aca="false"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36" t="str">
        <f aca="false"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36" t="str">
        <f aca="false"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36" t="str">
        <f aca="false"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36" t="str">
        <f aca="false"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36" t="str">
        <f aca="false"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36" t="str">
        <f aca="false"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36" t="str">
        <f aca="false"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36" t="str">
        <f aca="false"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36" t="str">
        <f aca="false"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36" t="str">
        <f aca="false"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36" t="str">
        <f aca="false"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36" t="str">
        <f aca="false"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36" t="str">
        <f aca="false"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36" t="str">
        <f aca="false"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36" t="str">
        <f aca="false"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36" t="str">
        <f aca="false"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36" t="str">
        <f aca="false"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36" t="str">
        <f aca="false"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36" t="str">
        <f aca="false"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36" t="str">
        <f aca="false"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36" t="str">
        <f aca="false"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36" t="str">
        <f aca="false"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36" t="str">
        <f aca="false"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36" t="str">
        <f aca="false"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36" t="str">
        <f aca="false"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36" t="str">
        <f aca="false"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36" t="str">
        <f aca="false"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36" t="str">
        <f aca="false"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36" t="str">
        <f aca="false"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36" t="str">
        <f aca="false"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36" t="str">
        <f aca="false"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36" t="str">
        <f aca="false"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36" t="str">
        <f aca="false"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36" t="str">
        <f aca="false"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36" t="str">
        <f aca="false"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36" t="str">
        <f aca="false"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36" t="str">
        <f aca="false"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36" t="str">
        <f aca="false"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36" t="str">
        <f aca="false"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36" t="str">
        <f aca="false"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36" t="str">
        <f aca="false"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36" t="str">
        <f aca="false"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36" t="str">
        <f aca="false"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36" t="str">
        <f aca="false"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36" t="str">
        <f aca="false"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36" t="str">
        <f aca="false"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36" t="str">
        <f aca="false"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36" t="str">
        <f aca="false"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36" t="str">
        <f aca="false"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36" t="str">
        <f aca="false"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36" t="str">
        <f aca="false"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36" t="str">
        <f aca="false"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36" t="str">
        <f aca="false"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36" t="str">
        <f aca="false"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36" t="str">
        <f aca="false"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36" t="str">
        <f aca="false"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36" t="str">
        <f aca="false"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36" t="str">
        <f aca="false"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36" t="str">
        <f aca="false"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36" t="str">
        <f aca="false"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36" t="str">
        <f aca="false"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36" t="str">
        <f aca="false"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36" t="str">
        <f aca="false"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36" t="str">
        <f aca="false"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36" t="str">
        <f aca="false"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36" t="str">
        <f aca="false"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36" t="str">
        <f aca="false"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36" t="str">
        <f aca="false"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36" t="str">
        <f aca="false"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36" t="str">
        <f aca="false"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36" t="str">
        <f aca="false"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36" t="str">
        <f aca="false"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36" t="str">
        <f aca="false"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36" t="str">
        <f aca="false"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36" t="str">
        <f aca="false"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customFormat="false" ht="15" hidden="true" customHeight="false" outlineLevel="0" collapsed="false">
      <c r="B80" s="22" t="s">
        <v>442</v>
      </c>
    </row>
    <row r="81" customFormat="false" ht="15" hidden="true" customHeight="false" outlineLevel="0" collapsed="false">
      <c r="B81" s="45" t="s">
        <v>443</v>
      </c>
      <c r="D81" s="22" t="str">
        <f aca="false">IF(AND(D1&lt;&gt;"",ISNUMBER(MDS),ISNUMBER(MDE)),IF(AND(D1&gt;=MDS,D1&lt;=MDE),24,""),"")</f>
        <v/>
      </c>
      <c r="E81" s="22" t="str">
        <f aca="false">IF(AND(E1&lt;&gt;"",ISNUMBER(MDS),ISNUMBER(MDE)),IF(AND(E1&gt;=MDS,E1&lt;=MDE),24,""),"")</f>
        <v/>
      </c>
      <c r="F81" s="22" t="str">
        <f aca="false">IF(AND(F1&lt;&gt;"",ISNUMBER(MDS),ISNUMBER(MDE)),IF(AND(F1&gt;=MDS,F1&lt;=MDE),24,""),"")</f>
        <v/>
      </c>
      <c r="G81" s="22" t="str">
        <f aca="false">IF(AND(G1&lt;&gt;"",ISNUMBER(MDS),ISNUMBER(MDE)),IF(AND(G1&gt;=MDS,G1&lt;=MDE),24,""),"")</f>
        <v/>
      </c>
      <c r="H81" s="22" t="str">
        <f aca="false">IF(AND(H1&lt;&gt;"",ISNUMBER(MDS),ISNUMBER(MDE)),IF(AND(H1&gt;=MDS,H1&lt;=MDE),24,""),"")</f>
        <v/>
      </c>
      <c r="I81" s="22" t="str">
        <f aca="false">IF(AND(I1&lt;&gt;"",ISNUMBER(MDS),ISNUMBER(MDE)),IF(AND(I1&gt;=MDS,I1&lt;=MDE),24,""),"")</f>
        <v/>
      </c>
      <c r="J81" s="22" t="str">
        <f aca="false">IF(AND(J1&lt;&gt;"",ISNUMBER(MDS),ISNUMBER(MDE)),IF(AND(J1&gt;=MDS,J1&lt;=MDE),24,""),"")</f>
        <v/>
      </c>
      <c r="K81" s="22" t="str">
        <f aca="false">IF(AND(K1&lt;&gt;"",ISNUMBER(MDS),ISNUMBER(MDE)),IF(AND(K1&gt;=MDS,K1&lt;=MDE),24,""),"")</f>
        <v/>
      </c>
      <c r="L81" s="22" t="str">
        <f aca="false">IF(AND(L1&lt;&gt;"",ISNUMBER(MDS),ISNUMBER(MDE)),IF(AND(L1&gt;=MDS,L1&lt;=MDE),24,""),"")</f>
        <v/>
      </c>
      <c r="M81" s="22" t="str">
        <f aca="false">IF(AND(M1&lt;&gt;"",ISNUMBER(MDS),ISNUMBER(MDE)),IF(AND(M1&gt;=MDS,M1&lt;=MDE),24,""),"")</f>
        <v/>
      </c>
      <c r="N81" s="22" t="str">
        <f aca="false">IF(AND(N1&lt;&gt;"",ISNUMBER(MDS),ISNUMBER(MDE)),IF(AND(N1&gt;=MDS,N1&lt;=MDE),24,""),"")</f>
        <v/>
      </c>
      <c r="O81" s="22" t="str">
        <f aca="false">IF(AND(O1&lt;&gt;"",ISNUMBER(MDS),ISNUMBER(MDE)),IF(AND(O1&gt;=MDS,O1&lt;=MDE),24,""),"")</f>
        <v/>
      </c>
      <c r="P81" s="22" t="str">
        <f aca="false">IF(AND(P1&lt;&gt;"",ISNUMBER(MDS),ISNUMBER(MDE)),IF(AND(P1&gt;=MDS,P1&lt;=MDE),24,""),"")</f>
        <v/>
      </c>
      <c r="Q81" s="22" t="str">
        <f aca="false">IF(AND(Q1&lt;&gt;"",ISNUMBER(MDS),ISNUMBER(MDE)),IF(AND(Q1&gt;=MDS,Q1&lt;=MDE),24,""),"")</f>
        <v/>
      </c>
      <c r="R81" s="22" t="str">
        <f aca="false">IF(AND(R1&lt;&gt;"",ISNUMBER(MDS),ISNUMBER(MDE)),IF(AND(R1&gt;=MDS,R1&lt;=MDE),24,""),"")</f>
        <v/>
      </c>
      <c r="S81" s="22" t="str">
        <f aca="false">IF(AND(S1&lt;&gt;"",ISNUMBER(MDS),ISNUMBER(MDE)),IF(AND(S1&gt;=MDS,S1&lt;=MDE),24,""),"")</f>
        <v/>
      </c>
      <c r="T81" s="22" t="str">
        <f aca="false">IF(AND(T1&lt;&gt;"",ISNUMBER(MDS),ISNUMBER(MDE)),IF(AND(T1&gt;=MDS,T1&lt;=MDE),24,""),"")</f>
        <v/>
      </c>
      <c r="U81" s="22" t="str">
        <f aca="false">IF(AND(U1&lt;&gt;"",ISNUMBER(MDS),ISNUMBER(MDE)),IF(AND(U1&gt;=MDS,U1&lt;=MDE),24,""),"")</f>
        <v/>
      </c>
      <c r="V81" s="22" t="str">
        <f aca="false">IF(AND(V1&lt;&gt;"",ISNUMBER(MDS),ISNUMBER(MDE)),IF(AND(V1&gt;=MDS,V1&lt;=MDE),24,""),"")</f>
        <v/>
      </c>
      <c r="W81" s="22" t="str">
        <f aca="false">IF(AND(W1&lt;&gt;"",ISNUMBER(MDS),ISNUMBER(MDE)),IF(AND(W1&gt;=MDS,W1&lt;=MDE),24,""),"")</f>
        <v/>
      </c>
      <c r="X81" s="22" t="str">
        <f aca="false">IF(AND(X1&lt;&gt;"",ISNUMBER(MDS),ISNUMBER(MDE)),IF(AND(X1&gt;=MDS,X1&lt;=MDE),24,""),"")</f>
        <v/>
      </c>
      <c r="Y81" s="22" t="str">
        <f aca="false">IF(AND(Y1&lt;&gt;"",ISNUMBER(MDS),ISNUMBER(MDE)),IF(AND(Y1&gt;=MDS,Y1&lt;=MDE),24,""),"")</f>
        <v/>
      </c>
      <c r="Z81" s="22" t="str">
        <f aca="false">IF(AND(Z1&lt;&gt;"",ISNUMBER(MDS),ISNUMBER(MDE)),IF(AND(Z1&gt;=MDS,Z1&lt;=MDE),24,""),"")</f>
        <v/>
      </c>
      <c r="AA81" s="22" t="str">
        <f aca="false">IF(AND(AA1&lt;&gt;"",ISNUMBER(MDS),ISNUMBER(MDE)),IF(AND(AA1&gt;=MDS,AA1&lt;=MDE),24,""),"")</f>
        <v/>
      </c>
      <c r="AB81" s="22" t="str">
        <f aca="false">IF(AND(AB1&lt;&gt;"",ISNUMBER(MDS),ISNUMBER(MDE)),IF(AND(AB1&gt;=MDS,AB1&lt;=MDE),24,""),"")</f>
        <v/>
      </c>
      <c r="AC81" s="22" t="str">
        <f aca="false">IF(AND(AC1&lt;&gt;"",ISNUMBER(MDS),ISNUMBER(MDE)),IF(AND(AC1&gt;=MDS,AC1&lt;=MDE),24,""),"")</f>
        <v/>
      </c>
      <c r="AD81" s="22" t="str">
        <f aca="false">IF(AND(AD1&lt;&gt;"",ISNUMBER(MDS),ISNUMBER(MDE)),IF(AND(AD1&gt;=MDS,AD1&lt;=MDE),24,""),"")</f>
        <v/>
      </c>
      <c r="AE81" s="22" t="str">
        <f aca="false">IF(AND(AE1&lt;&gt;"",ISNUMBER(MDS),ISNUMBER(MDE)),IF(AND(AE1&gt;=MDS,AE1&lt;=MDE),24,""),"")</f>
        <v/>
      </c>
      <c r="AF81" s="22" t="str">
        <f aca="false">IF(AND(AF1&lt;&gt;"",ISNUMBER(MDS),ISNUMBER(MDE)),IF(AND(AF1&gt;=MDS,AF1&lt;=MDE),24,""),"")</f>
        <v/>
      </c>
      <c r="AG81" s="22" t="str">
        <f aca="false">IF(AND(AG1&lt;&gt;"",ISNUMBER(MDS),ISNUMBER(MDE)),IF(AND(AG1&gt;=MDS,AG1&lt;=MDE),24,""),"")</f>
        <v/>
      </c>
      <c r="AH81" s="22" t="str">
        <f aca="false">IF(AND(AH1&lt;&gt;"",ISNUMBER(MDS),ISNUMBER(MDE)),IF(AND(AH1&gt;=MDS,AH1&lt;=MDE),24,""),"")</f>
        <v/>
      </c>
      <c r="AI81" s="22" t="str">
        <f aca="false">IF(AND(AI1&lt;&gt;"",ISNUMBER(MDS),ISNUMBER(MDE)),IF(AND(AI1&gt;=MDS,AI1&lt;=MDE),24,""),"")</f>
        <v/>
      </c>
      <c r="AJ81" s="22" t="str">
        <f aca="false">IF(AND(AJ1&lt;&gt;"",ISNUMBER(MDS),ISNUMBER(MDE)),IF(AND(AJ1&gt;=MDS,AJ1&lt;=MDE),24,""),"")</f>
        <v/>
      </c>
      <c r="AK81" s="22" t="str">
        <f aca="false">IF(AND(AK1&lt;&gt;"",ISNUMBER(MDS),ISNUMBER(MDE)),IF(AND(AK1&gt;=MDS,AK1&lt;=MDE),24,""),"")</f>
        <v/>
      </c>
      <c r="AL81" s="22" t="str">
        <f aca="false">IF(AND(AL1&lt;&gt;"",ISNUMBER(MDS),ISNUMBER(MDE)),IF(AND(AL1&gt;=MDS,AL1&lt;=MDE),24,""),"")</f>
        <v/>
      </c>
      <c r="AM81" s="22" t="str">
        <f aca="false">IF(AND(AM1&lt;&gt;"",ISNUMBER(MDS),ISNUMBER(MDE)),IF(AND(AM1&gt;=MDS,AM1&lt;=MDE),24,""),"")</f>
        <v/>
      </c>
      <c r="AN81" s="22" t="str">
        <f aca="false">IF(AND(AN1&lt;&gt;"",ISNUMBER(MDS),ISNUMBER(MDE)),IF(AND(AN1&gt;=MDS,AN1&lt;=MDE),24,""),"")</f>
        <v/>
      </c>
      <c r="AO81" s="22" t="str">
        <f aca="false">IF(AND(AO1&lt;&gt;"",ISNUMBER(MDS),ISNUMBER(MDE)),IF(AND(AO1&gt;=MDS,AO1&lt;=MDE),24,""),"")</f>
        <v/>
      </c>
      <c r="AP81" s="22" t="str">
        <f aca="false">IF(AND(AP1&lt;&gt;"",ISNUMBER(MDS),ISNUMBER(MDE)),IF(AND(AP1&gt;=MDS,AP1&lt;=MDE),24,""),"")</f>
        <v/>
      </c>
      <c r="AQ81" s="22" t="str">
        <f aca="false">IF(AND(AQ1&lt;&gt;"",ISNUMBER(MDS),ISNUMBER(MDE)),IF(AND(AQ1&gt;=MDS,AQ1&lt;=MDE),24,""),"")</f>
        <v/>
      </c>
      <c r="AR81" s="22" t="str">
        <f aca="false">IF(AND(AR1&lt;&gt;"",ISNUMBER(MDS),ISNUMBER(MDE)),IF(AND(AR1&gt;=MDS,AR1&lt;=MDE),24,""),"")</f>
        <v/>
      </c>
      <c r="AS81" s="22" t="str">
        <f aca="false">IF(AND(AS1&lt;&gt;"",ISNUMBER(MDS),ISNUMBER(MDE)),IF(AND(AS1&gt;=MDS,AS1&lt;=MDE),24,""),"")</f>
        <v/>
      </c>
      <c r="AT81" s="22" t="str">
        <f aca="false">IF(AND(AT1&lt;&gt;"",ISNUMBER(MDS),ISNUMBER(MDE)),IF(AND(AT1&gt;=MDS,AT1&lt;=MDE),24,""),"")</f>
        <v/>
      </c>
      <c r="AU81" s="22" t="str">
        <f aca="false">IF(AND(AU1&lt;&gt;"",ISNUMBER(MDS),ISNUMBER(MDE)),IF(AND(AU1&gt;=MDS,AU1&lt;=MDE),24,""),"")</f>
        <v/>
      </c>
      <c r="AV81" s="22" t="str">
        <f aca="false">IF(AND(AV1&lt;&gt;"",ISNUMBER(MDS),ISNUMBER(MDE)),IF(AND(AV1&gt;=MDS,AV1&lt;=MDE),24,""),"")</f>
        <v/>
      </c>
      <c r="AW81" s="22" t="str">
        <f aca="false">IF(AND(AW1&lt;&gt;"",ISNUMBER(MDS),ISNUMBER(MDE)),IF(AND(AW1&gt;=MDS,AW1&lt;=MDE),24,""),"")</f>
        <v/>
      </c>
      <c r="AX81" s="22" t="str">
        <f aca="false">IF(AND(AX1&lt;&gt;"",ISNUMBER(MDS),ISNUMBER(MDE)),IF(AND(AX1&gt;=MDS,AX1&lt;=MDE),24,""),"")</f>
        <v/>
      </c>
      <c r="AY81" s="22" t="str">
        <f aca="false">IF(AND(AY1&lt;&gt;"",ISNUMBER(MDS),ISNUMBER(MDE)),IF(AND(AY1&gt;=MDS,AY1&lt;=MDE),24,""),"")</f>
        <v/>
      </c>
      <c r="AZ81" s="22" t="str">
        <f aca="false">IF(AND(AZ1&lt;&gt;"",ISNUMBER(MDS),ISNUMBER(MDE)),IF(AND(AZ1&gt;=MDS,AZ1&lt;=MDE),24,""),"")</f>
        <v/>
      </c>
      <c r="BA81" s="22" t="str">
        <f aca="false">IF(AND(BA1&lt;&gt;"",ISNUMBER(MDS),ISNUMBER(MDE)),IF(AND(BA1&gt;=MDS,BA1&lt;=MDE),24,""),"")</f>
        <v/>
      </c>
      <c r="BB81" s="22" t="str">
        <f aca="false">IF(AND(BB1&lt;&gt;"",ISNUMBER(MDS),ISNUMBER(MDE)),IF(AND(BB1&gt;=MDS,BB1&lt;=MDE),24,""),"")</f>
        <v/>
      </c>
      <c r="BC81" s="22" t="str">
        <f aca="false">IF(AND(BC1&lt;&gt;"",ISNUMBER(MDS),ISNUMBER(MDE)),IF(AND(BC1&gt;=MDS,BC1&lt;=MDE),24,""),"")</f>
        <v/>
      </c>
      <c r="BD81" s="22" t="str">
        <f aca="false">IF(AND(BD1&lt;&gt;"",ISNUMBER(MDS),ISNUMBER(MDE)),IF(AND(BD1&gt;=MDS,BD1&lt;=MDE),24,""),"")</f>
        <v/>
      </c>
      <c r="BE81" s="22" t="str">
        <f aca="false">IF(AND(BE1&lt;&gt;"",ISNUMBER(MDS),ISNUMBER(MDE)),IF(AND(BE1&gt;=MDS,BE1&lt;=MDE),24,""),"")</f>
        <v/>
      </c>
      <c r="BF81" s="22" t="str">
        <f aca="false">IF(AND(BF1&lt;&gt;"",ISNUMBER(MDS),ISNUMBER(MDE)),IF(AND(BF1&gt;=MDS,BF1&lt;=MDE),24,""),"")</f>
        <v/>
      </c>
      <c r="BG81" s="22" t="str">
        <f aca="false">IF(AND(BG1&lt;&gt;"",ISNUMBER(MDS),ISNUMBER(MDE)),IF(AND(BG1&gt;=MDS,BG1&lt;=MDE),24,""),"")</f>
        <v/>
      </c>
      <c r="BH81" s="22" t="str">
        <f aca="false">IF(AND(BH1&lt;&gt;"",ISNUMBER(MDS),ISNUMBER(MDE)),IF(AND(BH1&gt;=MDS,BH1&lt;=MDE),24,""),"")</f>
        <v/>
      </c>
      <c r="BI81" s="22" t="str">
        <f aca="false">IF(AND(BI1&lt;&gt;"",ISNUMBER(MDS),ISNUMBER(MDE)),IF(AND(BI1&gt;=MDS,BI1&lt;=MDE),24,""),"")</f>
        <v/>
      </c>
      <c r="BJ81" s="22" t="str">
        <f aca="false">IF(AND(BJ1&lt;&gt;"",ISNUMBER(MDS),ISNUMBER(MDE)),IF(AND(BJ1&gt;=MDS,BJ1&lt;=MDE),24,""),"")</f>
        <v/>
      </c>
      <c r="BK81" s="22" t="str">
        <f aca="false">IF(AND(BK1&lt;&gt;"",ISNUMBER(MDS),ISNUMBER(MDE)),IF(AND(BK1&gt;=MDS,BK1&lt;=MDE),24,""),"")</f>
        <v/>
      </c>
      <c r="BL81" s="22" t="str">
        <f aca="false">IF(AND(BL1&lt;&gt;"",ISNUMBER(MDS),ISNUMBER(MDE)),IF(AND(BL1&gt;=MDS,BL1&lt;=MDE),24,""),"")</f>
        <v/>
      </c>
      <c r="BM81" s="22" t="str">
        <f aca="false">IF(AND(BM1&lt;&gt;"",ISNUMBER(MDS),ISNUMBER(MDE)),IF(AND(BM1&gt;=MDS,BM1&lt;=MDE),24,""),"")</f>
        <v/>
      </c>
      <c r="BN81" s="22" t="str">
        <f aca="false">IF(AND(BN1&lt;&gt;"",ISNUMBER(MDS),ISNUMBER(MDE)),IF(AND(BN1&gt;=MDS,BN1&lt;=MDE),24,""),"")</f>
        <v/>
      </c>
      <c r="BO81" s="22" t="str">
        <f aca="false">IF(AND(BO1&lt;&gt;"",ISNUMBER(MDS),ISNUMBER(MDE)),IF(AND(BO1&gt;=MDS,BO1&lt;=MDE),24,""),"")</f>
        <v/>
      </c>
      <c r="BP81" s="22" t="str">
        <f aca="false">IF(AND(BP1&lt;&gt;"",ISNUMBER(MDS),ISNUMBER(MDE)),IF(AND(BP1&gt;=MDS,BP1&lt;=MDE),24,""),"")</f>
        <v/>
      </c>
      <c r="BQ81" s="22" t="str">
        <f aca="false">IF(AND(BQ1&lt;&gt;"",ISNUMBER(MDS),ISNUMBER(MDE)),IF(AND(BQ1&gt;=MDS,BQ1&lt;=MDE),24,""),"")</f>
        <v/>
      </c>
      <c r="BR81" s="22" t="str">
        <f aca="false">IF(AND(BR1&lt;&gt;"",ISNUMBER(MDS),ISNUMBER(MDE)),IF(AND(BR1&gt;=MDS,BR1&lt;=MDE),24,""),"")</f>
        <v/>
      </c>
      <c r="BS81" s="22" t="str">
        <f aca="false">IF(AND(BS1&lt;&gt;"",ISNUMBER(MDS),ISNUMBER(MDE)),IF(AND(BS1&gt;=MDS,BS1&lt;=MDE),24,""),"")</f>
        <v/>
      </c>
      <c r="BT81" s="22" t="str">
        <f aca="false">IF(AND(BT1&lt;&gt;"",ISNUMBER(MDS),ISNUMBER(MDE)),IF(AND(BT1&gt;=MDS,BT1&lt;=MDE),24,""),"")</f>
        <v/>
      </c>
      <c r="BU81" s="22" t="str">
        <f aca="false">IF(AND(BU1&lt;&gt;"",ISNUMBER(MDS),ISNUMBER(MDE)),IF(AND(BU1&gt;=MDS,BU1&lt;=MDE),24,""),"")</f>
        <v/>
      </c>
      <c r="BV81" s="22" t="str">
        <f aca="false">IF(AND(BV1&lt;&gt;"",ISNUMBER(MDS),ISNUMBER(MDE)),IF(AND(BV1&gt;=MDS,BV1&lt;=MDE),24,""),"")</f>
        <v/>
      </c>
      <c r="BW81" s="22" t="str">
        <f aca="false">IF(AND(BW1&lt;&gt;"",ISNUMBER(MDS),ISNUMBER(MDE)),IF(AND(BW1&gt;=MDS,BW1&lt;=MDE),24,""),"")</f>
        <v/>
      </c>
      <c r="BX81" s="22" t="str">
        <f aca="false">IF(AND(BX1&lt;&gt;"",ISNUMBER(MDS),ISNUMBER(MDE)),IF(AND(BX1&gt;=MDS,BX1&lt;=MDE),24,""),"")</f>
        <v/>
      </c>
      <c r="BY81" s="22" t="str">
        <f aca="false">IF(AND(BY1&lt;&gt;"",ISNUMBER(MDS),ISNUMBER(MDE)),IF(AND(BY1&gt;=MDS,BY1&lt;=MDE),24,""),"")</f>
        <v/>
      </c>
      <c r="BZ81" s="22" t="str">
        <f aca="false">IF(AND(BZ1&lt;&gt;"",ISNUMBER(MDS),ISNUMBER(MDE)),IF(AND(BZ1&gt;=MDS,BZ1&lt;=MDE),24,""),"")</f>
        <v/>
      </c>
      <c r="CA81" s="22" t="str">
        <f aca="false">IF(AND(CA1&lt;&gt;"",ISNUMBER(MDS),ISNUMBER(MDE)),IF(AND(CA1&gt;=MDS,CA1&lt;=MDE),24,""),"")</f>
        <v/>
      </c>
      <c r="CB81" s="22" t="str">
        <f aca="false">IF(AND(CB1&lt;&gt;"",ISNUMBER(MDS),ISNUMBER(MDE)),IF(AND(CB1&gt;=MDS,CB1&lt;=MDE),24,""),"")</f>
        <v/>
      </c>
      <c r="CC81" s="22" t="str">
        <f aca="false">IF(AND(CC1&lt;&gt;"",ISNUMBER(MDS),ISNUMBER(MDE)),IF(AND(CC1&gt;=MDS,CC1&lt;=MDE),24,""),"")</f>
        <v/>
      </c>
      <c r="CD81" s="22" t="str">
        <f aca="false">IF(AND(CD1&lt;&gt;"",ISNUMBER(MDS),ISNUMBER(MDE)),IF(AND(CD1&gt;=MDS,CD1&lt;=MDE),24,""),"")</f>
        <v/>
      </c>
      <c r="CE81" s="22" t="str">
        <f aca="false">IF(AND(CE1&lt;&gt;"",ISNUMBER(MDS),ISNUMBER(MDE)),IF(AND(CE1&gt;=MDS,CE1&lt;=MDE),24,""),"")</f>
        <v/>
      </c>
      <c r="CF81" s="22" t="str">
        <f aca="false">IF(AND(CF1&lt;&gt;"",ISNUMBER(MDS),ISNUMBER(MDE)),IF(AND(CF1&gt;=MDS,CF1&lt;=MDE),24,""),"")</f>
        <v/>
      </c>
      <c r="CG81" s="22" t="str">
        <f aca="false">IF(AND(CG1&lt;&gt;"",ISNUMBER(MDS),ISNUMBER(MDE)),IF(AND(CG1&gt;=MDS,CG1&lt;=MDE),24,""),"")</f>
        <v/>
      </c>
      <c r="CH81" s="22" t="str">
        <f aca="false">IF(AND(CH1&lt;&gt;"",ISNUMBER(MDS),ISNUMBER(MDE)),IF(AND(CH1&gt;=MDS,CH1&lt;=MDE),24,""),"")</f>
        <v/>
      </c>
      <c r="CI81" s="22" t="n">
        <f aca="false">IF(AND(CI1&lt;&gt;"",ISNUMBER(MDS),ISNUMBER(MDE)),IF(AND(CI1&gt;=MDS,CI1&lt;=MDE),24,""),"")</f>
        <v>24</v>
      </c>
      <c r="CJ81" s="22" t="n">
        <f aca="false">IF(AND(CJ1&lt;&gt;"",ISNUMBER(MDS),ISNUMBER(MDE)),IF(AND(CJ1&gt;=MDS,CJ1&lt;=MDE),24,""),"")</f>
        <v>24</v>
      </c>
      <c r="CK81" s="22" t="n">
        <f aca="false">IF(AND(CK1&lt;&gt;"",ISNUMBER(MDS),ISNUMBER(MDE)),IF(AND(CK1&gt;=MDS,CK1&lt;=MDE),24,""),"")</f>
        <v>24</v>
      </c>
      <c r="CL81" s="22" t="n">
        <f aca="false">IF(AND(CL1&lt;&gt;"",ISNUMBER(MDS),ISNUMBER(MDE)),IF(AND(CL1&gt;=MDS,CL1&lt;=MDE),24,""),"")</f>
        <v>24</v>
      </c>
      <c r="CM81" s="22" t="n">
        <f aca="false">IF(AND(CM1&lt;&gt;"",ISNUMBER(MDS),ISNUMBER(MDE)),IF(AND(CM1&gt;=MDS,CM1&lt;=MDE),24,""),"")</f>
        <v>24</v>
      </c>
      <c r="CN81" s="22" t="n">
        <f aca="false">IF(AND(CN1&lt;&gt;"",ISNUMBER(MDS),ISNUMBER(MDE)),IF(AND(CN1&gt;=MDS,CN1&lt;=MDE),24,""),"")</f>
        <v>24</v>
      </c>
      <c r="CO81" s="22" t="n">
        <f aca="false">IF(AND(CO1&lt;&gt;"",ISNUMBER(MDS),ISNUMBER(MDE)),IF(AND(CO1&gt;=MDS,CO1&lt;=MDE),24,""),"")</f>
        <v>24</v>
      </c>
      <c r="CP81" s="22" t="n">
        <f aca="false">IF(AND(CP1&lt;&gt;"",ISNUMBER(MDS),ISNUMBER(MDE)),IF(AND(CP1&gt;=MDS,CP1&lt;=MDE),24,""),"")</f>
        <v>24</v>
      </c>
      <c r="CQ81" s="22" t="n">
        <f aca="false">IF(AND(CQ1&lt;&gt;"",ISNUMBER(MDS),ISNUMBER(MDE)),IF(AND(CQ1&gt;=MDS,CQ1&lt;=MDE),24,""),"")</f>
        <v>24</v>
      </c>
      <c r="CR81" s="22" t="str">
        <f aca="false">IF(AND(CR1&lt;&gt;"",ISNUMBER(MDS),ISNUMBER(MDE)),IF(AND(CR1&gt;=MDS,CR1&lt;=MDE),24,""),"")</f>
        <v/>
      </c>
      <c r="CS81" s="22" t="str">
        <f aca="false">IF(AND(CS1&lt;&gt;"",ISNUMBER(MDS),ISNUMBER(MDE)),IF(AND(CS1&gt;=MDS,CS1&lt;=MDE),24,""),"")</f>
        <v/>
      </c>
      <c r="CT81" s="22" t="str">
        <f aca="false">IF(AND(CT1&lt;&gt;"",ISNUMBER(MDS),ISNUMBER(MDE)),IF(AND(CT1&gt;=MDS,CT1&lt;=MDE),24,""),"")</f>
        <v/>
      </c>
      <c r="CU81" s="22" t="str">
        <f aca="false">IF(AND(CU1&lt;&gt;"",ISNUMBER(MDS),ISNUMBER(MDE)),IF(AND(CU1&gt;=MDS,CU1&lt;=MDE),24,""),"")</f>
        <v/>
      </c>
      <c r="CV81" s="22" t="str">
        <f aca="false">IF(AND(CV1&lt;&gt;"",ISNUMBER(MDS),ISNUMBER(MDE)),IF(AND(CV1&gt;=MDS,CV1&lt;=MDE),24,""),"")</f>
        <v/>
      </c>
      <c r="CW81" s="22" t="str">
        <f aca="false">IF(AND(CW1&lt;&gt;"",ISNUMBER(MDS),ISNUMBER(MDE)),IF(AND(CW1&gt;=MDS,CW1&lt;=MDE),24,""),"")</f>
        <v/>
      </c>
      <c r="CX81" s="22" t="str">
        <f aca="false">IF(AND(CX1&lt;&gt;"",ISNUMBER(MDS),ISNUMBER(MDE)),IF(AND(CX1&gt;=MDS,CX1&lt;=MDE),24,""),"")</f>
        <v/>
      </c>
      <c r="CY81" s="22" t="str">
        <f aca="false">IF(AND(CY1&lt;&gt;"",ISNUMBER(MDS),ISNUMBER(MDE)),IF(AND(CY1&gt;=MDS,CY1&lt;=MDE),24,""),"")</f>
        <v/>
      </c>
      <c r="CZ81" s="22" t="str">
        <f aca="false">IF(AND(CZ1&lt;&gt;"",ISNUMBER(MDS),ISNUMBER(MDE)),IF(AND(CZ1&gt;=MDS,CZ1&lt;=MDE),24,""),"")</f>
        <v/>
      </c>
      <c r="DA81" s="22" t="str">
        <f aca="false">IF(AND(DA1&lt;&gt;"",ISNUMBER(MDS),ISNUMBER(MDE)),IF(AND(DA1&gt;=MDS,DA1&lt;=MDE),24,""),"")</f>
        <v/>
      </c>
      <c r="DB81" s="22" t="str">
        <f aca="false">IF(AND(DB1&lt;&gt;"",ISNUMBER(MDS),ISNUMBER(MDE)),IF(AND(DB1&gt;=MDS,DB1&lt;=MDE),24,""),"")</f>
        <v/>
      </c>
      <c r="DC81" s="22" t="str">
        <f aca="false">IF(AND(DC1&lt;&gt;"",ISNUMBER(MDS),ISNUMBER(MDE)),IF(AND(DC1&gt;=MDS,DC1&lt;=MDE),24,""),"")</f>
        <v/>
      </c>
      <c r="DD81" s="22" t="str">
        <f aca="false">IF(AND(DD1&lt;&gt;"",ISNUMBER(MDS),ISNUMBER(MDE)),IF(AND(DD1&gt;=MDS,DD1&lt;=MDE),24,""),"")</f>
        <v/>
      </c>
      <c r="DE81" s="22" t="str">
        <f aca="false">IF(AND(DE1&lt;&gt;"",ISNUMBER(MDS),ISNUMBER(MDE)),IF(AND(DE1&gt;=MDS,DE1&lt;=MDE),24,""),"")</f>
        <v/>
      </c>
      <c r="DF81" s="22" t="str">
        <f aca="false">IF(AND(DF1&lt;&gt;"",ISNUMBER(MDS),ISNUMBER(MDE)),IF(AND(DF1&gt;=MDS,DF1&lt;=MDE),24,""),"")</f>
        <v/>
      </c>
      <c r="DG81" s="22" t="str">
        <f aca="false">IF(AND(DG1&lt;&gt;"",ISNUMBER(MDS),ISNUMBER(MDE)),IF(AND(DG1&gt;=MDS,DG1&lt;=MDE),24,""),"")</f>
        <v/>
      </c>
      <c r="DH81" s="22" t="str">
        <f aca="false">IF(AND(DH1&lt;&gt;"",ISNUMBER(MDS),ISNUMBER(MDE)),IF(AND(DH1&gt;=MDS,DH1&lt;=MDE),24,""),"")</f>
        <v/>
      </c>
      <c r="DI81" s="22" t="str">
        <f aca="false">IF(AND(DI1&lt;&gt;"",ISNUMBER(MDS),ISNUMBER(MDE)),IF(AND(DI1&gt;=MDS,DI1&lt;=MDE),24,""),"")</f>
        <v/>
      </c>
      <c r="DJ81" s="22" t="str">
        <f aca="false">IF(AND(DJ1&lt;&gt;"",ISNUMBER(MDS),ISNUMBER(MDE)),IF(AND(DJ1&gt;=MDS,DJ1&lt;=MDE),24,""),"")</f>
        <v/>
      </c>
      <c r="DK81" s="22" t="str">
        <f aca="false">IF(AND(DK1&lt;&gt;"",ISNUMBER(MDS),ISNUMBER(MDE)),IF(AND(DK1&gt;=MDS,DK1&lt;=MDE),24,""),"")</f>
        <v/>
      </c>
      <c r="DL81" s="22" t="str">
        <f aca="false">IF(AND(DL1&lt;&gt;"",ISNUMBER(MDS),ISNUMBER(MDE)),IF(AND(DL1&gt;=MDS,DL1&lt;=MDE),24,""),"")</f>
        <v/>
      </c>
      <c r="DM81" s="22" t="str">
        <f aca="false">IF(AND(DM1&lt;&gt;"",ISNUMBER(MDS),ISNUMBER(MDE)),IF(AND(DM1&gt;=MDS,DM1&lt;=MDE),24,""),"")</f>
        <v/>
      </c>
      <c r="DN81" s="22" t="str">
        <f aca="false">IF(AND(DN1&lt;&gt;"",ISNUMBER(MDS),ISNUMBER(MDE)),IF(AND(DN1&gt;=MDS,DN1&lt;=MDE),24,""),"")</f>
        <v/>
      </c>
      <c r="DO81" s="22" t="str">
        <f aca="false">IF(AND(DO1&lt;&gt;"",ISNUMBER(MDS),ISNUMBER(MDE)),IF(AND(DO1&gt;=MDS,DO1&lt;=MDE),24,""),"")</f>
        <v/>
      </c>
      <c r="DP81" s="22" t="str">
        <f aca="false">IF(AND(DP1&lt;&gt;"",ISNUMBER(MDS),ISNUMBER(MDE)),IF(AND(DP1&gt;=MDS,DP1&lt;=MDE),24,""),"")</f>
        <v/>
      </c>
      <c r="DQ81" s="22" t="str">
        <f aca="false">IF(AND(DQ1&lt;&gt;"",ISNUMBER(MDS),ISNUMBER(MDE)),IF(AND(DQ1&gt;=MDS,DQ1&lt;=MDE),24,""),"")</f>
        <v/>
      </c>
      <c r="DR81" s="22" t="str">
        <f aca="false">IF(AND(DR1&lt;&gt;"",ISNUMBER(MDS),ISNUMBER(MDE)),IF(AND(DR1&gt;=MDS,DR1&lt;=MDE),24,""),"")</f>
        <v/>
      </c>
      <c r="DS81" s="22" t="str">
        <f aca="false">IF(AND(DS1&lt;&gt;"",ISNUMBER(MDS),ISNUMBER(MDE)),IF(AND(DS1&gt;=MDS,DS1&lt;=MDE),24,""),"")</f>
        <v/>
      </c>
      <c r="DT81" s="22" t="str">
        <f aca="false">IF(AND(DT1&lt;&gt;"",ISNUMBER(MDS),ISNUMBER(MDE)),IF(AND(DT1&gt;=MDS,DT1&lt;=MDE),24,""),"")</f>
        <v/>
      </c>
      <c r="DU81" s="22" t="str">
        <f aca="false">IF(AND(DU1&lt;&gt;"",ISNUMBER(MDS),ISNUMBER(MDE)),IF(AND(DU1&gt;=MDS,DU1&lt;=MDE),24,""),"")</f>
        <v/>
      </c>
      <c r="DV81" s="22" t="str">
        <f aca="false">IF(AND(DV1&lt;&gt;"",ISNUMBER(MDS),ISNUMBER(MDE)),IF(AND(DV1&gt;=MDS,DV1&lt;=MDE),24,""),"")</f>
        <v/>
      </c>
      <c r="DW81" s="22" t="str">
        <f aca="false">IF(AND(DW1&lt;&gt;"",ISNUMBER(MDS),ISNUMBER(MDE)),IF(AND(DW1&gt;=MDS,DW1&lt;=MDE),24,""),"")</f>
        <v/>
      </c>
      <c r="DX81" s="22" t="str">
        <f aca="false">IF(AND(DX1&lt;&gt;"",ISNUMBER(MDS),ISNUMBER(MDE)),IF(AND(DX1&gt;=MDS,DX1&lt;=MDE),24,""),"")</f>
        <v/>
      </c>
      <c r="DY81" s="22" t="str">
        <f aca="false">IF(AND(DY1&lt;&gt;"",ISNUMBER(MDS),ISNUMBER(MDE)),IF(AND(DY1&gt;=MDS,DY1&lt;=MDE),24,""),"")</f>
        <v/>
      </c>
      <c r="DZ81" s="22" t="str">
        <f aca="false">IF(AND(DZ1&lt;&gt;"",ISNUMBER(MDS),ISNUMBER(MDE)),IF(AND(DZ1&gt;=MDS,DZ1&lt;=MDE),24,""),"")</f>
        <v/>
      </c>
      <c r="EA81" s="22" t="str">
        <f aca="false">IF(AND(EA1&lt;&gt;"",ISNUMBER(MDS),ISNUMBER(MDE)),IF(AND(EA1&gt;=MDS,EA1&lt;=MDE),24,""),"")</f>
        <v/>
      </c>
      <c r="EB81" s="22" t="str">
        <f aca="false">IF(AND(EB1&lt;&gt;"",ISNUMBER(MDS),ISNUMBER(MDE)),IF(AND(EB1&gt;=MDS,EB1&lt;=MDE),24,""),"")</f>
        <v/>
      </c>
      <c r="EC81" s="22" t="str">
        <f aca="false">IF(AND(EC1&lt;&gt;"",ISNUMBER(MDS),ISNUMBER(MDE)),IF(AND(EC1&gt;=MDS,EC1&lt;=MDE),24,""),"")</f>
        <v/>
      </c>
      <c r="ED81" s="22" t="str">
        <f aca="false">IF(AND(ED1&lt;&gt;"",ISNUMBER(MDS),ISNUMBER(MDE)),IF(AND(ED1&gt;=MDS,ED1&lt;=MDE),24,""),"")</f>
        <v/>
      </c>
      <c r="EE81" s="22" t="str">
        <f aca="false">IF(AND(EE1&lt;&gt;"",ISNUMBER(MDS),ISNUMBER(MDE)),IF(AND(EE1&gt;=MDS,EE1&lt;=MDE),24,""),"")</f>
        <v/>
      </c>
      <c r="EF81" s="22" t="str">
        <f aca="false">IF(AND(EF1&lt;&gt;"",ISNUMBER(MDS),ISNUMBER(MDE)),IF(AND(EF1&gt;=MDS,EF1&lt;=MDE),24,""),"")</f>
        <v/>
      </c>
      <c r="EG81" s="22" t="str">
        <f aca="false">IF(AND(EG1&lt;&gt;"",ISNUMBER(MDS),ISNUMBER(MDE)),IF(AND(EG1&gt;=MDS,EG1&lt;=MDE),24,""),"")</f>
        <v/>
      </c>
      <c r="EH81" s="22" t="str">
        <f aca="false">IF(AND(EH1&lt;&gt;"",ISNUMBER(MDS),ISNUMBER(MDE)),IF(AND(EH1&gt;=MDS,EH1&lt;=MDE),24,""),"")</f>
        <v/>
      </c>
      <c r="EI81" s="22" t="str">
        <f aca="false">IF(AND(EI1&lt;&gt;"",ISNUMBER(MDS),ISNUMBER(MDE)),IF(AND(EI1&gt;=MDS,EI1&lt;=MDE),24,""),"")</f>
        <v/>
      </c>
      <c r="EJ81" s="22" t="str">
        <f aca="false">IF(AND(EJ1&lt;&gt;"",ISNUMBER(MDS),ISNUMBER(MDE)),IF(AND(EJ1&gt;=MDS,EJ1&lt;=MDE),24,""),"")</f>
        <v/>
      </c>
      <c r="EK81" s="22" t="str">
        <f aca="false">IF(AND(EK1&lt;&gt;"",ISNUMBER(MDS),ISNUMBER(MDE)),IF(AND(EK1&gt;=MDS,EK1&lt;=MDE),24,""),"")</f>
        <v/>
      </c>
      <c r="EL81" s="22" t="str">
        <f aca="false">IF(AND(EL1&lt;&gt;"",ISNUMBER(MDS),ISNUMBER(MDE)),IF(AND(EL1&gt;=MDS,EL1&lt;=MDE),24,""),"")</f>
        <v/>
      </c>
      <c r="EM81" s="22" t="str">
        <f aca="false">IF(AND(EM1&lt;&gt;"",ISNUMBER(MDS),ISNUMBER(MDE)),IF(AND(EM1&gt;=MDS,EM1&lt;=MDE),24,""),"")</f>
        <v/>
      </c>
      <c r="EN81" s="22" t="str">
        <f aca="false">IF(AND(EN1&lt;&gt;"",ISNUMBER(MDS),ISNUMBER(MDE)),IF(AND(EN1&gt;=MDS,EN1&lt;=MDE),24,""),"")</f>
        <v/>
      </c>
      <c r="EO81" s="22" t="str">
        <f aca="false">IF(AND(EO1&lt;&gt;"",ISNUMBER(MDS),ISNUMBER(MDE)),IF(AND(EO1&gt;=MDS,EO1&lt;=MDE),24,""),"")</f>
        <v/>
      </c>
      <c r="EP81" s="22" t="str">
        <f aca="false">IF(AND(EP1&lt;&gt;"",ISNUMBER(MDS),ISNUMBER(MDE)),IF(AND(EP1&gt;=MDS,EP1&lt;=MDE),24,""),"")</f>
        <v/>
      </c>
      <c r="EQ81" s="22" t="str">
        <f aca="false">IF(AND(EQ1&lt;&gt;"",ISNUMBER(MDS),ISNUMBER(MDE)),IF(AND(EQ1&gt;=MDS,EQ1&lt;=MDE),24,""),"")</f>
        <v/>
      </c>
      <c r="ER81" s="22" t="str">
        <f aca="false">IF(AND(ER1&lt;&gt;"",ISNUMBER(MDS),ISNUMBER(MDE)),IF(AND(ER1&gt;=MDS,ER1&lt;=MDE),24,""),"")</f>
        <v/>
      </c>
      <c r="ES81" s="22" t="str">
        <f aca="false">IF(AND(ES1&lt;&gt;"",ISNUMBER(MDS),ISNUMBER(MDE)),IF(AND(ES1&gt;=MDS,ES1&lt;=MDE),24,""),"")</f>
        <v/>
      </c>
      <c r="ET81" s="22" t="str">
        <f aca="false">IF(AND(ET1&lt;&gt;"",ISNUMBER(MDS),ISNUMBER(MDE)),IF(AND(ET1&gt;=MDS,ET1&lt;=MDE),24,""),"")</f>
        <v/>
      </c>
      <c r="EU81" s="22" t="str">
        <f aca="false">IF(AND(EU1&lt;&gt;"",ISNUMBER(MDS),ISNUMBER(MDE)),IF(AND(EU1&gt;=MDS,EU1&lt;=MDE),24,""),"")</f>
        <v/>
      </c>
      <c r="EV81" s="22" t="str">
        <f aca="false">IF(AND(EV1&lt;&gt;"",ISNUMBER(MDS),ISNUMBER(MDE)),IF(AND(EV1&gt;=MDS,EV1&lt;=MDE),24,""),"")</f>
        <v/>
      </c>
      <c r="EW81" s="22" t="str">
        <f aca="false">IF(AND(EW1&lt;&gt;"",ISNUMBER(MDS),ISNUMBER(MDE)),IF(AND(EW1&gt;=MDS,EW1&lt;=MDE),24,""),"")</f>
        <v/>
      </c>
      <c r="EX81" s="22" t="str">
        <f aca="false">IF(AND(EX1&lt;&gt;"",ISNUMBER(MDS),ISNUMBER(MDE)),IF(AND(EX1&gt;=MDS,EX1&lt;=MDE),24,""),"")</f>
        <v/>
      </c>
      <c r="EY81" s="22" t="str">
        <f aca="false">IF(AND(EY1&lt;&gt;"",ISNUMBER(MDS),ISNUMBER(MDE)),IF(AND(EY1&gt;=MDS,EY1&lt;=MDE),24,""),"")</f>
        <v/>
      </c>
      <c r="EZ81" s="22" t="str">
        <f aca="false">IF(AND(EZ1&lt;&gt;"",ISNUMBER(MDS),ISNUMBER(MDE)),IF(AND(EZ1&gt;=MDS,EZ1&lt;=MDE),24,""),"")</f>
        <v/>
      </c>
      <c r="FA81" s="22" t="str">
        <f aca="false">IF(AND(FA1&lt;&gt;"",ISNUMBER(MDS),ISNUMBER(MDE)),IF(AND(FA1&gt;=MDS,FA1&lt;=MDE),24,""),"")</f>
        <v/>
      </c>
      <c r="FB81" s="22" t="str">
        <f aca="false">IF(AND(FB1&lt;&gt;"",ISNUMBER(MDS),ISNUMBER(MDE)),IF(AND(FB1&gt;=MDS,FB1&lt;=MDE),24,""),"")</f>
        <v/>
      </c>
      <c r="FC81" s="22" t="str">
        <f aca="false">IF(AND(FC1&lt;&gt;"",ISNUMBER(MDS),ISNUMBER(MDE)),IF(AND(FC1&gt;=MDS,FC1&lt;=MDE),24,""),"")</f>
        <v/>
      </c>
      <c r="FD81" s="22" t="str">
        <f aca="false">IF(AND(FD1&lt;&gt;"",ISNUMBER(MDS),ISNUMBER(MDE)),IF(AND(FD1&gt;=MDS,FD1&lt;=MDE),24,""),"")</f>
        <v/>
      </c>
      <c r="FE81" s="22" t="str">
        <f aca="false">IF(AND(FE1&lt;&gt;"",ISNUMBER(MDS),ISNUMBER(MDE)),IF(AND(FE1&gt;=MDS,FE1&lt;=MDE),24,""),"")</f>
        <v/>
      </c>
      <c r="FF81" s="22" t="str">
        <f aca="false">IF(AND(FF1&lt;&gt;"",ISNUMBER(MDS),ISNUMBER(MDE)),IF(AND(FF1&gt;=MDS,FF1&lt;=MDE),24,""),"")</f>
        <v/>
      </c>
      <c r="FG81" s="22" t="str">
        <f aca="false">IF(AND(FG1&lt;&gt;"",ISNUMBER(MDS),ISNUMBER(MDE)),IF(AND(FG1&gt;=MDS,FG1&lt;=MDE),24,""),"")</f>
        <v/>
      </c>
      <c r="FH81" s="22" t="str">
        <f aca="false">IF(AND(FH1&lt;&gt;"",ISNUMBER(MDS),ISNUMBER(MDE)),IF(AND(FH1&gt;=MDS,FH1&lt;=MDE),24,""),"")</f>
        <v/>
      </c>
      <c r="FI81" s="22" t="str">
        <f aca="false">IF(AND(FI1&lt;&gt;"",ISNUMBER(MDS),ISNUMBER(MDE)),IF(AND(FI1&gt;=MDS,FI1&lt;=MDE),24,""),"")</f>
        <v/>
      </c>
      <c r="FJ81" s="22" t="str">
        <f aca="false">IF(AND(FJ1&lt;&gt;"",ISNUMBER(MDS),ISNUMBER(MDE)),IF(AND(FJ1&gt;=MDS,FJ1&lt;=MDE),24,""),"")</f>
        <v/>
      </c>
      <c r="FK81" s="22" t="str">
        <f aca="false">IF(AND(FK1&lt;&gt;"",ISNUMBER(MDS),ISNUMBER(MDE)),IF(AND(FK1&gt;=MDS,FK1&lt;=MDE),24,""),"")</f>
        <v/>
      </c>
      <c r="FL81" s="22" t="str">
        <f aca="false">IF(AND(FL1&lt;&gt;"",ISNUMBER(MDS),ISNUMBER(MDE)),IF(AND(FL1&gt;=MDS,FL1&lt;=MDE),24,""),"")</f>
        <v/>
      </c>
      <c r="FM81" s="22" t="str">
        <f aca="false">IF(AND(FM1&lt;&gt;"",ISNUMBER(MDS),ISNUMBER(MDE)),IF(AND(FM1&gt;=MDS,FM1&lt;=MDE),24,""),"")</f>
        <v/>
      </c>
      <c r="FN81" s="22" t="str">
        <f aca="false">IF(AND(FN1&lt;&gt;"",ISNUMBER(MDS),ISNUMBER(MDE)),IF(AND(FN1&gt;=MDS,FN1&lt;=MDE),24,""),"")</f>
        <v/>
      </c>
      <c r="FO81" s="22" t="str">
        <f aca="false">IF(AND(FO1&lt;&gt;"",ISNUMBER(MDS),ISNUMBER(MDE)),IF(AND(FO1&gt;=MDS,FO1&lt;=MDE),24,""),"")</f>
        <v/>
      </c>
      <c r="FP81" s="22" t="str">
        <f aca="false">IF(AND(FP1&lt;&gt;"",ISNUMBER(MDS),ISNUMBER(MDE)),IF(AND(FP1&gt;=MDS,FP1&lt;=MDE),24,""),"")</f>
        <v/>
      </c>
      <c r="FQ81" s="22" t="str">
        <f aca="false">IF(AND(FQ1&lt;&gt;"",ISNUMBER(MDS),ISNUMBER(MDE)),IF(AND(FQ1&gt;=MDS,FQ1&lt;=MDE),24,""),"")</f>
        <v/>
      </c>
    </row>
    <row r="82" customFormat="false" ht="15" hidden="true" customHeight="false" outlineLevel="0" collapsed="false">
      <c r="B82" s="45" t="s">
        <v>444</v>
      </c>
      <c r="D82" s="22" t="str">
        <f aca="false">IF(AND(D1&lt;&gt;"",ISNUMBER(PitanS),ISNUMBER(PitanE)),IF(AND(D1&gt;=PitanS,D1&lt;=PitanE),26,""),"")</f>
        <v/>
      </c>
      <c r="E82" s="22" t="str">
        <f aca="false">IF(AND(E1&lt;&gt;"",ISNUMBER(PitanS),ISNUMBER(PitanE)),IF(AND(E1&gt;=PitanS,E1&lt;=PitanE),26,""),"")</f>
        <v/>
      </c>
      <c r="F82" s="22" t="str">
        <f aca="false">IF(AND(F1&lt;&gt;"",ISNUMBER(PitanS),ISNUMBER(PitanE)),IF(AND(F1&gt;=PitanS,F1&lt;=PitanE),26,""),"")</f>
        <v/>
      </c>
      <c r="G82" s="22" t="str">
        <f aca="false">IF(AND(G1&lt;&gt;"",ISNUMBER(PitanS),ISNUMBER(PitanE)),IF(AND(G1&gt;=PitanS,G1&lt;=PitanE),26,""),"")</f>
        <v/>
      </c>
      <c r="H82" s="22" t="str">
        <f aca="false">IF(AND(H1&lt;&gt;"",ISNUMBER(PitanS),ISNUMBER(PitanE)),IF(AND(H1&gt;=PitanS,H1&lt;=PitanE),26,""),"")</f>
        <v/>
      </c>
      <c r="I82" s="22" t="str">
        <f aca="false">IF(AND(I1&lt;&gt;"",ISNUMBER(PitanS),ISNUMBER(PitanE)),IF(AND(I1&gt;=PitanS,I1&lt;=PitanE),26,""),"")</f>
        <v/>
      </c>
      <c r="J82" s="22" t="str">
        <f aca="false">IF(AND(J1&lt;&gt;"",ISNUMBER(PitanS),ISNUMBER(PitanE)),IF(AND(J1&gt;=PitanS,J1&lt;=PitanE),26,""),"")</f>
        <v/>
      </c>
      <c r="K82" s="22" t="str">
        <f aca="false">IF(AND(K1&lt;&gt;"",ISNUMBER(PitanS),ISNUMBER(PitanE)),IF(AND(K1&gt;=PitanS,K1&lt;=PitanE),26,""),"")</f>
        <v/>
      </c>
      <c r="L82" s="22" t="str">
        <f aca="false">IF(AND(L1&lt;&gt;"",ISNUMBER(PitanS),ISNUMBER(PitanE)),IF(AND(L1&gt;=PitanS,L1&lt;=PitanE),26,""),"")</f>
        <v/>
      </c>
      <c r="M82" s="22" t="str">
        <f aca="false">IF(AND(M1&lt;&gt;"",ISNUMBER(PitanS),ISNUMBER(PitanE)),IF(AND(M1&gt;=PitanS,M1&lt;=PitanE),26,""),"")</f>
        <v/>
      </c>
      <c r="N82" s="22" t="str">
        <f aca="false">IF(AND(N1&lt;&gt;"",ISNUMBER(PitanS),ISNUMBER(PitanE)),IF(AND(N1&gt;=PitanS,N1&lt;=PitanE),26,""),"")</f>
        <v/>
      </c>
      <c r="O82" s="22" t="str">
        <f aca="false">IF(AND(O1&lt;&gt;"",ISNUMBER(PitanS),ISNUMBER(PitanE)),IF(AND(O1&gt;=PitanS,O1&lt;=PitanE),26,""),"")</f>
        <v/>
      </c>
      <c r="P82" s="22" t="str">
        <f aca="false">IF(AND(P1&lt;&gt;"",ISNUMBER(PitanS),ISNUMBER(PitanE)),IF(AND(P1&gt;=PitanS,P1&lt;=PitanE),26,""),"")</f>
        <v/>
      </c>
      <c r="Q82" s="22" t="str">
        <f aca="false">IF(AND(Q1&lt;&gt;"",ISNUMBER(PitanS),ISNUMBER(PitanE)),IF(AND(Q1&gt;=PitanS,Q1&lt;=PitanE),26,""),"")</f>
        <v/>
      </c>
      <c r="R82" s="22" t="str">
        <f aca="false">IF(AND(R1&lt;&gt;"",ISNUMBER(PitanS),ISNUMBER(PitanE)),IF(AND(R1&gt;=PitanS,R1&lt;=PitanE),26,""),"")</f>
        <v/>
      </c>
      <c r="S82" s="22" t="str">
        <f aca="false">IF(AND(S1&lt;&gt;"",ISNUMBER(PitanS),ISNUMBER(PitanE)),IF(AND(S1&gt;=PitanS,S1&lt;=PitanE),26,""),"")</f>
        <v/>
      </c>
      <c r="T82" s="22" t="str">
        <f aca="false">IF(AND(T1&lt;&gt;"",ISNUMBER(PitanS),ISNUMBER(PitanE)),IF(AND(T1&gt;=PitanS,T1&lt;=PitanE),26,""),"")</f>
        <v/>
      </c>
      <c r="U82" s="22" t="str">
        <f aca="false">IF(AND(U1&lt;&gt;"",ISNUMBER(PitanS),ISNUMBER(PitanE)),IF(AND(U1&gt;=PitanS,U1&lt;=PitanE),26,""),"")</f>
        <v/>
      </c>
      <c r="V82" s="22" t="str">
        <f aca="false">IF(AND(V1&lt;&gt;"",ISNUMBER(PitanS),ISNUMBER(PitanE)),IF(AND(V1&gt;=PitanS,V1&lt;=PitanE),26,""),"")</f>
        <v/>
      </c>
      <c r="W82" s="22" t="str">
        <f aca="false">IF(AND(W1&lt;&gt;"",ISNUMBER(PitanS),ISNUMBER(PitanE)),IF(AND(W1&gt;=PitanS,W1&lt;=PitanE),26,""),"")</f>
        <v/>
      </c>
      <c r="X82" s="22" t="str">
        <f aca="false">IF(AND(X1&lt;&gt;"",ISNUMBER(PitanS),ISNUMBER(PitanE)),IF(AND(X1&gt;=PitanS,X1&lt;=PitanE),26,""),"")</f>
        <v/>
      </c>
      <c r="Y82" s="22" t="str">
        <f aca="false">IF(AND(Y1&lt;&gt;"",ISNUMBER(PitanS),ISNUMBER(PitanE)),IF(AND(Y1&gt;=PitanS,Y1&lt;=PitanE),26,""),"")</f>
        <v/>
      </c>
      <c r="Z82" s="22" t="str">
        <f aca="false">IF(AND(Z1&lt;&gt;"",ISNUMBER(PitanS),ISNUMBER(PitanE)),IF(AND(Z1&gt;=PitanS,Z1&lt;=PitanE),26,""),"")</f>
        <v/>
      </c>
      <c r="AA82" s="22" t="str">
        <f aca="false">IF(AND(AA1&lt;&gt;"",ISNUMBER(PitanS),ISNUMBER(PitanE)),IF(AND(AA1&gt;=PitanS,AA1&lt;=PitanE),26,""),"")</f>
        <v/>
      </c>
      <c r="AB82" s="22" t="str">
        <f aca="false">IF(AND(AB1&lt;&gt;"",ISNUMBER(PitanS),ISNUMBER(PitanE)),IF(AND(AB1&gt;=PitanS,AB1&lt;=PitanE),26,""),"")</f>
        <v/>
      </c>
      <c r="AC82" s="22" t="str">
        <f aca="false">IF(AND(AC1&lt;&gt;"",ISNUMBER(PitanS),ISNUMBER(PitanE)),IF(AND(AC1&gt;=PitanS,AC1&lt;=PitanE),26,""),"")</f>
        <v/>
      </c>
      <c r="AD82" s="22" t="str">
        <f aca="false">IF(AND(AD1&lt;&gt;"",ISNUMBER(PitanS),ISNUMBER(PitanE)),IF(AND(AD1&gt;=PitanS,AD1&lt;=PitanE),26,""),"")</f>
        <v/>
      </c>
      <c r="AE82" s="22" t="str">
        <f aca="false">IF(AND(AE1&lt;&gt;"",ISNUMBER(PitanS),ISNUMBER(PitanE)),IF(AND(AE1&gt;=PitanS,AE1&lt;=PitanE),26,""),"")</f>
        <v/>
      </c>
      <c r="AF82" s="22" t="str">
        <f aca="false">IF(AND(AF1&lt;&gt;"",ISNUMBER(PitanS),ISNUMBER(PitanE)),IF(AND(AF1&gt;=PitanS,AF1&lt;=PitanE),26,""),"")</f>
        <v/>
      </c>
      <c r="AG82" s="22" t="str">
        <f aca="false">IF(AND(AG1&lt;&gt;"",ISNUMBER(PitanS),ISNUMBER(PitanE)),IF(AND(AG1&gt;=PitanS,AG1&lt;=PitanE),26,""),"")</f>
        <v/>
      </c>
      <c r="AH82" s="22" t="str">
        <f aca="false">IF(AND(AH1&lt;&gt;"",ISNUMBER(PitanS),ISNUMBER(PitanE)),IF(AND(AH1&gt;=PitanS,AH1&lt;=PitanE),26,""),"")</f>
        <v/>
      </c>
      <c r="AI82" s="22" t="str">
        <f aca="false">IF(AND(AI1&lt;&gt;"",ISNUMBER(PitanS),ISNUMBER(PitanE)),IF(AND(AI1&gt;=PitanS,AI1&lt;=PitanE),26,""),"")</f>
        <v/>
      </c>
      <c r="AJ82" s="22" t="str">
        <f aca="false">IF(AND(AJ1&lt;&gt;"",ISNUMBER(PitanS),ISNUMBER(PitanE)),IF(AND(AJ1&gt;=PitanS,AJ1&lt;=PitanE),26,""),"")</f>
        <v/>
      </c>
      <c r="AK82" s="22" t="str">
        <f aca="false">IF(AND(AK1&lt;&gt;"",ISNUMBER(PitanS),ISNUMBER(PitanE)),IF(AND(AK1&gt;=PitanS,AK1&lt;=PitanE),26,""),"")</f>
        <v/>
      </c>
      <c r="AL82" s="22" t="str">
        <f aca="false">IF(AND(AL1&lt;&gt;"",ISNUMBER(PitanS),ISNUMBER(PitanE)),IF(AND(AL1&gt;=PitanS,AL1&lt;=PitanE),26,""),"")</f>
        <v/>
      </c>
      <c r="AM82" s="22" t="str">
        <f aca="false">IF(AND(AM1&lt;&gt;"",ISNUMBER(PitanS),ISNUMBER(PitanE)),IF(AND(AM1&gt;=PitanS,AM1&lt;=PitanE),26,""),"")</f>
        <v/>
      </c>
      <c r="AN82" s="22" t="str">
        <f aca="false">IF(AND(AN1&lt;&gt;"",ISNUMBER(PitanS),ISNUMBER(PitanE)),IF(AND(AN1&gt;=PitanS,AN1&lt;=PitanE),26,""),"")</f>
        <v/>
      </c>
      <c r="AO82" s="22" t="str">
        <f aca="false">IF(AND(AO1&lt;&gt;"",ISNUMBER(PitanS),ISNUMBER(PitanE)),IF(AND(AO1&gt;=PitanS,AO1&lt;=PitanE),26,""),"")</f>
        <v/>
      </c>
      <c r="AP82" s="22" t="str">
        <f aca="false">IF(AND(AP1&lt;&gt;"",ISNUMBER(PitanS),ISNUMBER(PitanE)),IF(AND(AP1&gt;=PitanS,AP1&lt;=PitanE),26,""),"")</f>
        <v/>
      </c>
      <c r="AQ82" s="22" t="str">
        <f aca="false">IF(AND(AQ1&lt;&gt;"",ISNUMBER(PitanS),ISNUMBER(PitanE)),IF(AND(AQ1&gt;=PitanS,AQ1&lt;=PitanE),26,""),"")</f>
        <v/>
      </c>
      <c r="AR82" s="22" t="str">
        <f aca="false">IF(AND(AR1&lt;&gt;"",ISNUMBER(PitanS),ISNUMBER(PitanE)),IF(AND(AR1&gt;=PitanS,AR1&lt;=PitanE),26,""),"")</f>
        <v/>
      </c>
      <c r="AS82" s="22" t="str">
        <f aca="false">IF(AND(AS1&lt;&gt;"",ISNUMBER(PitanS),ISNUMBER(PitanE)),IF(AND(AS1&gt;=PitanS,AS1&lt;=PitanE),26,""),"")</f>
        <v/>
      </c>
      <c r="AT82" s="22" t="str">
        <f aca="false">IF(AND(AT1&lt;&gt;"",ISNUMBER(PitanS),ISNUMBER(PitanE)),IF(AND(AT1&gt;=PitanS,AT1&lt;=PitanE),26,""),"")</f>
        <v/>
      </c>
      <c r="AU82" s="22" t="str">
        <f aca="false">IF(AND(AU1&lt;&gt;"",ISNUMBER(PitanS),ISNUMBER(PitanE)),IF(AND(AU1&gt;=PitanS,AU1&lt;=PitanE),26,""),"")</f>
        <v/>
      </c>
      <c r="AV82" s="22" t="str">
        <f aca="false">IF(AND(AV1&lt;&gt;"",ISNUMBER(PitanS),ISNUMBER(PitanE)),IF(AND(AV1&gt;=PitanS,AV1&lt;=PitanE),26,""),"")</f>
        <v/>
      </c>
      <c r="AW82" s="22" t="str">
        <f aca="false">IF(AND(AW1&lt;&gt;"",ISNUMBER(PitanS),ISNUMBER(PitanE)),IF(AND(AW1&gt;=PitanS,AW1&lt;=PitanE),26,""),"")</f>
        <v/>
      </c>
      <c r="AX82" s="22" t="str">
        <f aca="false">IF(AND(AX1&lt;&gt;"",ISNUMBER(PitanS),ISNUMBER(PitanE)),IF(AND(AX1&gt;=PitanS,AX1&lt;=PitanE),26,""),"")</f>
        <v/>
      </c>
      <c r="AY82" s="22" t="str">
        <f aca="false">IF(AND(AY1&lt;&gt;"",ISNUMBER(PitanS),ISNUMBER(PitanE)),IF(AND(AY1&gt;=PitanS,AY1&lt;=PitanE),26,""),"")</f>
        <v/>
      </c>
      <c r="AZ82" s="22" t="str">
        <f aca="false">IF(AND(AZ1&lt;&gt;"",ISNUMBER(PitanS),ISNUMBER(PitanE)),IF(AND(AZ1&gt;=PitanS,AZ1&lt;=PitanE),26,""),"")</f>
        <v/>
      </c>
      <c r="BA82" s="22" t="str">
        <f aca="false">IF(AND(BA1&lt;&gt;"",ISNUMBER(PitanS),ISNUMBER(PitanE)),IF(AND(BA1&gt;=PitanS,BA1&lt;=PitanE),26,""),"")</f>
        <v/>
      </c>
      <c r="BB82" s="22" t="str">
        <f aca="false">IF(AND(BB1&lt;&gt;"",ISNUMBER(PitanS),ISNUMBER(PitanE)),IF(AND(BB1&gt;=PitanS,BB1&lt;=PitanE),26,""),"")</f>
        <v/>
      </c>
      <c r="BC82" s="22" t="str">
        <f aca="false">IF(AND(BC1&lt;&gt;"",ISNUMBER(PitanS),ISNUMBER(PitanE)),IF(AND(BC1&gt;=PitanS,BC1&lt;=PitanE),26,""),"")</f>
        <v/>
      </c>
      <c r="BD82" s="22" t="str">
        <f aca="false">IF(AND(BD1&lt;&gt;"",ISNUMBER(PitanS),ISNUMBER(PitanE)),IF(AND(BD1&gt;=PitanS,BD1&lt;=PitanE),26,""),"")</f>
        <v/>
      </c>
      <c r="BE82" s="22" t="str">
        <f aca="false">IF(AND(BE1&lt;&gt;"",ISNUMBER(PitanS),ISNUMBER(PitanE)),IF(AND(BE1&gt;=PitanS,BE1&lt;=PitanE),26,""),"")</f>
        <v/>
      </c>
      <c r="BF82" s="22" t="str">
        <f aca="false">IF(AND(BF1&lt;&gt;"",ISNUMBER(PitanS),ISNUMBER(PitanE)),IF(AND(BF1&gt;=PitanS,BF1&lt;=PitanE),26,""),"")</f>
        <v/>
      </c>
      <c r="BG82" s="22" t="str">
        <f aca="false">IF(AND(BG1&lt;&gt;"",ISNUMBER(PitanS),ISNUMBER(PitanE)),IF(AND(BG1&gt;=PitanS,BG1&lt;=PitanE),26,""),"")</f>
        <v/>
      </c>
      <c r="BH82" s="22" t="str">
        <f aca="false">IF(AND(BH1&lt;&gt;"",ISNUMBER(PitanS),ISNUMBER(PitanE)),IF(AND(BH1&gt;=PitanS,BH1&lt;=PitanE),26,""),"")</f>
        <v/>
      </c>
      <c r="BI82" s="22" t="str">
        <f aca="false">IF(AND(BI1&lt;&gt;"",ISNUMBER(PitanS),ISNUMBER(PitanE)),IF(AND(BI1&gt;=PitanS,BI1&lt;=PitanE),26,""),"")</f>
        <v/>
      </c>
      <c r="BJ82" s="22" t="str">
        <f aca="false">IF(AND(BJ1&lt;&gt;"",ISNUMBER(PitanS),ISNUMBER(PitanE)),IF(AND(BJ1&gt;=PitanS,BJ1&lt;=PitanE),26,""),"")</f>
        <v/>
      </c>
      <c r="BK82" s="22" t="str">
        <f aca="false">IF(AND(BK1&lt;&gt;"",ISNUMBER(PitanS),ISNUMBER(PitanE)),IF(AND(BK1&gt;=PitanS,BK1&lt;=PitanE),26,""),"")</f>
        <v/>
      </c>
      <c r="BL82" s="22" t="str">
        <f aca="false">IF(AND(BL1&lt;&gt;"",ISNUMBER(PitanS),ISNUMBER(PitanE)),IF(AND(BL1&gt;=PitanS,BL1&lt;=PitanE),26,""),"")</f>
        <v/>
      </c>
      <c r="BM82" s="22" t="str">
        <f aca="false">IF(AND(BM1&lt;&gt;"",ISNUMBER(PitanS),ISNUMBER(PitanE)),IF(AND(BM1&gt;=PitanS,BM1&lt;=PitanE),26,""),"")</f>
        <v/>
      </c>
      <c r="BN82" s="22" t="str">
        <f aca="false">IF(AND(BN1&lt;&gt;"",ISNUMBER(PitanS),ISNUMBER(PitanE)),IF(AND(BN1&gt;=PitanS,BN1&lt;=PitanE),26,""),"")</f>
        <v/>
      </c>
      <c r="BO82" s="22" t="str">
        <f aca="false">IF(AND(BO1&lt;&gt;"",ISNUMBER(PitanS),ISNUMBER(PitanE)),IF(AND(BO1&gt;=PitanS,BO1&lt;=PitanE),26,""),"")</f>
        <v/>
      </c>
      <c r="BP82" s="22" t="str">
        <f aca="false">IF(AND(BP1&lt;&gt;"",ISNUMBER(PitanS),ISNUMBER(PitanE)),IF(AND(BP1&gt;=PitanS,BP1&lt;=PitanE),26,""),"")</f>
        <v/>
      </c>
      <c r="BQ82" s="22" t="str">
        <f aca="false">IF(AND(BQ1&lt;&gt;"",ISNUMBER(PitanS),ISNUMBER(PitanE)),IF(AND(BQ1&gt;=PitanS,BQ1&lt;=PitanE),26,""),"")</f>
        <v/>
      </c>
      <c r="BR82" s="22" t="str">
        <f aca="false">IF(AND(BR1&lt;&gt;"",ISNUMBER(PitanS),ISNUMBER(PitanE)),IF(AND(BR1&gt;=PitanS,BR1&lt;=PitanE),26,""),"")</f>
        <v/>
      </c>
      <c r="BS82" s="22" t="str">
        <f aca="false">IF(AND(BS1&lt;&gt;"",ISNUMBER(PitanS),ISNUMBER(PitanE)),IF(AND(BS1&gt;=PitanS,BS1&lt;=PitanE),26,""),"")</f>
        <v/>
      </c>
      <c r="BT82" s="22" t="str">
        <f aca="false">IF(AND(BT1&lt;&gt;"",ISNUMBER(PitanS),ISNUMBER(PitanE)),IF(AND(BT1&gt;=PitanS,BT1&lt;=PitanE),26,""),"")</f>
        <v/>
      </c>
      <c r="BU82" s="22" t="str">
        <f aca="false">IF(AND(BU1&lt;&gt;"",ISNUMBER(PitanS),ISNUMBER(PitanE)),IF(AND(BU1&gt;=PitanS,BU1&lt;=PitanE),26,""),"")</f>
        <v/>
      </c>
      <c r="BV82" s="22" t="str">
        <f aca="false">IF(AND(BV1&lt;&gt;"",ISNUMBER(PitanS),ISNUMBER(PitanE)),IF(AND(BV1&gt;=PitanS,BV1&lt;=PitanE),26,""),"")</f>
        <v/>
      </c>
      <c r="BW82" s="22" t="str">
        <f aca="false">IF(AND(BW1&lt;&gt;"",ISNUMBER(PitanS),ISNUMBER(PitanE)),IF(AND(BW1&gt;=PitanS,BW1&lt;=PitanE),26,""),"")</f>
        <v/>
      </c>
      <c r="BX82" s="22" t="str">
        <f aca="false">IF(AND(BX1&lt;&gt;"",ISNUMBER(PitanS),ISNUMBER(PitanE)),IF(AND(BX1&gt;=PitanS,BX1&lt;=PitanE),26,""),"")</f>
        <v/>
      </c>
      <c r="BY82" s="22" t="str">
        <f aca="false">IF(AND(BY1&lt;&gt;"",ISNUMBER(PitanS),ISNUMBER(PitanE)),IF(AND(BY1&gt;=PitanS,BY1&lt;=PitanE),26,""),"")</f>
        <v/>
      </c>
      <c r="BZ82" s="22" t="str">
        <f aca="false">IF(AND(BZ1&lt;&gt;"",ISNUMBER(PitanS),ISNUMBER(PitanE)),IF(AND(BZ1&gt;=PitanS,BZ1&lt;=PitanE),26,""),"")</f>
        <v/>
      </c>
      <c r="CA82" s="22" t="str">
        <f aca="false">IF(AND(CA1&lt;&gt;"",ISNUMBER(PitanS),ISNUMBER(PitanE)),IF(AND(CA1&gt;=PitanS,CA1&lt;=PitanE),26,""),"")</f>
        <v/>
      </c>
      <c r="CB82" s="22" t="str">
        <f aca="false">IF(AND(CB1&lt;&gt;"",ISNUMBER(PitanS),ISNUMBER(PitanE)),IF(AND(CB1&gt;=PitanS,CB1&lt;=PitanE),26,""),"")</f>
        <v/>
      </c>
      <c r="CC82" s="22" t="str">
        <f aca="false">IF(AND(CC1&lt;&gt;"",ISNUMBER(PitanS),ISNUMBER(PitanE)),IF(AND(CC1&gt;=PitanS,CC1&lt;=PitanE),26,""),"")</f>
        <v/>
      </c>
      <c r="CD82" s="22" t="str">
        <f aca="false">IF(AND(CD1&lt;&gt;"",ISNUMBER(PitanS),ISNUMBER(PitanE)),IF(AND(CD1&gt;=PitanS,CD1&lt;=PitanE),26,""),"")</f>
        <v/>
      </c>
      <c r="CE82" s="22" t="str">
        <f aca="false">IF(AND(CE1&lt;&gt;"",ISNUMBER(PitanS),ISNUMBER(PitanE)),IF(AND(CE1&gt;=PitanS,CE1&lt;=PitanE),26,""),"")</f>
        <v/>
      </c>
      <c r="CF82" s="22" t="str">
        <f aca="false">IF(AND(CF1&lt;&gt;"",ISNUMBER(PitanS),ISNUMBER(PitanE)),IF(AND(CF1&gt;=PitanS,CF1&lt;=PitanE),26,""),"")</f>
        <v/>
      </c>
      <c r="CG82" s="22" t="str">
        <f aca="false">IF(AND(CG1&lt;&gt;"",ISNUMBER(PitanS),ISNUMBER(PitanE)),IF(AND(CG1&gt;=PitanS,CG1&lt;=PitanE),26,""),"")</f>
        <v/>
      </c>
      <c r="CH82" s="22" t="n">
        <f aca="false">IF(AND(CH1&lt;&gt;"",ISNUMBER(PitanS),ISNUMBER(PitanE)),IF(AND(CH1&gt;=PitanS,CH1&lt;=PitanE),26,""),"")</f>
        <v>26</v>
      </c>
      <c r="CI82" s="22" t="n">
        <f aca="false">IF(AND(CI1&lt;&gt;"",ISNUMBER(PitanS),ISNUMBER(PitanE)),IF(AND(CI1&gt;=PitanS,CI1&lt;=PitanE),26,""),"")</f>
        <v>26</v>
      </c>
      <c r="CJ82" s="22" t="n">
        <f aca="false">IF(AND(CJ1&lt;&gt;"",ISNUMBER(PitanS),ISNUMBER(PitanE)),IF(AND(CJ1&gt;=PitanS,CJ1&lt;=PitanE),26,""),"")</f>
        <v>26</v>
      </c>
      <c r="CK82" s="22" t="n">
        <f aca="false">IF(AND(CK1&lt;&gt;"",ISNUMBER(PitanS),ISNUMBER(PitanE)),IF(AND(CK1&gt;=PitanS,CK1&lt;=PitanE),26,""),"")</f>
        <v>26</v>
      </c>
      <c r="CL82" s="22" t="str">
        <f aca="false">IF(AND(CL1&lt;&gt;"",ISNUMBER(PitanS),ISNUMBER(PitanE)),IF(AND(CL1&gt;=PitanS,CL1&lt;=PitanE),26,""),"")</f>
        <v/>
      </c>
      <c r="CM82" s="22" t="str">
        <f aca="false">IF(AND(CM1&lt;&gt;"",ISNUMBER(PitanS),ISNUMBER(PitanE)),IF(AND(CM1&gt;=PitanS,CM1&lt;=PitanE),26,""),"")</f>
        <v/>
      </c>
      <c r="CN82" s="22" t="str">
        <f aca="false">IF(AND(CN1&lt;&gt;"",ISNUMBER(PitanS),ISNUMBER(PitanE)),IF(AND(CN1&gt;=PitanS,CN1&lt;=PitanE),26,""),"")</f>
        <v/>
      </c>
      <c r="CO82" s="22" t="str">
        <f aca="false">IF(AND(CO1&lt;&gt;"",ISNUMBER(PitanS),ISNUMBER(PitanE)),IF(AND(CO1&gt;=PitanS,CO1&lt;=PitanE),26,""),"")</f>
        <v/>
      </c>
      <c r="CP82" s="22" t="str">
        <f aca="false">IF(AND(CP1&lt;&gt;"",ISNUMBER(PitanS),ISNUMBER(PitanE)),IF(AND(CP1&gt;=PitanS,CP1&lt;=PitanE),26,""),"")</f>
        <v/>
      </c>
      <c r="CQ82" s="22" t="str">
        <f aca="false">IF(AND(CQ1&lt;&gt;"",ISNUMBER(PitanS),ISNUMBER(PitanE)),IF(AND(CQ1&gt;=PitanS,CQ1&lt;=PitanE),26,""),"")</f>
        <v/>
      </c>
      <c r="CR82" s="22" t="str">
        <f aca="false">IF(AND(CR1&lt;&gt;"",ISNUMBER(PitanS),ISNUMBER(PitanE)),IF(AND(CR1&gt;=PitanS,CR1&lt;=PitanE),26,""),"")</f>
        <v/>
      </c>
      <c r="CS82" s="22" t="str">
        <f aca="false">IF(AND(CS1&lt;&gt;"",ISNUMBER(PitanS),ISNUMBER(PitanE)),IF(AND(CS1&gt;=PitanS,CS1&lt;=PitanE),26,""),"")</f>
        <v/>
      </c>
      <c r="CT82" s="22" t="str">
        <f aca="false">IF(AND(CT1&lt;&gt;"",ISNUMBER(PitanS),ISNUMBER(PitanE)),IF(AND(CT1&gt;=PitanS,CT1&lt;=PitanE),26,""),"")</f>
        <v/>
      </c>
      <c r="CU82" s="22" t="str">
        <f aca="false">IF(AND(CU1&lt;&gt;"",ISNUMBER(PitanS),ISNUMBER(PitanE)),IF(AND(CU1&gt;=PitanS,CU1&lt;=PitanE),26,""),"")</f>
        <v/>
      </c>
      <c r="CV82" s="22" t="str">
        <f aca="false">IF(AND(CV1&lt;&gt;"",ISNUMBER(PitanS),ISNUMBER(PitanE)),IF(AND(CV1&gt;=PitanS,CV1&lt;=PitanE),26,""),"")</f>
        <v/>
      </c>
      <c r="CW82" s="22" t="str">
        <f aca="false">IF(AND(CW1&lt;&gt;"",ISNUMBER(PitanS),ISNUMBER(PitanE)),IF(AND(CW1&gt;=PitanS,CW1&lt;=PitanE),26,""),"")</f>
        <v/>
      </c>
      <c r="CX82" s="22" t="str">
        <f aca="false">IF(AND(CX1&lt;&gt;"",ISNUMBER(PitanS),ISNUMBER(PitanE)),IF(AND(CX1&gt;=PitanS,CX1&lt;=PitanE),26,""),"")</f>
        <v/>
      </c>
      <c r="CY82" s="22" t="str">
        <f aca="false">IF(AND(CY1&lt;&gt;"",ISNUMBER(PitanS),ISNUMBER(PitanE)),IF(AND(CY1&gt;=PitanS,CY1&lt;=PitanE),26,""),"")</f>
        <v/>
      </c>
      <c r="CZ82" s="22" t="str">
        <f aca="false">IF(AND(CZ1&lt;&gt;"",ISNUMBER(PitanS),ISNUMBER(PitanE)),IF(AND(CZ1&gt;=PitanS,CZ1&lt;=PitanE),26,""),"")</f>
        <v/>
      </c>
      <c r="DA82" s="22" t="str">
        <f aca="false">IF(AND(DA1&lt;&gt;"",ISNUMBER(PitanS),ISNUMBER(PitanE)),IF(AND(DA1&gt;=PitanS,DA1&lt;=PitanE),26,""),"")</f>
        <v/>
      </c>
      <c r="DB82" s="22" t="str">
        <f aca="false">IF(AND(DB1&lt;&gt;"",ISNUMBER(PitanS),ISNUMBER(PitanE)),IF(AND(DB1&gt;=PitanS,DB1&lt;=PitanE),26,""),"")</f>
        <v/>
      </c>
      <c r="DC82" s="22" t="str">
        <f aca="false">IF(AND(DC1&lt;&gt;"",ISNUMBER(PitanS),ISNUMBER(PitanE)),IF(AND(DC1&gt;=PitanS,DC1&lt;=PitanE),26,""),"")</f>
        <v/>
      </c>
      <c r="DD82" s="22" t="str">
        <f aca="false">IF(AND(DD1&lt;&gt;"",ISNUMBER(PitanS),ISNUMBER(PitanE)),IF(AND(DD1&gt;=PitanS,DD1&lt;=PitanE),26,""),"")</f>
        <v/>
      </c>
      <c r="DE82" s="22" t="str">
        <f aca="false">IF(AND(DE1&lt;&gt;"",ISNUMBER(PitanS),ISNUMBER(PitanE)),IF(AND(DE1&gt;=PitanS,DE1&lt;=PitanE),26,""),"")</f>
        <v/>
      </c>
      <c r="DF82" s="22" t="str">
        <f aca="false">IF(AND(DF1&lt;&gt;"",ISNUMBER(PitanS),ISNUMBER(PitanE)),IF(AND(DF1&gt;=PitanS,DF1&lt;=PitanE),26,""),"")</f>
        <v/>
      </c>
      <c r="DG82" s="22" t="str">
        <f aca="false">IF(AND(DG1&lt;&gt;"",ISNUMBER(PitanS),ISNUMBER(PitanE)),IF(AND(DG1&gt;=PitanS,DG1&lt;=PitanE),26,""),"")</f>
        <v/>
      </c>
      <c r="DH82" s="22" t="str">
        <f aca="false">IF(AND(DH1&lt;&gt;"",ISNUMBER(PitanS),ISNUMBER(PitanE)),IF(AND(DH1&gt;=PitanS,DH1&lt;=PitanE),26,""),"")</f>
        <v/>
      </c>
      <c r="DI82" s="22" t="str">
        <f aca="false">IF(AND(DI1&lt;&gt;"",ISNUMBER(PitanS),ISNUMBER(PitanE)),IF(AND(DI1&gt;=PitanS,DI1&lt;=PitanE),26,""),"")</f>
        <v/>
      </c>
      <c r="DJ82" s="22" t="str">
        <f aca="false">IF(AND(DJ1&lt;&gt;"",ISNUMBER(PitanS),ISNUMBER(PitanE)),IF(AND(DJ1&gt;=PitanS,DJ1&lt;=PitanE),26,""),"")</f>
        <v/>
      </c>
      <c r="DK82" s="22" t="str">
        <f aca="false">IF(AND(DK1&lt;&gt;"",ISNUMBER(PitanS),ISNUMBER(PitanE)),IF(AND(DK1&gt;=PitanS,DK1&lt;=PitanE),26,""),"")</f>
        <v/>
      </c>
      <c r="DL82" s="22" t="str">
        <f aca="false">IF(AND(DL1&lt;&gt;"",ISNUMBER(PitanS),ISNUMBER(PitanE)),IF(AND(DL1&gt;=PitanS,DL1&lt;=PitanE),26,""),"")</f>
        <v/>
      </c>
      <c r="DM82" s="22" t="str">
        <f aca="false">IF(AND(DM1&lt;&gt;"",ISNUMBER(PitanS),ISNUMBER(PitanE)),IF(AND(DM1&gt;=PitanS,DM1&lt;=PitanE),26,""),"")</f>
        <v/>
      </c>
      <c r="DN82" s="22" t="str">
        <f aca="false">IF(AND(DN1&lt;&gt;"",ISNUMBER(PitanS),ISNUMBER(PitanE)),IF(AND(DN1&gt;=PitanS,DN1&lt;=PitanE),26,""),"")</f>
        <v/>
      </c>
      <c r="DO82" s="22" t="str">
        <f aca="false">IF(AND(DO1&lt;&gt;"",ISNUMBER(PitanS),ISNUMBER(PitanE)),IF(AND(DO1&gt;=PitanS,DO1&lt;=PitanE),26,""),"")</f>
        <v/>
      </c>
      <c r="DP82" s="22" t="str">
        <f aca="false">IF(AND(DP1&lt;&gt;"",ISNUMBER(PitanS),ISNUMBER(PitanE)),IF(AND(DP1&gt;=PitanS,DP1&lt;=PitanE),26,""),"")</f>
        <v/>
      </c>
      <c r="DQ82" s="22" t="str">
        <f aca="false">IF(AND(DQ1&lt;&gt;"",ISNUMBER(PitanS),ISNUMBER(PitanE)),IF(AND(DQ1&gt;=PitanS,DQ1&lt;=PitanE),26,""),"")</f>
        <v/>
      </c>
      <c r="DR82" s="22" t="str">
        <f aca="false">IF(AND(DR1&lt;&gt;"",ISNUMBER(PitanS),ISNUMBER(PitanE)),IF(AND(DR1&gt;=PitanS,DR1&lt;=PitanE),26,""),"")</f>
        <v/>
      </c>
      <c r="DS82" s="22" t="str">
        <f aca="false">IF(AND(DS1&lt;&gt;"",ISNUMBER(PitanS),ISNUMBER(PitanE)),IF(AND(DS1&gt;=PitanS,DS1&lt;=PitanE),26,""),"")</f>
        <v/>
      </c>
      <c r="DT82" s="22" t="str">
        <f aca="false">IF(AND(DT1&lt;&gt;"",ISNUMBER(PitanS),ISNUMBER(PitanE)),IF(AND(DT1&gt;=PitanS,DT1&lt;=PitanE),26,""),"")</f>
        <v/>
      </c>
      <c r="DU82" s="22" t="str">
        <f aca="false">IF(AND(DU1&lt;&gt;"",ISNUMBER(PitanS),ISNUMBER(PitanE)),IF(AND(DU1&gt;=PitanS,DU1&lt;=PitanE),26,""),"")</f>
        <v/>
      </c>
      <c r="DV82" s="22" t="str">
        <f aca="false">IF(AND(DV1&lt;&gt;"",ISNUMBER(PitanS),ISNUMBER(PitanE)),IF(AND(DV1&gt;=PitanS,DV1&lt;=PitanE),26,""),"")</f>
        <v/>
      </c>
      <c r="DW82" s="22" t="str">
        <f aca="false">IF(AND(DW1&lt;&gt;"",ISNUMBER(PitanS),ISNUMBER(PitanE)),IF(AND(DW1&gt;=PitanS,DW1&lt;=PitanE),26,""),"")</f>
        <v/>
      </c>
      <c r="DX82" s="22" t="str">
        <f aca="false">IF(AND(DX1&lt;&gt;"",ISNUMBER(PitanS),ISNUMBER(PitanE)),IF(AND(DX1&gt;=PitanS,DX1&lt;=PitanE),26,""),"")</f>
        <v/>
      </c>
      <c r="DY82" s="22" t="str">
        <f aca="false">IF(AND(DY1&lt;&gt;"",ISNUMBER(PitanS),ISNUMBER(PitanE)),IF(AND(DY1&gt;=PitanS,DY1&lt;=PitanE),26,""),"")</f>
        <v/>
      </c>
      <c r="DZ82" s="22" t="str">
        <f aca="false">IF(AND(DZ1&lt;&gt;"",ISNUMBER(PitanS),ISNUMBER(PitanE)),IF(AND(DZ1&gt;=PitanS,DZ1&lt;=PitanE),26,""),"")</f>
        <v/>
      </c>
      <c r="EA82" s="22" t="str">
        <f aca="false">IF(AND(EA1&lt;&gt;"",ISNUMBER(PitanS),ISNUMBER(PitanE)),IF(AND(EA1&gt;=PitanS,EA1&lt;=PitanE),26,""),"")</f>
        <v/>
      </c>
      <c r="EB82" s="22" t="str">
        <f aca="false">IF(AND(EB1&lt;&gt;"",ISNUMBER(PitanS),ISNUMBER(PitanE)),IF(AND(EB1&gt;=PitanS,EB1&lt;=PitanE),26,""),"")</f>
        <v/>
      </c>
      <c r="EC82" s="22" t="str">
        <f aca="false">IF(AND(EC1&lt;&gt;"",ISNUMBER(PitanS),ISNUMBER(PitanE)),IF(AND(EC1&gt;=PitanS,EC1&lt;=PitanE),26,""),"")</f>
        <v/>
      </c>
      <c r="ED82" s="22" t="str">
        <f aca="false">IF(AND(ED1&lt;&gt;"",ISNUMBER(PitanS),ISNUMBER(PitanE)),IF(AND(ED1&gt;=PitanS,ED1&lt;=PitanE),26,""),"")</f>
        <v/>
      </c>
      <c r="EE82" s="22" t="str">
        <f aca="false">IF(AND(EE1&lt;&gt;"",ISNUMBER(PitanS),ISNUMBER(PitanE)),IF(AND(EE1&gt;=PitanS,EE1&lt;=PitanE),26,""),"")</f>
        <v/>
      </c>
      <c r="EF82" s="22" t="str">
        <f aca="false">IF(AND(EF1&lt;&gt;"",ISNUMBER(PitanS),ISNUMBER(PitanE)),IF(AND(EF1&gt;=PitanS,EF1&lt;=PitanE),26,""),"")</f>
        <v/>
      </c>
      <c r="EG82" s="22" t="str">
        <f aca="false">IF(AND(EG1&lt;&gt;"",ISNUMBER(PitanS),ISNUMBER(PitanE)),IF(AND(EG1&gt;=PitanS,EG1&lt;=PitanE),26,""),"")</f>
        <v/>
      </c>
      <c r="EH82" s="22" t="str">
        <f aca="false">IF(AND(EH1&lt;&gt;"",ISNUMBER(PitanS),ISNUMBER(PitanE)),IF(AND(EH1&gt;=PitanS,EH1&lt;=PitanE),26,""),"")</f>
        <v/>
      </c>
      <c r="EI82" s="22" t="str">
        <f aca="false">IF(AND(EI1&lt;&gt;"",ISNUMBER(PitanS),ISNUMBER(PitanE)),IF(AND(EI1&gt;=PitanS,EI1&lt;=PitanE),26,""),"")</f>
        <v/>
      </c>
      <c r="EJ82" s="22" t="str">
        <f aca="false">IF(AND(EJ1&lt;&gt;"",ISNUMBER(PitanS),ISNUMBER(PitanE)),IF(AND(EJ1&gt;=PitanS,EJ1&lt;=PitanE),26,""),"")</f>
        <v/>
      </c>
      <c r="EK82" s="22" t="str">
        <f aca="false">IF(AND(EK1&lt;&gt;"",ISNUMBER(PitanS),ISNUMBER(PitanE)),IF(AND(EK1&gt;=PitanS,EK1&lt;=PitanE),26,""),"")</f>
        <v/>
      </c>
      <c r="EL82" s="22" t="str">
        <f aca="false">IF(AND(EL1&lt;&gt;"",ISNUMBER(PitanS),ISNUMBER(PitanE)),IF(AND(EL1&gt;=PitanS,EL1&lt;=PitanE),26,""),"")</f>
        <v/>
      </c>
      <c r="EM82" s="22" t="str">
        <f aca="false">IF(AND(EM1&lt;&gt;"",ISNUMBER(PitanS),ISNUMBER(PitanE)),IF(AND(EM1&gt;=PitanS,EM1&lt;=PitanE),26,""),"")</f>
        <v/>
      </c>
      <c r="EN82" s="22" t="str">
        <f aca="false">IF(AND(EN1&lt;&gt;"",ISNUMBER(PitanS),ISNUMBER(PitanE)),IF(AND(EN1&gt;=PitanS,EN1&lt;=PitanE),26,""),"")</f>
        <v/>
      </c>
      <c r="EO82" s="22" t="str">
        <f aca="false">IF(AND(EO1&lt;&gt;"",ISNUMBER(PitanS),ISNUMBER(PitanE)),IF(AND(EO1&gt;=PitanS,EO1&lt;=PitanE),26,""),"")</f>
        <v/>
      </c>
      <c r="EP82" s="22" t="str">
        <f aca="false">IF(AND(EP1&lt;&gt;"",ISNUMBER(PitanS),ISNUMBER(PitanE)),IF(AND(EP1&gt;=PitanS,EP1&lt;=PitanE),26,""),"")</f>
        <v/>
      </c>
      <c r="EQ82" s="22" t="str">
        <f aca="false">IF(AND(EQ1&lt;&gt;"",ISNUMBER(PitanS),ISNUMBER(PitanE)),IF(AND(EQ1&gt;=PitanS,EQ1&lt;=PitanE),26,""),"")</f>
        <v/>
      </c>
      <c r="ER82" s="22" t="str">
        <f aca="false">IF(AND(ER1&lt;&gt;"",ISNUMBER(PitanS),ISNUMBER(PitanE)),IF(AND(ER1&gt;=PitanS,ER1&lt;=PitanE),26,""),"")</f>
        <v/>
      </c>
      <c r="ES82" s="22" t="str">
        <f aca="false">IF(AND(ES1&lt;&gt;"",ISNUMBER(PitanS),ISNUMBER(PitanE)),IF(AND(ES1&gt;=PitanS,ES1&lt;=PitanE),26,""),"")</f>
        <v/>
      </c>
      <c r="ET82" s="22" t="str">
        <f aca="false">IF(AND(ET1&lt;&gt;"",ISNUMBER(PitanS),ISNUMBER(PitanE)),IF(AND(ET1&gt;=PitanS,ET1&lt;=PitanE),26,""),"")</f>
        <v/>
      </c>
      <c r="EU82" s="22" t="str">
        <f aca="false">IF(AND(EU1&lt;&gt;"",ISNUMBER(PitanS),ISNUMBER(PitanE)),IF(AND(EU1&gt;=PitanS,EU1&lt;=PitanE),26,""),"")</f>
        <v/>
      </c>
      <c r="EV82" s="22" t="str">
        <f aca="false">IF(AND(EV1&lt;&gt;"",ISNUMBER(PitanS),ISNUMBER(PitanE)),IF(AND(EV1&gt;=PitanS,EV1&lt;=PitanE),26,""),"")</f>
        <v/>
      </c>
      <c r="EW82" s="22" t="str">
        <f aca="false">IF(AND(EW1&lt;&gt;"",ISNUMBER(PitanS),ISNUMBER(PitanE)),IF(AND(EW1&gt;=PitanS,EW1&lt;=PitanE),26,""),"")</f>
        <v/>
      </c>
      <c r="EX82" s="22" t="str">
        <f aca="false">IF(AND(EX1&lt;&gt;"",ISNUMBER(PitanS),ISNUMBER(PitanE)),IF(AND(EX1&gt;=PitanS,EX1&lt;=PitanE),26,""),"")</f>
        <v/>
      </c>
      <c r="EY82" s="22" t="str">
        <f aca="false">IF(AND(EY1&lt;&gt;"",ISNUMBER(PitanS),ISNUMBER(PitanE)),IF(AND(EY1&gt;=PitanS,EY1&lt;=PitanE),26,""),"")</f>
        <v/>
      </c>
      <c r="EZ82" s="22" t="str">
        <f aca="false">IF(AND(EZ1&lt;&gt;"",ISNUMBER(PitanS),ISNUMBER(PitanE)),IF(AND(EZ1&gt;=PitanS,EZ1&lt;=PitanE),26,""),"")</f>
        <v/>
      </c>
      <c r="FA82" s="22" t="str">
        <f aca="false">IF(AND(FA1&lt;&gt;"",ISNUMBER(PitanS),ISNUMBER(PitanE)),IF(AND(FA1&gt;=PitanS,FA1&lt;=PitanE),26,""),"")</f>
        <v/>
      </c>
      <c r="FB82" s="22" t="str">
        <f aca="false">IF(AND(FB1&lt;&gt;"",ISNUMBER(PitanS),ISNUMBER(PitanE)),IF(AND(FB1&gt;=PitanS,FB1&lt;=PitanE),26,""),"")</f>
        <v/>
      </c>
      <c r="FC82" s="22" t="str">
        <f aca="false">IF(AND(FC1&lt;&gt;"",ISNUMBER(PitanS),ISNUMBER(PitanE)),IF(AND(FC1&gt;=PitanS,FC1&lt;=PitanE),26,""),"")</f>
        <v/>
      </c>
      <c r="FD82" s="22" t="str">
        <f aca="false">IF(AND(FD1&lt;&gt;"",ISNUMBER(PitanS),ISNUMBER(PitanE)),IF(AND(FD1&gt;=PitanS,FD1&lt;=PitanE),26,""),"")</f>
        <v/>
      </c>
      <c r="FE82" s="22" t="str">
        <f aca="false">IF(AND(FE1&lt;&gt;"",ISNUMBER(PitanS),ISNUMBER(PitanE)),IF(AND(FE1&gt;=PitanS,FE1&lt;=PitanE),26,""),"")</f>
        <v/>
      </c>
      <c r="FF82" s="22" t="str">
        <f aca="false">IF(AND(FF1&lt;&gt;"",ISNUMBER(PitanS),ISNUMBER(PitanE)),IF(AND(FF1&gt;=PitanS,FF1&lt;=PitanE),26,""),"")</f>
        <v/>
      </c>
      <c r="FG82" s="22" t="str">
        <f aca="false">IF(AND(FG1&lt;&gt;"",ISNUMBER(PitanS),ISNUMBER(PitanE)),IF(AND(FG1&gt;=PitanS,FG1&lt;=PitanE),26,""),"")</f>
        <v/>
      </c>
      <c r="FH82" s="22" t="str">
        <f aca="false">IF(AND(FH1&lt;&gt;"",ISNUMBER(PitanS),ISNUMBER(PitanE)),IF(AND(FH1&gt;=PitanS,FH1&lt;=PitanE),26,""),"")</f>
        <v/>
      </c>
      <c r="FI82" s="22" t="str">
        <f aca="false">IF(AND(FI1&lt;&gt;"",ISNUMBER(PitanS),ISNUMBER(PitanE)),IF(AND(FI1&gt;=PitanS,FI1&lt;=PitanE),26,""),"")</f>
        <v/>
      </c>
      <c r="FJ82" s="22" t="str">
        <f aca="false">IF(AND(FJ1&lt;&gt;"",ISNUMBER(PitanS),ISNUMBER(PitanE)),IF(AND(FJ1&gt;=PitanS,FJ1&lt;=PitanE),26,""),"")</f>
        <v/>
      </c>
      <c r="FK82" s="22" t="str">
        <f aca="false">IF(AND(FK1&lt;&gt;"",ISNUMBER(PitanS),ISNUMBER(PitanE)),IF(AND(FK1&gt;=PitanS,FK1&lt;=PitanE),26,""),"")</f>
        <v/>
      </c>
      <c r="FL82" s="22" t="str">
        <f aca="false">IF(AND(FL1&lt;&gt;"",ISNUMBER(PitanS),ISNUMBER(PitanE)),IF(AND(FL1&gt;=PitanS,FL1&lt;=PitanE),26,""),"")</f>
        <v/>
      </c>
      <c r="FM82" s="22" t="str">
        <f aca="false">IF(AND(FM1&lt;&gt;"",ISNUMBER(PitanS),ISNUMBER(PitanE)),IF(AND(FM1&gt;=PitanS,FM1&lt;=PitanE),26,""),"")</f>
        <v/>
      </c>
      <c r="FN82" s="22" t="str">
        <f aca="false">IF(AND(FN1&lt;&gt;"",ISNUMBER(PitanS),ISNUMBER(PitanE)),IF(AND(FN1&gt;=PitanS,FN1&lt;=PitanE),26,""),"")</f>
        <v/>
      </c>
      <c r="FO82" s="22" t="str">
        <f aca="false">IF(AND(FO1&lt;&gt;"",ISNUMBER(PitanS),ISNUMBER(PitanE)),IF(AND(FO1&gt;=PitanS,FO1&lt;=PitanE),26,""),"")</f>
        <v/>
      </c>
      <c r="FP82" s="22" t="str">
        <f aca="false">IF(AND(FP1&lt;&gt;"",ISNUMBER(PitanS),ISNUMBER(PitanE)),IF(AND(FP1&gt;=PitanS,FP1&lt;=PitanE),26,""),"")</f>
        <v/>
      </c>
      <c r="FQ82" s="22" t="str">
        <f aca="false">IF(AND(FQ1&lt;&gt;"",ISNUMBER(PitanS),ISNUMBER(PitanE)),IF(AND(FQ1&gt;=PitanS,FQ1&lt;=PitanE),26,""),"")</f>
        <v/>
      </c>
    </row>
    <row r="83" customFormat="false" ht="15" hidden="true" customHeight="false" outlineLevel="0" collapsed="false">
      <c r="B83" s="45" t="s">
        <v>445</v>
      </c>
      <c r="D83" s="22" t="str">
        <f aca="false">IF(AND(D1&lt;&gt;"",ISNUMBER(C1S),ISNUMBER(C3E)),IF(AND(D1&gt;=C1S,D1&lt;=C3E),22,""),"")</f>
        <v/>
      </c>
      <c r="E83" s="22" t="str">
        <f aca="false">IF(AND(E1&lt;&gt;"",ISNUMBER(C1S),ISNUMBER(C3E)),IF(AND(E1&gt;=C1S,E1&lt;=C3E),22,""),"")</f>
        <v/>
      </c>
      <c r="F83" s="22" t="str">
        <f aca="false">IF(AND(F1&lt;&gt;"",ISNUMBER(C1S),ISNUMBER(C3E)),IF(AND(F1&gt;=C1S,F1&lt;=C3E),22,""),"")</f>
        <v/>
      </c>
      <c r="G83" s="22" t="str">
        <f aca="false">IF(AND(G1&lt;&gt;"",ISNUMBER(C1S),ISNUMBER(C3E)),IF(AND(G1&gt;=C1S,G1&lt;=C3E),22,""),"")</f>
        <v/>
      </c>
      <c r="H83" s="22" t="str">
        <f aca="false">IF(AND(H1&lt;&gt;"",ISNUMBER(C1S),ISNUMBER(C3E)),IF(AND(H1&gt;=C1S,H1&lt;=C3E),22,""),"")</f>
        <v/>
      </c>
      <c r="I83" s="22" t="str">
        <f aca="false">IF(AND(I1&lt;&gt;"",ISNUMBER(C1S),ISNUMBER(C3E)),IF(AND(I1&gt;=C1S,I1&lt;=C3E),22,""),"")</f>
        <v/>
      </c>
      <c r="J83" s="22" t="str">
        <f aca="false">IF(AND(J1&lt;&gt;"",ISNUMBER(C1S),ISNUMBER(C3E)),IF(AND(J1&gt;=C1S,J1&lt;=C3E),22,""),"")</f>
        <v/>
      </c>
      <c r="K83" s="22" t="str">
        <f aca="false">IF(AND(K1&lt;&gt;"",ISNUMBER(C1S),ISNUMBER(C3E)),IF(AND(K1&gt;=C1S,K1&lt;=C3E),22,""),"")</f>
        <v/>
      </c>
      <c r="L83" s="22" t="str">
        <f aca="false">IF(AND(L1&lt;&gt;"",ISNUMBER(C1S),ISNUMBER(C3E)),IF(AND(L1&gt;=C1S,L1&lt;=C3E),22,""),"")</f>
        <v/>
      </c>
      <c r="M83" s="22" t="str">
        <f aca="false">IF(AND(M1&lt;&gt;"",ISNUMBER(C1S),ISNUMBER(C3E)),IF(AND(M1&gt;=C1S,M1&lt;=C3E),22,""),"")</f>
        <v/>
      </c>
      <c r="N83" s="22" t="str">
        <f aca="false">IF(AND(N1&lt;&gt;"",ISNUMBER(C1S),ISNUMBER(C3E)),IF(AND(N1&gt;=C1S,N1&lt;=C3E),22,""),"")</f>
        <v/>
      </c>
      <c r="O83" s="22" t="str">
        <f aca="false">IF(AND(O1&lt;&gt;"",ISNUMBER(C1S),ISNUMBER(C3E)),IF(AND(O1&gt;=C1S,O1&lt;=C3E),22,""),"")</f>
        <v/>
      </c>
      <c r="P83" s="22" t="str">
        <f aca="false">IF(AND(P1&lt;&gt;"",ISNUMBER(C1S),ISNUMBER(C3E)),IF(AND(P1&gt;=C1S,P1&lt;=C3E),22,""),"")</f>
        <v/>
      </c>
      <c r="Q83" s="22" t="str">
        <f aca="false">IF(AND(Q1&lt;&gt;"",ISNUMBER(C1S),ISNUMBER(C3E)),IF(AND(Q1&gt;=C1S,Q1&lt;=C3E),22,""),"")</f>
        <v/>
      </c>
      <c r="R83" s="22" t="str">
        <f aca="false">IF(AND(R1&lt;&gt;"",ISNUMBER(C1S),ISNUMBER(C3E)),IF(AND(R1&gt;=C1S,R1&lt;=C3E),22,""),"")</f>
        <v/>
      </c>
      <c r="S83" s="22" t="str">
        <f aca="false">IF(AND(S1&lt;&gt;"",ISNUMBER(C1S),ISNUMBER(C3E)),IF(AND(S1&gt;=C1S,S1&lt;=C3E),22,""),"")</f>
        <v/>
      </c>
      <c r="T83" s="22" t="str">
        <f aca="false">IF(AND(T1&lt;&gt;"",ISNUMBER(C1S),ISNUMBER(C3E)),IF(AND(T1&gt;=C1S,T1&lt;=C3E),22,""),"")</f>
        <v/>
      </c>
      <c r="U83" s="22" t="str">
        <f aca="false">IF(AND(U1&lt;&gt;"",ISNUMBER(C1S),ISNUMBER(C3E)),IF(AND(U1&gt;=C1S,U1&lt;=C3E),22,""),"")</f>
        <v/>
      </c>
      <c r="V83" s="22" t="str">
        <f aca="false">IF(AND(V1&lt;&gt;"",ISNUMBER(C1S),ISNUMBER(C3E)),IF(AND(V1&gt;=C1S,V1&lt;=C3E),22,""),"")</f>
        <v/>
      </c>
      <c r="W83" s="22" t="str">
        <f aca="false">IF(AND(W1&lt;&gt;"",ISNUMBER(C1S),ISNUMBER(C3E)),IF(AND(W1&gt;=C1S,W1&lt;=C3E),22,""),"")</f>
        <v/>
      </c>
      <c r="X83" s="22" t="str">
        <f aca="false">IF(AND(X1&lt;&gt;"",ISNUMBER(C1S),ISNUMBER(C3E)),IF(AND(X1&gt;=C1S,X1&lt;=C3E),22,""),"")</f>
        <v/>
      </c>
      <c r="Y83" s="22" t="str">
        <f aca="false">IF(AND(Y1&lt;&gt;"",ISNUMBER(C1S),ISNUMBER(C3E)),IF(AND(Y1&gt;=C1S,Y1&lt;=C3E),22,""),"")</f>
        <v/>
      </c>
      <c r="Z83" s="22" t="str">
        <f aca="false">IF(AND(Z1&lt;&gt;"",ISNUMBER(C1S),ISNUMBER(C3E)),IF(AND(Z1&gt;=C1S,Z1&lt;=C3E),22,""),"")</f>
        <v/>
      </c>
      <c r="AA83" s="22" t="str">
        <f aca="false">IF(AND(AA1&lt;&gt;"",ISNUMBER(C1S),ISNUMBER(C3E)),IF(AND(AA1&gt;=C1S,AA1&lt;=C3E),22,""),"")</f>
        <v/>
      </c>
      <c r="AB83" s="22" t="str">
        <f aca="false">IF(AND(AB1&lt;&gt;"",ISNUMBER(C1S),ISNUMBER(C3E)),IF(AND(AB1&gt;=C1S,AB1&lt;=C3E),22,""),"")</f>
        <v/>
      </c>
      <c r="AC83" s="22" t="str">
        <f aca="false">IF(AND(AC1&lt;&gt;"",ISNUMBER(C1S),ISNUMBER(C3E)),IF(AND(AC1&gt;=C1S,AC1&lt;=C3E),22,""),"")</f>
        <v/>
      </c>
      <c r="AD83" s="22" t="str">
        <f aca="false">IF(AND(AD1&lt;&gt;"",ISNUMBER(C1S),ISNUMBER(C3E)),IF(AND(AD1&gt;=C1S,AD1&lt;=C3E),22,""),"")</f>
        <v/>
      </c>
      <c r="AE83" s="22" t="str">
        <f aca="false">IF(AND(AE1&lt;&gt;"",ISNUMBER(C1S),ISNUMBER(C3E)),IF(AND(AE1&gt;=C1S,AE1&lt;=C3E),22,""),"")</f>
        <v/>
      </c>
      <c r="AF83" s="22" t="str">
        <f aca="false">IF(AND(AF1&lt;&gt;"",ISNUMBER(C1S),ISNUMBER(C3E)),IF(AND(AF1&gt;=C1S,AF1&lt;=C3E),22,""),"")</f>
        <v/>
      </c>
      <c r="AG83" s="22" t="str">
        <f aca="false">IF(AND(AG1&lt;&gt;"",ISNUMBER(C1S),ISNUMBER(C3E)),IF(AND(AG1&gt;=C1S,AG1&lt;=C3E),22,""),"")</f>
        <v/>
      </c>
      <c r="AH83" s="22" t="str">
        <f aca="false">IF(AND(AH1&lt;&gt;"",ISNUMBER(C1S),ISNUMBER(C3E)),IF(AND(AH1&gt;=C1S,AH1&lt;=C3E),22,""),"")</f>
        <v/>
      </c>
      <c r="AI83" s="22" t="str">
        <f aca="false">IF(AND(AI1&lt;&gt;"",ISNUMBER(C1S),ISNUMBER(C3E)),IF(AND(AI1&gt;=C1S,AI1&lt;=C3E),22,""),"")</f>
        <v/>
      </c>
      <c r="AJ83" s="22" t="str">
        <f aca="false">IF(AND(AJ1&lt;&gt;"",ISNUMBER(C1S),ISNUMBER(C3E)),IF(AND(AJ1&gt;=C1S,AJ1&lt;=C3E),22,""),"")</f>
        <v/>
      </c>
      <c r="AK83" s="22" t="str">
        <f aca="false">IF(AND(AK1&lt;&gt;"",ISNUMBER(C1S),ISNUMBER(C3E)),IF(AND(AK1&gt;=C1S,AK1&lt;=C3E),22,""),"")</f>
        <v/>
      </c>
      <c r="AL83" s="22" t="str">
        <f aca="false">IF(AND(AL1&lt;&gt;"",ISNUMBER(C1S),ISNUMBER(C3E)),IF(AND(AL1&gt;=C1S,AL1&lt;=C3E),22,""),"")</f>
        <v/>
      </c>
      <c r="AM83" s="22" t="str">
        <f aca="false">IF(AND(AM1&lt;&gt;"",ISNUMBER(C1S),ISNUMBER(C3E)),IF(AND(AM1&gt;=C1S,AM1&lt;=C3E),22,""),"")</f>
        <v/>
      </c>
      <c r="AN83" s="22" t="str">
        <f aca="false">IF(AND(AN1&lt;&gt;"",ISNUMBER(C1S),ISNUMBER(C3E)),IF(AND(AN1&gt;=C1S,AN1&lt;=C3E),22,""),"")</f>
        <v/>
      </c>
      <c r="AO83" s="22" t="str">
        <f aca="false">IF(AND(AO1&lt;&gt;"",ISNUMBER(C1S),ISNUMBER(C3E)),IF(AND(AO1&gt;=C1S,AO1&lt;=C3E),22,""),"")</f>
        <v/>
      </c>
      <c r="AP83" s="22" t="str">
        <f aca="false">IF(AND(AP1&lt;&gt;"",ISNUMBER(C1S),ISNUMBER(C3E)),IF(AND(AP1&gt;=C1S,AP1&lt;=C3E),22,""),"")</f>
        <v/>
      </c>
      <c r="AQ83" s="22" t="str">
        <f aca="false">IF(AND(AQ1&lt;&gt;"",ISNUMBER(C1S),ISNUMBER(C3E)),IF(AND(AQ1&gt;=C1S,AQ1&lt;=C3E),22,""),"")</f>
        <v/>
      </c>
      <c r="AR83" s="22" t="str">
        <f aca="false">IF(AND(AR1&lt;&gt;"",ISNUMBER(C1S),ISNUMBER(C3E)),IF(AND(AR1&gt;=C1S,AR1&lt;=C3E),22,""),"")</f>
        <v/>
      </c>
      <c r="AS83" s="22" t="str">
        <f aca="false">IF(AND(AS1&lt;&gt;"",ISNUMBER(C1S),ISNUMBER(C3E)),IF(AND(AS1&gt;=C1S,AS1&lt;=C3E),22,""),"")</f>
        <v/>
      </c>
      <c r="AT83" s="22" t="str">
        <f aca="false">IF(AND(AT1&lt;&gt;"",ISNUMBER(C1S),ISNUMBER(C3E)),IF(AND(AT1&gt;=C1S,AT1&lt;=C3E),22,""),"")</f>
        <v/>
      </c>
      <c r="AU83" s="22" t="str">
        <f aca="false">IF(AND(AU1&lt;&gt;"",ISNUMBER(C1S),ISNUMBER(C3E)),IF(AND(AU1&gt;=C1S,AU1&lt;=C3E),22,""),"")</f>
        <v/>
      </c>
      <c r="AV83" s="22" t="str">
        <f aca="false">IF(AND(AV1&lt;&gt;"",ISNUMBER(C1S),ISNUMBER(C3E)),IF(AND(AV1&gt;=C1S,AV1&lt;=C3E),22,""),"")</f>
        <v/>
      </c>
      <c r="AW83" s="22" t="str">
        <f aca="false">IF(AND(AW1&lt;&gt;"",ISNUMBER(C1S),ISNUMBER(C3E)),IF(AND(AW1&gt;=C1S,AW1&lt;=C3E),22,""),"")</f>
        <v/>
      </c>
      <c r="AX83" s="22" t="str">
        <f aca="false">IF(AND(AX1&lt;&gt;"",ISNUMBER(C1S),ISNUMBER(C3E)),IF(AND(AX1&gt;=C1S,AX1&lt;=C3E),22,""),"")</f>
        <v/>
      </c>
      <c r="AY83" s="22" t="str">
        <f aca="false">IF(AND(AY1&lt;&gt;"",ISNUMBER(C1S),ISNUMBER(C3E)),IF(AND(AY1&gt;=C1S,AY1&lt;=C3E),22,""),"")</f>
        <v/>
      </c>
      <c r="AZ83" s="22" t="str">
        <f aca="false">IF(AND(AZ1&lt;&gt;"",ISNUMBER(C1S),ISNUMBER(C3E)),IF(AND(AZ1&gt;=C1S,AZ1&lt;=C3E),22,""),"")</f>
        <v/>
      </c>
      <c r="BA83" s="22" t="str">
        <f aca="false">IF(AND(BA1&lt;&gt;"",ISNUMBER(C1S),ISNUMBER(C3E)),IF(AND(BA1&gt;=C1S,BA1&lt;=C3E),22,""),"")</f>
        <v/>
      </c>
      <c r="BB83" s="22" t="str">
        <f aca="false">IF(AND(BB1&lt;&gt;"",ISNUMBER(C1S),ISNUMBER(C3E)),IF(AND(BB1&gt;=C1S,BB1&lt;=C3E),22,""),"")</f>
        <v/>
      </c>
      <c r="BC83" s="22" t="str">
        <f aca="false">IF(AND(BC1&lt;&gt;"",ISNUMBER(C1S),ISNUMBER(C3E)),IF(AND(BC1&gt;=C1S,BC1&lt;=C3E),22,""),"")</f>
        <v/>
      </c>
      <c r="BD83" s="22" t="str">
        <f aca="false">IF(AND(BD1&lt;&gt;"",ISNUMBER(C1S),ISNUMBER(C3E)),IF(AND(BD1&gt;=C1S,BD1&lt;=C3E),22,""),"")</f>
        <v/>
      </c>
      <c r="BE83" s="22" t="str">
        <f aca="false">IF(AND(BE1&lt;&gt;"",ISNUMBER(C1S),ISNUMBER(C3E)),IF(AND(BE1&gt;=C1S,BE1&lt;=C3E),22,""),"")</f>
        <v/>
      </c>
      <c r="BF83" s="22" t="str">
        <f aca="false">IF(AND(BF1&lt;&gt;"",ISNUMBER(C1S),ISNUMBER(C3E)),IF(AND(BF1&gt;=C1S,BF1&lt;=C3E),22,""),"")</f>
        <v/>
      </c>
      <c r="BG83" s="22" t="str">
        <f aca="false">IF(AND(BG1&lt;&gt;"",ISNUMBER(C1S),ISNUMBER(C3E)),IF(AND(BG1&gt;=C1S,BG1&lt;=C3E),22,""),"")</f>
        <v/>
      </c>
      <c r="BH83" s="22" t="str">
        <f aca="false">IF(AND(BH1&lt;&gt;"",ISNUMBER(C1S),ISNUMBER(C3E)),IF(AND(BH1&gt;=C1S,BH1&lt;=C3E),22,""),"")</f>
        <v/>
      </c>
      <c r="BI83" s="22" t="str">
        <f aca="false">IF(AND(BI1&lt;&gt;"",ISNUMBER(C1S),ISNUMBER(C3E)),IF(AND(BI1&gt;=C1S,BI1&lt;=C3E),22,""),"")</f>
        <v/>
      </c>
      <c r="BJ83" s="22" t="str">
        <f aca="false">IF(AND(BJ1&lt;&gt;"",ISNUMBER(C1S),ISNUMBER(C3E)),IF(AND(BJ1&gt;=C1S,BJ1&lt;=C3E),22,""),"")</f>
        <v/>
      </c>
      <c r="BK83" s="22" t="str">
        <f aca="false">IF(AND(BK1&lt;&gt;"",ISNUMBER(C1S),ISNUMBER(C3E)),IF(AND(BK1&gt;=C1S,BK1&lt;=C3E),22,""),"")</f>
        <v/>
      </c>
      <c r="BL83" s="22" t="str">
        <f aca="false">IF(AND(BL1&lt;&gt;"",ISNUMBER(C1S),ISNUMBER(C3E)),IF(AND(BL1&gt;=C1S,BL1&lt;=C3E),22,""),"")</f>
        <v/>
      </c>
      <c r="BM83" s="22" t="str">
        <f aca="false">IF(AND(BM1&lt;&gt;"",ISNUMBER(C1S),ISNUMBER(C3E)),IF(AND(BM1&gt;=C1S,BM1&lt;=C3E),22,""),"")</f>
        <v/>
      </c>
      <c r="BN83" s="22" t="str">
        <f aca="false">IF(AND(BN1&lt;&gt;"",ISNUMBER(C1S),ISNUMBER(C3E)),IF(AND(BN1&gt;=C1S,BN1&lt;=C3E),22,""),"")</f>
        <v/>
      </c>
      <c r="BO83" s="22" t="str">
        <f aca="false">IF(AND(BO1&lt;&gt;"",ISNUMBER(C1S),ISNUMBER(C3E)),IF(AND(BO1&gt;=C1S,BO1&lt;=C3E),22,""),"")</f>
        <v/>
      </c>
      <c r="BP83" s="22" t="str">
        <f aca="false">IF(AND(BP1&lt;&gt;"",ISNUMBER(C1S),ISNUMBER(C3E)),IF(AND(BP1&gt;=C1S,BP1&lt;=C3E),22,""),"")</f>
        <v/>
      </c>
      <c r="BQ83" s="22" t="str">
        <f aca="false">IF(AND(BQ1&lt;&gt;"",ISNUMBER(C1S),ISNUMBER(C3E)),IF(AND(BQ1&gt;=C1S,BQ1&lt;=C3E),22,""),"")</f>
        <v/>
      </c>
      <c r="BR83" s="22" t="str">
        <f aca="false">IF(AND(BR1&lt;&gt;"",ISNUMBER(C1S),ISNUMBER(C3E)),IF(AND(BR1&gt;=C1S,BR1&lt;=C3E),22,""),"")</f>
        <v/>
      </c>
      <c r="BS83" s="22" t="str">
        <f aca="false">IF(AND(BS1&lt;&gt;"",ISNUMBER(C1S),ISNUMBER(C3E)),IF(AND(BS1&gt;=C1S,BS1&lt;=C3E),22,""),"")</f>
        <v/>
      </c>
      <c r="BT83" s="22" t="str">
        <f aca="false">IF(AND(BT1&lt;&gt;"",ISNUMBER(C1S),ISNUMBER(C3E)),IF(AND(BT1&gt;=C1S,BT1&lt;=C3E),22,""),"")</f>
        <v/>
      </c>
      <c r="BU83" s="22" t="str">
        <f aca="false">IF(AND(BU1&lt;&gt;"",ISNUMBER(C1S),ISNUMBER(C3E)),IF(AND(BU1&gt;=C1S,BU1&lt;=C3E),22,""),"")</f>
        <v/>
      </c>
      <c r="BV83" s="22" t="str">
        <f aca="false">IF(AND(BV1&lt;&gt;"",ISNUMBER(C1S),ISNUMBER(C3E)),IF(AND(BV1&gt;=C1S,BV1&lt;=C3E),22,""),"")</f>
        <v/>
      </c>
      <c r="BW83" s="22" t="str">
        <f aca="false">IF(AND(BW1&lt;&gt;"",ISNUMBER(C1S),ISNUMBER(C3E)),IF(AND(BW1&gt;=C1S,BW1&lt;=C3E),22,""),"")</f>
        <v/>
      </c>
      <c r="BX83" s="22" t="str">
        <f aca="false">IF(AND(BX1&lt;&gt;"",ISNUMBER(C1S),ISNUMBER(C3E)),IF(AND(BX1&gt;=C1S,BX1&lt;=C3E),22,""),"")</f>
        <v/>
      </c>
      <c r="BY83" s="22" t="str">
        <f aca="false">IF(AND(BY1&lt;&gt;"",ISNUMBER(C1S),ISNUMBER(C3E)),IF(AND(BY1&gt;=C1S,BY1&lt;=C3E),22,""),"")</f>
        <v/>
      </c>
      <c r="BZ83" s="22" t="str">
        <f aca="false">IF(AND(BZ1&lt;&gt;"",ISNUMBER(C1S),ISNUMBER(C3E)),IF(AND(BZ1&gt;=C1S,BZ1&lt;=C3E),22,""),"")</f>
        <v/>
      </c>
      <c r="CA83" s="22" t="str">
        <f aca="false">IF(AND(CA1&lt;&gt;"",ISNUMBER(C1S),ISNUMBER(C3E)),IF(AND(CA1&gt;=C1S,CA1&lt;=C3E),22,""),"")</f>
        <v/>
      </c>
      <c r="CB83" s="22" t="str">
        <f aca="false">IF(AND(CB1&lt;&gt;"",ISNUMBER(C1S),ISNUMBER(C3E)),IF(AND(CB1&gt;=C1S,CB1&lt;=C3E),22,""),"")</f>
        <v/>
      </c>
      <c r="CC83" s="22" t="str">
        <f aca="false">IF(AND(CC1&lt;&gt;"",ISNUMBER(C1S),ISNUMBER(C3E)),IF(AND(CC1&gt;=C1S,CC1&lt;=C3E),22,""),"")</f>
        <v/>
      </c>
      <c r="CD83" s="22" t="str">
        <f aca="false">IF(AND(CD1&lt;&gt;"",ISNUMBER(C1S),ISNUMBER(C3E)),IF(AND(CD1&gt;=C1S,CD1&lt;=C3E),22,""),"")</f>
        <v/>
      </c>
      <c r="CE83" s="22" t="str">
        <f aca="false">IF(AND(CE1&lt;&gt;"",ISNUMBER(C1S),ISNUMBER(C3E)),IF(AND(CE1&gt;=C1S,CE1&lt;=C3E),22,""),"")</f>
        <v/>
      </c>
      <c r="CF83" s="22" t="str">
        <f aca="false">IF(AND(CF1&lt;&gt;"",ISNUMBER(C1S),ISNUMBER(C3E)),IF(AND(CF1&gt;=C1S,CF1&lt;=C3E),22,""),"")</f>
        <v/>
      </c>
      <c r="CG83" s="22" t="str">
        <f aca="false">IF(AND(CG1&lt;&gt;"",ISNUMBER(C1S),ISNUMBER(C3E)),IF(AND(CG1&gt;=C1S,CG1&lt;=C3E),22,""),"")</f>
        <v/>
      </c>
      <c r="CH83" s="22" t="str">
        <f aca="false">IF(AND(CH1&lt;&gt;"",ISNUMBER(C1S),ISNUMBER(C3E)),IF(AND(CH1&gt;=C1S,CH1&lt;=C3E),22,""),"")</f>
        <v/>
      </c>
      <c r="CI83" s="22" t="str">
        <f aca="false">IF(AND(CI1&lt;&gt;"",ISNUMBER(C1S),ISNUMBER(C3E)),IF(AND(CI1&gt;=C1S,CI1&lt;=C3E),22,""),"")</f>
        <v/>
      </c>
      <c r="CJ83" s="22" t="str">
        <f aca="false">IF(AND(CJ1&lt;&gt;"",ISNUMBER(C1S),ISNUMBER(C3E)),IF(AND(CJ1&gt;=C1S,CJ1&lt;=C3E),22,""),"")</f>
        <v/>
      </c>
      <c r="CK83" s="22" t="str">
        <f aca="false">IF(AND(CK1&lt;&gt;"",ISNUMBER(C1S),ISNUMBER(C3E)),IF(AND(CK1&gt;=C1S,CK1&lt;=C3E),22,""),"")</f>
        <v/>
      </c>
      <c r="CL83" s="22" t="str">
        <f aca="false">IF(AND(CL1&lt;&gt;"",ISNUMBER(C1S),ISNUMBER(C3E)),IF(AND(CL1&gt;=C1S,CL1&lt;=C3E),22,""),"")</f>
        <v/>
      </c>
      <c r="CM83" s="22" t="str">
        <f aca="false">IF(AND(CM1&lt;&gt;"",ISNUMBER(C1S),ISNUMBER(C3E)),IF(AND(CM1&gt;=C1S,CM1&lt;=C3E),22,""),"")</f>
        <v/>
      </c>
      <c r="CN83" s="22" t="str">
        <f aca="false">IF(AND(CN1&lt;&gt;"",ISNUMBER(C1S),ISNUMBER(C3E)),IF(AND(CN1&gt;=C1S,CN1&lt;=C3E),22,""),"")</f>
        <v/>
      </c>
      <c r="CO83" s="22" t="str">
        <f aca="false">IF(AND(CO1&lt;&gt;"",ISNUMBER(C1S),ISNUMBER(C3E)),IF(AND(CO1&gt;=C1S,CO1&lt;=C3E),22,""),"")</f>
        <v/>
      </c>
      <c r="CP83" s="22" t="str">
        <f aca="false">IF(AND(CP1&lt;&gt;"",ISNUMBER(C1S),ISNUMBER(C3E)),IF(AND(CP1&gt;=C1S,CP1&lt;=C3E),22,""),"")</f>
        <v/>
      </c>
      <c r="CQ83" s="22" t="str">
        <f aca="false">IF(AND(CQ1&lt;&gt;"",ISNUMBER(C1S),ISNUMBER(C3E)),IF(AND(CQ1&gt;=C1S,CQ1&lt;=C3E),22,""),"")</f>
        <v/>
      </c>
      <c r="CR83" s="22" t="str">
        <f aca="false">IF(AND(CR1&lt;&gt;"",ISNUMBER(C1S),ISNUMBER(C3E)),IF(AND(CR1&gt;=C1S,CR1&lt;=C3E),22,""),"")</f>
        <v/>
      </c>
      <c r="CS83" s="22" t="str">
        <f aca="false">IF(AND(CS1&lt;&gt;"",ISNUMBER(C1S),ISNUMBER(C3E)),IF(AND(CS1&gt;=C1S,CS1&lt;=C3E),22,""),"")</f>
        <v/>
      </c>
      <c r="CT83" s="22" t="str">
        <f aca="false">IF(AND(CT1&lt;&gt;"",ISNUMBER(C1S),ISNUMBER(C3E)),IF(AND(CT1&gt;=C1S,CT1&lt;=C3E),22,""),"")</f>
        <v/>
      </c>
      <c r="CU83" s="22" t="str">
        <f aca="false">IF(AND(CU1&lt;&gt;"",ISNUMBER(C1S),ISNUMBER(C3E)),IF(AND(CU1&gt;=C1S,CU1&lt;=C3E),22,""),"")</f>
        <v/>
      </c>
      <c r="CV83" s="22" t="str">
        <f aca="false">IF(AND(CV1&lt;&gt;"",ISNUMBER(C1S),ISNUMBER(C3E)),IF(AND(CV1&gt;=C1S,CV1&lt;=C3E),22,""),"")</f>
        <v/>
      </c>
      <c r="CW83" s="22" t="str">
        <f aca="false">IF(AND(CW1&lt;&gt;"",ISNUMBER(C1S),ISNUMBER(C3E)),IF(AND(CW1&gt;=C1S,CW1&lt;=C3E),22,""),"")</f>
        <v/>
      </c>
      <c r="CX83" s="22" t="str">
        <f aca="false">IF(AND(CX1&lt;&gt;"",ISNUMBER(C1S),ISNUMBER(C3E)),IF(AND(CX1&gt;=C1S,CX1&lt;=C3E),22,""),"")</f>
        <v/>
      </c>
      <c r="CY83" s="22" t="str">
        <f aca="false">IF(AND(CY1&lt;&gt;"",ISNUMBER(C1S),ISNUMBER(C3E)),IF(AND(CY1&gt;=C1S,CY1&lt;=C3E),22,""),"")</f>
        <v/>
      </c>
      <c r="CZ83" s="22" t="str">
        <f aca="false">IF(AND(CZ1&lt;&gt;"",ISNUMBER(C1S),ISNUMBER(C3E)),IF(AND(CZ1&gt;=C1S,CZ1&lt;=C3E),22,""),"")</f>
        <v/>
      </c>
      <c r="DA83" s="22" t="str">
        <f aca="false">IF(AND(DA1&lt;&gt;"",ISNUMBER(C1S),ISNUMBER(C3E)),IF(AND(DA1&gt;=C1S,DA1&lt;=C3E),22,""),"")</f>
        <v/>
      </c>
      <c r="DB83" s="22" t="str">
        <f aca="false">IF(AND(DB1&lt;&gt;"",ISNUMBER(C1S),ISNUMBER(C3E)),IF(AND(DB1&gt;=C1S,DB1&lt;=C3E),22,""),"")</f>
        <v/>
      </c>
      <c r="DC83" s="22" t="str">
        <f aca="false">IF(AND(DC1&lt;&gt;"",ISNUMBER(C1S),ISNUMBER(C3E)),IF(AND(DC1&gt;=C1S,DC1&lt;=C3E),22,""),"")</f>
        <v/>
      </c>
      <c r="DD83" s="22" t="str">
        <f aca="false">IF(AND(DD1&lt;&gt;"",ISNUMBER(C1S),ISNUMBER(C3E)),IF(AND(DD1&gt;=C1S,DD1&lt;=C3E),22,""),"")</f>
        <v/>
      </c>
      <c r="DE83" s="22" t="str">
        <f aca="false">IF(AND(DE1&lt;&gt;"",ISNUMBER(C1S),ISNUMBER(C3E)),IF(AND(DE1&gt;=C1S,DE1&lt;=C3E),22,""),"")</f>
        <v/>
      </c>
      <c r="DF83" s="22" t="str">
        <f aca="false">IF(AND(DF1&lt;&gt;"",ISNUMBER(C1S),ISNUMBER(C3E)),IF(AND(DF1&gt;=C1S,DF1&lt;=C3E),22,""),"")</f>
        <v/>
      </c>
      <c r="DG83" s="22" t="n">
        <f aca="false">IF(AND(DG1&lt;&gt;"",ISNUMBER(C1S),ISNUMBER(C3E)),IF(AND(DG1&gt;=C1S,DG1&lt;=C3E),22,""),"")</f>
        <v>22</v>
      </c>
      <c r="DH83" s="22" t="n">
        <f aca="false">IF(AND(DH1&lt;&gt;"",ISNUMBER(C1S),ISNUMBER(C3E)),IF(AND(DH1&gt;=C1S,DH1&lt;=C3E),22,""),"")</f>
        <v>22</v>
      </c>
      <c r="DI83" s="22" t="n">
        <f aca="false">IF(AND(DI1&lt;&gt;"",ISNUMBER(C1S),ISNUMBER(C3E)),IF(AND(DI1&gt;=C1S,DI1&lt;=C3E),22,""),"")</f>
        <v>22</v>
      </c>
      <c r="DJ83" s="22" t="n">
        <f aca="false">IF(AND(DJ1&lt;&gt;"",ISNUMBER(C1S),ISNUMBER(C3E)),IF(AND(DJ1&gt;=C1S,DJ1&lt;=C3E),22,""),"")</f>
        <v>22</v>
      </c>
      <c r="DK83" s="22" t="n">
        <f aca="false">IF(AND(DK1&lt;&gt;"",ISNUMBER(C1S),ISNUMBER(C3E)),IF(AND(DK1&gt;=C1S,DK1&lt;=C3E),22,""),"")</f>
        <v>22</v>
      </c>
      <c r="DL83" s="22" t="n">
        <f aca="false">IF(AND(DL1&lt;&gt;"",ISNUMBER(C1S),ISNUMBER(C3E)),IF(AND(DL1&gt;=C1S,DL1&lt;=C3E),22,""),"")</f>
        <v>22</v>
      </c>
      <c r="DM83" s="22" t="n">
        <f aca="false">IF(AND(DM1&lt;&gt;"",ISNUMBER(C1S),ISNUMBER(C3E)),IF(AND(DM1&gt;=C1S,DM1&lt;=C3E),22,""),"")</f>
        <v>22</v>
      </c>
      <c r="DN83" s="22" t="n">
        <f aca="false">IF(AND(DN1&lt;&gt;"",ISNUMBER(C1S),ISNUMBER(C3E)),IF(AND(DN1&gt;=C1S,DN1&lt;=C3E),22,""),"")</f>
        <v>22</v>
      </c>
      <c r="DO83" s="22" t="n">
        <f aca="false">IF(AND(DO1&lt;&gt;"",ISNUMBER(C1S),ISNUMBER(C3E)),IF(AND(DO1&gt;=C1S,DO1&lt;=C3E),22,""),"")</f>
        <v>22</v>
      </c>
      <c r="DP83" s="22" t="n">
        <f aca="false">IF(AND(DP1&lt;&gt;"",ISNUMBER(C1S),ISNUMBER(C3E)),IF(AND(DP1&gt;=C1S,DP1&lt;=C3E),22,""),"")</f>
        <v>22</v>
      </c>
      <c r="DQ83" s="22" t="n">
        <f aca="false">IF(AND(DQ1&lt;&gt;"",ISNUMBER(C1S),ISNUMBER(C3E)),IF(AND(DQ1&gt;=C1S,DQ1&lt;=C3E),22,""),"")</f>
        <v>22</v>
      </c>
      <c r="DR83" s="22" t="n">
        <f aca="false">IF(AND(DR1&lt;&gt;"",ISNUMBER(C1S),ISNUMBER(C3E)),IF(AND(DR1&gt;=C1S,DR1&lt;=C3E),22,""),"")</f>
        <v>22</v>
      </c>
      <c r="DS83" s="22" t="n">
        <f aca="false">IF(AND(DS1&lt;&gt;"",ISNUMBER(C1S),ISNUMBER(C3E)),IF(AND(DS1&gt;=C1S,DS1&lt;=C3E),22,""),"")</f>
        <v>22</v>
      </c>
      <c r="DT83" s="22" t="n">
        <f aca="false">IF(AND(DT1&lt;&gt;"",ISNUMBER(C1S),ISNUMBER(C3E)),IF(AND(DT1&gt;=C1S,DT1&lt;=C3E),22,""),"")</f>
        <v>22</v>
      </c>
      <c r="DU83" s="22" t="n">
        <f aca="false">IF(AND(DU1&lt;&gt;"",ISNUMBER(C1S),ISNUMBER(C3E)),IF(AND(DU1&gt;=C1S,DU1&lt;=C3E),22,""),"")</f>
        <v>22</v>
      </c>
      <c r="DV83" s="22" t="n">
        <f aca="false">IF(AND(DV1&lt;&gt;"",ISNUMBER(C1S),ISNUMBER(C3E)),IF(AND(DV1&gt;=C1S,DV1&lt;=C3E),22,""),"")</f>
        <v>22</v>
      </c>
      <c r="DW83" s="22" t="n">
        <f aca="false">IF(AND(DW1&lt;&gt;"",ISNUMBER(C1S),ISNUMBER(C3E)),IF(AND(DW1&gt;=C1S,DW1&lt;=C3E),22,""),"")</f>
        <v>22</v>
      </c>
      <c r="DX83" s="22" t="n">
        <f aca="false">IF(AND(DX1&lt;&gt;"",ISNUMBER(C1S),ISNUMBER(C3E)),IF(AND(DX1&gt;=C1S,DX1&lt;=C3E),22,""),"")</f>
        <v>22</v>
      </c>
      <c r="DY83" s="22" t="n">
        <f aca="false">IF(AND(DY1&lt;&gt;"",ISNUMBER(C1S),ISNUMBER(C3E)),IF(AND(DY1&gt;=C1S,DY1&lt;=C3E),22,""),"")</f>
        <v>22</v>
      </c>
      <c r="DZ83" s="22" t="n">
        <f aca="false">IF(AND(DZ1&lt;&gt;"",ISNUMBER(C1S),ISNUMBER(C3E)),IF(AND(DZ1&gt;=C1S,DZ1&lt;=C3E),22,""),"")</f>
        <v>22</v>
      </c>
      <c r="EA83" s="22" t="n">
        <f aca="false">IF(AND(EA1&lt;&gt;"",ISNUMBER(C1S),ISNUMBER(C3E)),IF(AND(EA1&gt;=C1S,EA1&lt;=C3E),22,""),"")</f>
        <v>22</v>
      </c>
      <c r="EB83" s="22" t="n">
        <f aca="false">IF(AND(EB1&lt;&gt;"",ISNUMBER(C1S),ISNUMBER(C3E)),IF(AND(EB1&gt;=C1S,EB1&lt;=C3E),22,""),"")</f>
        <v>22</v>
      </c>
      <c r="EC83" s="22" t="n">
        <f aca="false">IF(AND(EC1&lt;&gt;"",ISNUMBER(C1S),ISNUMBER(C3E)),IF(AND(EC1&gt;=C1S,EC1&lt;=C3E),22,""),"")</f>
        <v>22</v>
      </c>
      <c r="ED83" s="22" t="n">
        <f aca="false">IF(AND(ED1&lt;&gt;"",ISNUMBER(C1S),ISNUMBER(C3E)),IF(AND(ED1&gt;=C1S,ED1&lt;=C3E),22,""),"")</f>
        <v>22</v>
      </c>
      <c r="EE83" s="22" t="n">
        <f aca="false">IF(AND(EE1&lt;&gt;"",ISNUMBER(C1S),ISNUMBER(C3E)),IF(AND(EE1&gt;=C1S,EE1&lt;=C3E),22,""),"")</f>
        <v>22</v>
      </c>
      <c r="EF83" s="22" t="n">
        <f aca="false">IF(AND(EF1&lt;&gt;"",ISNUMBER(C1S),ISNUMBER(C3E)),IF(AND(EF1&gt;=C1S,EF1&lt;=C3E),22,""),"")</f>
        <v>22</v>
      </c>
      <c r="EG83" s="22" t="n">
        <f aca="false">IF(AND(EG1&lt;&gt;"",ISNUMBER(C1S),ISNUMBER(C3E)),IF(AND(EG1&gt;=C1S,EG1&lt;=C3E),22,""),"")</f>
        <v>22</v>
      </c>
      <c r="EH83" s="22" t="n">
        <f aca="false">IF(AND(EH1&lt;&gt;"",ISNUMBER(C1S),ISNUMBER(C3E)),IF(AND(EH1&gt;=C1S,EH1&lt;=C3E),22,""),"")</f>
        <v>22</v>
      </c>
      <c r="EI83" s="22" t="n">
        <f aca="false">IF(AND(EI1&lt;&gt;"",ISNUMBER(C1S),ISNUMBER(C3E)),IF(AND(EI1&gt;=C1S,EI1&lt;=C3E),22,""),"")</f>
        <v>22</v>
      </c>
      <c r="EJ83" s="22" t="n">
        <f aca="false">IF(AND(EJ1&lt;&gt;"",ISNUMBER(C1S),ISNUMBER(C3E)),IF(AND(EJ1&gt;=C1S,EJ1&lt;=C3E),22,""),"")</f>
        <v>22</v>
      </c>
      <c r="EK83" s="22" t="n">
        <f aca="false">IF(AND(EK1&lt;&gt;"",ISNUMBER(C1S),ISNUMBER(C3E)),IF(AND(EK1&gt;=C1S,EK1&lt;=C3E),22,""),"")</f>
        <v>22</v>
      </c>
      <c r="EL83" s="22" t="n">
        <f aca="false">IF(AND(EL1&lt;&gt;"",ISNUMBER(C1S),ISNUMBER(C3E)),IF(AND(EL1&gt;=C1S,EL1&lt;=C3E),22,""),"")</f>
        <v>22</v>
      </c>
      <c r="EM83" s="22" t="n">
        <f aca="false">IF(AND(EM1&lt;&gt;"",ISNUMBER(C1S),ISNUMBER(C3E)),IF(AND(EM1&gt;=C1S,EM1&lt;=C3E),22,""),"")</f>
        <v>22</v>
      </c>
      <c r="EN83" s="22" t="n">
        <f aca="false">IF(AND(EN1&lt;&gt;"",ISNUMBER(C1S),ISNUMBER(C3E)),IF(AND(EN1&gt;=C1S,EN1&lt;=C3E),22,""),"")</f>
        <v>22</v>
      </c>
      <c r="EO83" s="22" t="n">
        <f aca="false">IF(AND(EO1&lt;&gt;"",ISNUMBER(C1S),ISNUMBER(C3E)),IF(AND(EO1&gt;=C1S,EO1&lt;=C3E),22,""),"")</f>
        <v>22</v>
      </c>
      <c r="EP83" s="22" t="n">
        <f aca="false">IF(AND(EP1&lt;&gt;"",ISNUMBER(C1S),ISNUMBER(C3E)),IF(AND(EP1&gt;=C1S,EP1&lt;=C3E),22,""),"")</f>
        <v>22</v>
      </c>
      <c r="EQ83" s="22" t="n">
        <f aca="false">IF(AND(EQ1&lt;&gt;"",ISNUMBER(C1S),ISNUMBER(C3E)),IF(AND(EQ1&gt;=C1S,EQ1&lt;=C3E),22,""),"")</f>
        <v>22</v>
      </c>
      <c r="ER83" s="22" t="n">
        <f aca="false">IF(AND(ER1&lt;&gt;"",ISNUMBER(C1S),ISNUMBER(C3E)),IF(AND(ER1&gt;=C1S,ER1&lt;=C3E),22,""),"")</f>
        <v>22</v>
      </c>
      <c r="ES83" s="22" t="n">
        <f aca="false">IF(AND(ES1&lt;&gt;"",ISNUMBER(C1S),ISNUMBER(C3E)),IF(AND(ES1&gt;=C1S,ES1&lt;=C3E),22,""),"")</f>
        <v>22</v>
      </c>
      <c r="ET83" s="22" t="n">
        <f aca="false">IF(AND(ET1&lt;&gt;"",ISNUMBER(C1S),ISNUMBER(C3E)),IF(AND(ET1&gt;=C1S,ET1&lt;=C3E),22,""),"")</f>
        <v>22</v>
      </c>
      <c r="EU83" s="22" t="n">
        <f aca="false">IF(AND(EU1&lt;&gt;"",ISNUMBER(C1S),ISNUMBER(C3E)),IF(AND(EU1&gt;=C1S,EU1&lt;=C3E),22,""),"")</f>
        <v>22</v>
      </c>
      <c r="EV83" s="22" t="n">
        <f aca="false">IF(AND(EV1&lt;&gt;"",ISNUMBER(C1S),ISNUMBER(C3E)),IF(AND(EV1&gt;=C1S,EV1&lt;=C3E),22,""),"")</f>
        <v>22</v>
      </c>
      <c r="EW83" s="22" t="n">
        <f aca="false">IF(AND(EW1&lt;&gt;"",ISNUMBER(C1S),ISNUMBER(C3E)),IF(AND(EW1&gt;=C1S,EW1&lt;=C3E),22,""),"")</f>
        <v>22</v>
      </c>
      <c r="EX83" s="22" t="n">
        <f aca="false">IF(AND(EX1&lt;&gt;"",ISNUMBER(C1S),ISNUMBER(C3E)),IF(AND(EX1&gt;=C1S,EX1&lt;=C3E),22,""),"")</f>
        <v>22</v>
      </c>
      <c r="EY83" s="22" t="str">
        <f aca="false">IF(AND(EY1&lt;&gt;"",ISNUMBER(C1S),ISNUMBER(C3E)),IF(AND(EY1&gt;=C1S,EY1&lt;=C3E),22,""),"")</f>
        <v/>
      </c>
      <c r="EZ83" s="22" t="str">
        <f aca="false">IF(AND(EZ1&lt;&gt;"",ISNUMBER(C1S),ISNUMBER(C3E)),IF(AND(EZ1&gt;=C1S,EZ1&lt;=C3E),22,""),"")</f>
        <v/>
      </c>
      <c r="FA83" s="22" t="str">
        <f aca="false">IF(AND(FA1&lt;&gt;"",ISNUMBER(C1S),ISNUMBER(C3E)),IF(AND(FA1&gt;=C1S,FA1&lt;=C3E),22,""),"")</f>
        <v/>
      </c>
      <c r="FB83" s="22" t="str">
        <f aca="false">IF(AND(FB1&lt;&gt;"",ISNUMBER(C1S),ISNUMBER(C3E)),IF(AND(FB1&gt;=C1S,FB1&lt;=C3E),22,""),"")</f>
        <v/>
      </c>
      <c r="FC83" s="22" t="str">
        <f aca="false">IF(AND(FC1&lt;&gt;"",ISNUMBER(C1S),ISNUMBER(C3E)),IF(AND(FC1&gt;=C1S,FC1&lt;=C3E),22,""),"")</f>
        <v/>
      </c>
      <c r="FD83" s="22" t="str">
        <f aca="false">IF(AND(FD1&lt;&gt;"",ISNUMBER(C1S),ISNUMBER(C3E)),IF(AND(FD1&gt;=C1S,FD1&lt;=C3E),22,""),"")</f>
        <v/>
      </c>
      <c r="FE83" s="22" t="str">
        <f aca="false">IF(AND(FE1&lt;&gt;"",ISNUMBER(C1S),ISNUMBER(C3E)),IF(AND(FE1&gt;=C1S,FE1&lt;=C3E),22,""),"")</f>
        <v/>
      </c>
      <c r="FF83" s="22" t="str">
        <f aca="false">IF(AND(FF1&lt;&gt;"",ISNUMBER(C1S),ISNUMBER(C3E)),IF(AND(FF1&gt;=C1S,FF1&lt;=C3E),22,""),"")</f>
        <v/>
      </c>
      <c r="FG83" s="22" t="str">
        <f aca="false">IF(AND(FG1&lt;&gt;"",ISNUMBER(C1S),ISNUMBER(C3E)),IF(AND(FG1&gt;=C1S,FG1&lt;=C3E),22,""),"")</f>
        <v/>
      </c>
      <c r="FH83" s="22" t="str">
        <f aca="false">IF(AND(FH1&lt;&gt;"",ISNUMBER(C1S),ISNUMBER(C3E)),IF(AND(FH1&gt;=C1S,FH1&lt;=C3E),22,""),"")</f>
        <v/>
      </c>
      <c r="FI83" s="22" t="str">
        <f aca="false">IF(AND(FI1&lt;&gt;"",ISNUMBER(C1S),ISNUMBER(C3E)),IF(AND(FI1&gt;=C1S,FI1&lt;=C3E),22,""),"")</f>
        <v/>
      </c>
      <c r="FJ83" s="22" t="str">
        <f aca="false">IF(AND(FJ1&lt;&gt;"",ISNUMBER(C1S),ISNUMBER(C3E)),IF(AND(FJ1&gt;=C1S,FJ1&lt;=C3E),22,""),"")</f>
        <v/>
      </c>
      <c r="FK83" s="22" t="str">
        <f aca="false">IF(AND(FK1&lt;&gt;"",ISNUMBER(C1S),ISNUMBER(C3E)),IF(AND(FK1&gt;=C1S,FK1&lt;=C3E),22,""),"")</f>
        <v/>
      </c>
      <c r="FL83" s="22" t="str">
        <f aca="false">IF(AND(FL1&lt;&gt;"",ISNUMBER(C1S),ISNUMBER(C3E)),IF(AND(FL1&gt;=C1S,FL1&lt;=C3E),22,""),"")</f>
        <v/>
      </c>
      <c r="FM83" s="22" t="str">
        <f aca="false">IF(AND(FM1&lt;&gt;"",ISNUMBER(C1S),ISNUMBER(C3E)),IF(AND(FM1&gt;=C1S,FM1&lt;=C3E),22,""),"")</f>
        <v/>
      </c>
      <c r="FN83" s="22" t="str">
        <f aca="false">IF(AND(FN1&lt;&gt;"",ISNUMBER(C1S),ISNUMBER(C3E)),IF(AND(FN1&gt;=C1S,FN1&lt;=C3E),22,""),"")</f>
        <v/>
      </c>
      <c r="FO83" s="22" t="str">
        <f aca="false">IF(AND(FO1&lt;&gt;"",ISNUMBER(C1S),ISNUMBER(C3E)),IF(AND(FO1&gt;=C1S,FO1&lt;=C3E),22,""),"")</f>
        <v/>
      </c>
      <c r="FP83" s="22" t="str">
        <f aca="false">IF(AND(FP1&lt;&gt;"",ISNUMBER(C1S),ISNUMBER(C3E)),IF(AND(FP1&gt;=C1S,FP1&lt;=C3E),22,""),"")</f>
        <v/>
      </c>
      <c r="FQ83" s="22" t="str">
        <f aca="false">IF(AND(FQ1&lt;&gt;"",ISNUMBER(C1S),ISNUMBER(C3E)),IF(AND(FQ1&gt;=C1S,FQ1&lt;=C3E),22,""),"")</f>
        <v/>
      </c>
    </row>
    <row r="84" customFormat="false" ht="15" hidden="true" customHeight="false" outlineLevel="0" collapsed="false"/>
    <row r="85" customFormat="false" ht="15" hidden="true" customHeight="false" outlineLevel="0" collapsed="false">
      <c r="A85" s="22" t="s">
        <v>446</v>
      </c>
      <c r="B85" s="22" t="s">
        <v>447</v>
      </c>
      <c r="D85" s="64" t="n">
        <f aca="false">IF(D1="","",N(D1))</f>
        <v>45986</v>
      </c>
      <c r="E85" s="64" t="n">
        <f aca="false">IF(E1="","",N(E1))</f>
        <v>45987</v>
      </c>
      <c r="F85" s="64" t="n">
        <f aca="false">IF(F1="","",N(F1))</f>
        <v>45988</v>
      </c>
      <c r="G85" s="64" t="n">
        <f aca="false">IF(G1="","",N(G1))</f>
        <v>45989</v>
      </c>
      <c r="H85" s="64" t="n">
        <f aca="false">IF(H1="","",N(H1))</f>
        <v>45990</v>
      </c>
      <c r="I85" s="64" t="n">
        <f aca="false">IF(I1="","",N(I1))</f>
        <v>45991</v>
      </c>
      <c r="J85" s="64" t="n">
        <f aca="false">IF(J1="","",N(J1))</f>
        <v>45992</v>
      </c>
      <c r="K85" s="64" t="n">
        <f aca="false">IF(K1="","",N(K1))</f>
        <v>45993</v>
      </c>
      <c r="L85" s="64" t="n">
        <f aca="false">IF(L1="","",N(L1))</f>
        <v>45994</v>
      </c>
      <c r="M85" s="64" t="n">
        <f aca="false">IF(M1="","",N(M1))</f>
        <v>45995</v>
      </c>
      <c r="N85" s="64" t="n">
        <f aca="false">IF(N1="","",N(N1))</f>
        <v>45996</v>
      </c>
      <c r="O85" s="64" t="n">
        <f aca="false">IF(O1="","",N(O1))</f>
        <v>45997</v>
      </c>
      <c r="P85" s="64" t="n">
        <f aca="false">IF(P1="","",N(P1))</f>
        <v>45998</v>
      </c>
      <c r="Q85" s="64" t="n">
        <f aca="false">IF(Q1="","",N(Q1))</f>
        <v>45999</v>
      </c>
      <c r="R85" s="64" t="n">
        <f aca="false">IF(R1="","",N(R1))</f>
        <v>46000</v>
      </c>
      <c r="S85" s="64" t="n">
        <f aca="false">IF(S1="","",N(S1))</f>
        <v>46001</v>
      </c>
      <c r="T85" s="64" t="n">
        <f aca="false">IF(T1="","",N(T1))</f>
        <v>46002</v>
      </c>
      <c r="U85" s="64" t="n">
        <f aca="false">IF(U1="","",N(U1))</f>
        <v>46003</v>
      </c>
      <c r="V85" s="64" t="n">
        <f aca="false">IF(V1="","",N(V1))</f>
        <v>46004</v>
      </c>
      <c r="W85" s="64" t="n">
        <f aca="false">IF(W1="","",N(W1))</f>
        <v>46005</v>
      </c>
      <c r="X85" s="64" t="n">
        <f aca="false">IF(X1="","",N(X1))</f>
        <v>46006</v>
      </c>
      <c r="Y85" s="64" t="n">
        <f aca="false">IF(Y1="","",N(Y1))</f>
        <v>46007</v>
      </c>
      <c r="Z85" s="64" t="n">
        <f aca="false">IF(Z1="","",N(Z1))</f>
        <v>46008</v>
      </c>
      <c r="AA85" s="64" t="n">
        <f aca="false">IF(AA1="","",N(AA1))</f>
        <v>46009</v>
      </c>
      <c r="AB85" s="64" t="n">
        <f aca="false">IF(AB1="","",N(AB1))</f>
        <v>46010</v>
      </c>
      <c r="AC85" s="64" t="n">
        <f aca="false">IF(AC1="","",N(AC1))</f>
        <v>46011</v>
      </c>
      <c r="AD85" s="64" t="n">
        <f aca="false">IF(AD1="","",N(AD1))</f>
        <v>46012</v>
      </c>
      <c r="AE85" s="64" t="n">
        <f aca="false">IF(AE1="","",N(AE1))</f>
        <v>46013</v>
      </c>
      <c r="AF85" s="64" t="n">
        <f aca="false">IF(AF1="","",N(AF1))</f>
        <v>46014</v>
      </c>
      <c r="AG85" s="64" t="n">
        <f aca="false">IF(AG1="","",N(AG1))</f>
        <v>46015</v>
      </c>
      <c r="AH85" s="64" t="n">
        <f aca="false">IF(AH1="","",N(AH1))</f>
        <v>46016</v>
      </c>
      <c r="AI85" s="64" t="n">
        <f aca="false">IF(AI1="","",N(AI1))</f>
        <v>46017</v>
      </c>
      <c r="AJ85" s="64" t="n">
        <f aca="false">IF(AJ1="","",N(AJ1))</f>
        <v>46018</v>
      </c>
      <c r="AK85" s="64" t="n">
        <f aca="false">IF(AK1="","",N(AK1))</f>
        <v>46019</v>
      </c>
      <c r="AL85" s="64" t="n">
        <f aca="false">IF(AL1="","",N(AL1))</f>
        <v>46020</v>
      </c>
      <c r="AM85" s="64" t="n">
        <f aca="false">IF(AM1="","",N(AM1))</f>
        <v>46021</v>
      </c>
      <c r="AN85" s="64" t="n">
        <f aca="false">IF(AN1="","",N(AN1))</f>
        <v>46022</v>
      </c>
      <c r="AO85" s="64" t="n">
        <f aca="false">IF(AO1="","",N(AO1))</f>
        <v>46023</v>
      </c>
      <c r="AP85" s="64" t="n">
        <f aca="false">IF(AP1="","",N(AP1))</f>
        <v>46024</v>
      </c>
      <c r="AQ85" s="64" t="n">
        <f aca="false">IF(AQ1="","",N(AQ1))</f>
        <v>46025</v>
      </c>
      <c r="AR85" s="64" t="n">
        <f aca="false">IF(AR1="","",N(AR1))</f>
        <v>46026</v>
      </c>
      <c r="AS85" s="64" t="n">
        <f aca="false">IF(AS1="","",N(AS1))</f>
        <v>46027</v>
      </c>
      <c r="AT85" s="64" t="n">
        <f aca="false">IF(AT1="","",N(AT1))</f>
        <v>46028</v>
      </c>
      <c r="AU85" s="64" t="n">
        <f aca="false">IF(AU1="","",N(AU1))</f>
        <v>46029</v>
      </c>
      <c r="AV85" s="64" t="n">
        <f aca="false">IF(AV1="","",N(AV1))</f>
        <v>46030</v>
      </c>
      <c r="AW85" s="64" t="n">
        <f aca="false">IF(AW1="","",N(AW1))</f>
        <v>46031</v>
      </c>
      <c r="AX85" s="64" t="n">
        <f aca="false">IF(AX1="","",N(AX1))</f>
        <v>46032</v>
      </c>
      <c r="AY85" s="64" t="n">
        <f aca="false">IF(AY1="","",N(AY1))</f>
        <v>46033</v>
      </c>
      <c r="AZ85" s="64" t="n">
        <f aca="false">IF(AZ1="","",N(AZ1))</f>
        <v>46034</v>
      </c>
      <c r="BA85" s="64" t="n">
        <f aca="false">IF(BA1="","",N(BA1))</f>
        <v>46035</v>
      </c>
      <c r="BB85" s="64" t="n">
        <f aca="false">IF(BB1="","",N(BB1))</f>
        <v>46036</v>
      </c>
      <c r="BC85" s="64" t="n">
        <f aca="false">IF(BC1="","",N(BC1))</f>
        <v>46037</v>
      </c>
      <c r="BD85" s="64" t="n">
        <f aca="false">IF(BD1="","",N(BD1))</f>
        <v>46038</v>
      </c>
      <c r="BE85" s="64" t="n">
        <f aca="false">IF(BE1="","",N(BE1))</f>
        <v>46039</v>
      </c>
      <c r="BF85" s="64" t="n">
        <f aca="false">IF(BF1="","",N(BF1))</f>
        <v>46040</v>
      </c>
      <c r="BG85" s="64" t="n">
        <f aca="false">IF(BG1="","",N(BG1))</f>
        <v>46041</v>
      </c>
      <c r="BH85" s="64" t="n">
        <f aca="false">IF(BH1="","",N(BH1))</f>
        <v>46042</v>
      </c>
      <c r="BI85" s="64" t="n">
        <f aca="false">IF(BI1="","",N(BI1))</f>
        <v>46043</v>
      </c>
      <c r="BJ85" s="64" t="n">
        <f aca="false">IF(BJ1="","",N(BJ1))</f>
        <v>46044</v>
      </c>
      <c r="BK85" s="64" t="n">
        <f aca="false">IF(BK1="","",N(BK1))</f>
        <v>46045</v>
      </c>
      <c r="BL85" s="64" t="n">
        <f aca="false">IF(BL1="","",N(BL1))</f>
        <v>46046</v>
      </c>
      <c r="BM85" s="64" t="n">
        <f aca="false">IF(BM1="","",N(BM1))</f>
        <v>46047</v>
      </c>
      <c r="BN85" s="64" t="n">
        <f aca="false">IF(BN1="","",N(BN1))</f>
        <v>46048</v>
      </c>
      <c r="BO85" s="64" t="n">
        <f aca="false">IF(BO1="","",N(BO1))</f>
        <v>46049</v>
      </c>
      <c r="BP85" s="64" t="n">
        <f aca="false">IF(BP1="","",N(BP1))</f>
        <v>46050</v>
      </c>
      <c r="BQ85" s="64" t="n">
        <f aca="false">IF(BQ1="","",N(BQ1))</f>
        <v>46051</v>
      </c>
      <c r="BR85" s="64" t="n">
        <f aca="false">IF(BR1="","",N(BR1))</f>
        <v>46052</v>
      </c>
      <c r="BS85" s="64" t="n">
        <f aca="false">IF(BS1="","",N(BS1))</f>
        <v>46053</v>
      </c>
      <c r="BT85" s="64" t="n">
        <f aca="false">IF(BT1="","",N(BT1))</f>
        <v>46054</v>
      </c>
      <c r="BU85" s="64" t="n">
        <f aca="false">IF(BU1="","",N(BU1))</f>
        <v>46055</v>
      </c>
      <c r="BV85" s="64" t="n">
        <f aca="false">IF(BV1="","",N(BV1))</f>
        <v>46056</v>
      </c>
      <c r="BW85" s="64" t="n">
        <f aca="false">IF(BW1="","",N(BW1))</f>
        <v>46057</v>
      </c>
      <c r="BX85" s="64" t="n">
        <f aca="false">IF(BX1="","",N(BX1))</f>
        <v>46058</v>
      </c>
      <c r="BY85" s="64" t="n">
        <f aca="false">IF(BY1="","",N(BY1))</f>
        <v>46059</v>
      </c>
      <c r="BZ85" s="64" t="n">
        <f aca="false">IF(BZ1="","",N(BZ1))</f>
        <v>46060</v>
      </c>
      <c r="CA85" s="64" t="n">
        <f aca="false">IF(CA1="","",N(CA1))</f>
        <v>46061</v>
      </c>
      <c r="CB85" s="64" t="n">
        <f aca="false">IF(CB1="","",N(CB1))</f>
        <v>46062</v>
      </c>
      <c r="CC85" s="64" t="n">
        <f aca="false">IF(CC1="","",N(CC1))</f>
        <v>46063</v>
      </c>
      <c r="CD85" s="64" t="n">
        <f aca="false">IF(CD1="","",N(CD1))</f>
        <v>46064</v>
      </c>
      <c r="CE85" s="64" t="n">
        <f aca="false">IF(CE1="","",N(CE1))</f>
        <v>46065</v>
      </c>
      <c r="CF85" s="64" t="n">
        <f aca="false">IF(CF1="","",N(CF1))</f>
        <v>46066</v>
      </c>
      <c r="CG85" s="64" t="n">
        <f aca="false">IF(CG1="","",N(CG1))</f>
        <v>46067</v>
      </c>
      <c r="CH85" s="64" t="n">
        <f aca="false">IF(CH1="","",N(CH1))</f>
        <v>46068</v>
      </c>
      <c r="CI85" s="64" t="n">
        <f aca="false">IF(CI1="","",N(CI1))</f>
        <v>46069</v>
      </c>
      <c r="CJ85" s="64" t="n">
        <f aca="false">IF(CJ1="","",N(CJ1))</f>
        <v>46070</v>
      </c>
      <c r="CK85" s="64" t="n">
        <f aca="false">IF(CK1="","",N(CK1))</f>
        <v>46071</v>
      </c>
      <c r="CL85" s="64" t="n">
        <f aca="false">IF(CL1="","",N(CL1))</f>
        <v>46072</v>
      </c>
      <c r="CM85" s="64" t="n">
        <f aca="false">IF(CM1="","",N(CM1))</f>
        <v>46073</v>
      </c>
      <c r="CN85" s="64" t="n">
        <f aca="false">IF(CN1="","",N(CN1))</f>
        <v>46074</v>
      </c>
      <c r="CO85" s="64" t="n">
        <f aca="false">IF(CO1="","",N(CO1))</f>
        <v>46075</v>
      </c>
      <c r="CP85" s="64" t="n">
        <f aca="false">IF(CP1="","",N(CP1))</f>
        <v>46076</v>
      </c>
      <c r="CQ85" s="64" t="n">
        <f aca="false">IF(CQ1="","",N(CQ1))</f>
        <v>46077</v>
      </c>
      <c r="CR85" s="64" t="n">
        <f aca="false">IF(CR1="","",N(CR1))</f>
        <v>46078</v>
      </c>
      <c r="CS85" s="64" t="n">
        <f aca="false">IF(CS1="","",N(CS1))</f>
        <v>46079</v>
      </c>
      <c r="CT85" s="64" t="n">
        <f aca="false">IF(CT1="","",N(CT1))</f>
        <v>46080</v>
      </c>
      <c r="CU85" s="64" t="n">
        <f aca="false">IF(CU1="","",N(CU1))</f>
        <v>46081</v>
      </c>
      <c r="CV85" s="64" t="n">
        <f aca="false">IF(CV1="","",N(CV1))</f>
        <v>46082</v>
      </c>
      <c r="CW85" s="64" t="n">
        <f aca="false">IF(CW1="","",N(CW1))</f>
        <v>46083</v>
      </c>
      <c r="CX85" s="64" t="n">
        <f aca="false">IF(CX1="","",N(CX1))</f>
        <v>46084</v>
      </c>
      <c r="CY85" s="64" t="n">
        <f aca="false">IF(CY1="","",N(CY1))</f>
        <v>46085</v>
      </c>
      <c r="CZ85" s="64" t="n">
        <f aca="false">IF(CZ1="","",N(CZ1))</f>
        <v>46086</v>
      </c>
      <c r="DA85" s="64" t="n">
        <f aca="false">IF(DA1="","",N(DA1))</f>
        <v>46087</v>
      </c>
      <c r="DB85" s="64" t="n">
        <f aca="false">IF(DB1="","",N(DB1))</f>
        <v>46088</v>
      </c>
      <c r="DC85" s="64" t="n">
        <f aca="false">IF(DC1="","",N(DC1))</f>
        <v>46089</v>
      </c>
      <c r="DD85" s="64" t="n">
        <f aca="false">IF(DD1="","",N(DD1))</f>
        <v>46090</v>
      </c>
      <c r="DE85" s="64" t="n">
        <f aca="false">IF(DE1="","",N(DE1))</f>
        <v>46091</v>
      </c>
      <c r="DF85" s="64" t="n">
        <f aca="false">IF(DF1="","",N(DF1))</f>
        <v>46092</v>
      </c>
      <c r="DG85" s="64" t="n">
        <f aca="false">IF(DG1="","",N(DG1))</f>
        <v>46093</v>
      </c>
      <c r="DH85" s="64" t="n">
        <f aca="false">IF(DH1="","",N(DH1))</f>
        <v>46094</v>
      </c>
      <c r="DI85" s="64" t="n">
        <f aca="false">IF(DI1="","",N(DI1))</f>
        <v>46095</v>
      </c>
      <c r="DJ85" s="64" t="n">
        <f aca="false">IF(DJ1="","",N(DJ1))</f>
        <v>46096</v>
      </c>
      <c r="DK85" s="64" t="n">
        <f aca="false">IF(DK1="","",N(DK1))</f>
        <v>46097</v>
      </c>
      <c r="DL85" s="64" t="n">
        <f aca="false">IF(DL1="","",N(DL1))</f>
        <v>46098</v>
      </c>
      <c r="DM85" s="64" t="n">
        <f aca="false">IF(DM1="","",N(DM1))</f>
        <v>46099</v>
      </c>
      <c r="DN85" s="64" t="n">
        <f aca="false">IF(DN1="","",N(DN1))</f>
        <v>46100</v>
      </c>
      <c r="DO85" s="64" t="n">
        <f aca="false">IF(DO1="","",N(DO1))</f>
        <v>46101</v>
      </c>
      <c r="DP85" s="64" t="n">
        <f aca="false">IF(DP1="","",N(DP1))</f>
        <v>46102</v>
      </c>
      <c r="DQ85" s="64" t="n">
        <f aca="false">IF(DQ1="","",N(DQ1))</f>
        <v>46103</v>
      </c>
      <c r="DR85" s="64" t="n">
        <f aca="false">IF(DR1="","",N(DR1))</f>
        <v>46104</v>
      </c>
      <c r="DS85" s="64" t="n">
        <f aca="false">IF(DS1="","",N(DS1))</f>
        <v>46105</v>
      </c>
      <c r="DT85" s="64" t="n">
        <f aca="false">IF(DT1="","",N(DT1))</f>
        <v>46106</v>
      </c>
      <c r="DU85" s="64" t="n">
        <f aca="false">IF(DU1="","",N(DU1))</f>
        <v>46107</v>
      </c>
      <c r="DV85" s="64" t="n">
        <f aca="false">IF(DV1="","",N(DV1))</f>
        <v>46108</v>
      </c>
      <c r="DW85" s="64" t="n">
        <f aca="false">IF(DW1="","",N(DW1))</f>
        <v>46109</v>
      </c>
      <c r="DX85" s="64" t="n">
        <f aca="false">IF(DX1="","",N(DX1))</f>
        <v>46110</v>
      </c>
      <c r="DY85" s="64" t="n">
        <f aca="false">IF(DY1="","",N(DY1))</f>
        <v>46111</v>
      </c>
      <c r="DZ85" s="64" t="n">
        <f aca="false">IF(DZ1="","",N(DZ1))</f>
        <v>46112</v>
      </c>
      <c r="EA85" s="64" t="n">
        <f aca="false">IF(EA1="","",N(EA1))</f>
        <v>46113</v>
      </c>
      <c r="EB85" s="64" t="n">
        <f aca="false">IF(EB1="","",N(EB1))</f>
        <v>46114</v>
      </c>
      <c r="EC85" s="64" t="n">
        <f aca="false">IF(EC1="","",N(EC1))</f>
        <v>46115</v>
      </c>
      <c r="ED85" s="64" t="n">
        <f aca="false">IF(ED1="","",N(ED1))</f>
        <v>46116</v>
      </c>
      <c r="EE85" s="64" t="n">
        <f aca="false">IF(EE1="","",N(EE1))</f>
        <v>46117</v>
      </c>
      <c r="EF85" s="64" t="n">
        <f aca="false">IF(EF1="","",N(EF1))</f>
        <v>46118</v>
      </c>
      <c r="EG85" s="64" t="n">
        <f aca="false">IF(EG1="","",N(EG1))</f>
        <v>46119</v>
      </c>
      <c r="EH85" s="64" t="n">
        <f aca="false">IF(EH1="","",N(EH1))</f>
        <v>46120</v>
      </c>
      <c r="EI85" s="64" t="n">
        <f aca="false">IF(EI1="","",N(EI1))</f>
        <v>46121</v>
      </c>
      <c r="EJ85" s="64" t="n">
        <f aca="false">IF(EJ1="","",N(EJ1))</f>
        <v>46122</v>
      </c>
      <c r="EK85" s="64" t="n">
        <f aca="false">IF(EK1="","",N(EK1))</f>
        <v>46123</v>
      </c>
      <c r="EL85" s="64" t="n">
        <f aca="false">IF(EL1="","",N(EL1))</f>
        <v>46124</v>
      </c>
      <c r="EM85" s="64" t="n">
        <f aca="false">IF(EM1="","",N(EM1))</f>
        <v>46125</v>
      </c>
      <c r="EN85" s="64" t="n">
        <f aca="false">IF(EN1="","",N(EN1))</f>
        <v>46126</v>
      </c>
      <c r="EO85" s="64" t="n">
        <f aca="false">IF(EO1="","",N(EO1))</f>
        <v>46127</v>
      </c>
      <c r="EP85" s="64" t="n">
        <f aca="false">IF(EP1="","",N(EP1))</f>
        <v>46128</v>
      </c>
      <c r="EQ85" s="64" t="n">
        <f aca="false">IF(EQ1="","",N(EQ1))</f>
        <v>46129</v>
      </c>
      <c r="ER85" s="64" t="n">
        <f aca="false">IF(ER1="","",N(ER1))</f>
        <v>46130</v>
      </c>
      <c r="ES85" s="64" t="n">
        <f aca="false">IF(ES1="","",N(ES1))</f>
        <v>46131</v>
      </c>
      <c r="ET85" s="64" t="n">
        <f aca="false">IF(ET1="","",N(ET1))</f>
        <v>46132</v>
      </c>
      <c r="EU85" s="64" t="n">
        <f aca="false">IF(EU1="","",N(EU1))</f>
        <v>46133</v>
      </c>
      <c r="EV85" s="64" t="n">
        <f aca="false">IF(EV1="","",N(EV1))</f>
        <v>46134</v>
      </c>
      <c r="EW85" s="64" t="n">
        <f aca="false">IF(EW1="","",N(EW1))</f>
        <v>46135</v>
      </c>
      <c r="EX85" s="64" t="n">
        <f aca="false">IF(EX1="","",N(EX1))</f>
        <v>46136</v>
      </c>
      <c r="EY85" s="64" t="n">
        <f aca="false">IF(EY1="","",N(EY1))</f>
        <v>46137</v>
      </c>
      <c r="EZ85" s="64" t="n">
        <f aca="false">IF(EZ1="","",N(EZ1))</f>
        <v>46138</v>
      </c>
      <c r="FA85" s="64" t="n">
        <f aca="false">IF(FA1="","",N(FA1))</f>
        <v>46139</v>
      </c>
      <c r="FB85" s="64" t="n">
        <f aca="false">IF(FB1="","",N(FB1))</f>
        <v>46140</v>
      </c>
      <c r="FC85" s="64" t="n">
        <f aca="false">IF(FC1="","",N(FC1))</f>
        <v>46141</v>
      </c>
      <c r="FD85" s="64" t="n">
        <f aca="false">IF(FD1="","",N(FD1))</f>
        <v>46142</v>
      </c>
      <c r="FE85" s="64" t="n">
        <f aca="false">IF(FE1="","",N(FE1))</f>
        <v>46143</v>
      </c>
      <c r="FF85" s="64" t="n">
        <f aca="false">IF(FF1="","",N(FF1))</f>
        <v>46144</v>
      </c>
      <c r="FG85" s="64" t="n">
        <f aca="false">IF(FG1="","",N(FG1))</f>
        <v>46145</v>
      </c>
      <c r="FH85" s="64" t="n">
        <f aca="false">IF(FH1="","",N(FH1))</f>
        <v>46146</v>
      </c>
      <c r="FI85" s="64" t="n">
        <f aca="false">IF(FI1="","",N(FI1))</f>
        <v>46147</v>
      </c>
      <c r="FJ85" s="64" t="n">
        <f aca="false">IF(FJ1="","",N(FJ1))</f>
        <v>46148</v>
      </c>
      <c r="FK85" s="64" t="n">
        <f aca="false">IF(FK1="","",N(FK1))</f>
        <v>46149</v>
      </c>
      <c r="FL85" s="64" t="n">
        <f aca="false">IF(FL1="","",N(FL1))</f>
        <v>46150</v>
      </c>
      <c r="FM85" s="64" t="n">
        <f aca="false">IF(FM1="","",N(FM1))</f>
        <v>46151</v>
      </c>
      <c r="FN85" s="64" t="n">
        <f aca="false">IF(FN1="","",N(FN1))</f>
        <v>46152</v>
      </c>
      <c r="FO85" s="64" t="n">
        <f aca="false">IF(FO1="","",N(FO1))</f>
        <v>46153</v>
      </c>
      <c r="FP85" s="64" t="n">
        <f aca="false">IF(FP1="","",N(FP1))</f>
        <v>46154</v>
      </c>
      <c r="FQ85" s="64" t="n">
        <f aca="false">IF(FQ1="","",N(FQ1))</f>
        <v>46155</v>
      </c>
    </row>
    <row r="86" customFormat="false" ht="15" hidden="true" customHeight="false" outlineLevel="0" collapsed="false"/>
    <row r="87" customFormat="false" ht="15" hidden="true" customHeight="false" outlineLevel="0" collapsed="false">
      <c r="A87" s="22" t="s">
        <v>448</v>
      </c>
      <c r="B87" s="65" t="str">
        <f aca="false">SiteName</f>
        <v>Demo Site-03</v>
      </c>
    </row>
    <row r="88" customFormat="false" ht="15" hidden="true" customHeight="false" outlineLevel="0" collapsed="false">
      <c r="A88" s="22" t="s">
        <v>449</v>
      </c>
      <c r="B88" s="65" t="str">
        <f aca="false">Place</f>
        <v>Pirganj, Rangpur</v>
      </c>
    </row>
    <row r="89" customFormat="false" ht="15" hidden="true" customHeight="false" outlineLevel="0" collapsed="false">
      <c r="A89" s="22" t="s">
        <v>450</v>
      </c>
      <c r="B89" s="65" t="str">
        <f aca="false">Variety</f>
        <v>BRRI dhan58</v>
      </c>
    </row>
    <row r="90" customFormat="false" ht="15" hidden="true" customHeight="false" outlineLevel="0" collapsed="false">
      <c r="A90" s="22" t="s">
        <v>451</v>
      </c>
      <c r="B90" s="65" t="n">
        <f aca="false">IF(ISNUMBER(SowDate),N(SowDate),"")</f>
        <v>45989</v>
      </c>
    </row>
    <row r="91" customFormat="false" ht="15" hidden="true" customHeight="false" outlineLevel="0" collapsed="false">
      <c r="A91" s="22" t="s">
        <v>452</v>
      </c>
      <c r="B91" s="65" t="n">
        <f aca="false">IF(ISNUMBER(TransDate),N(TransDate),"")</f>
        <v>46038</v>
      </c>
    </row>
    <row r="92" customFormat="false" ht="15" hidden="true" customHeight="false" outlineLevel="0" collapsed="false">
      <c r="A92" s="22" t="s">
        <v>453</v>
      </c>
      <c r="B92" s="65" t="n">
        <f aca="false">IF(ISNUMBER(PitanS),N(PitanS),"")</f>
        <v>46068</v>
      </c>
    </row>
    <row r="93" customFormat="false" ht="15" hidden="true" customHeight="false" outlineLevel="0" collapsed="false">
      <c r="A93" s="22" t="s">
        <v>454</v>
      </c>
      <c r="B93" s="65" t="n">
        <f aca="false">IF(ISNUMBER(PitanE),N(PitanE),"")</f>
        <v>46071</v>
      </c>
    </row>
    <row r="94" customFormat="false" ht="15" hidden="true" customHeight="false" outlineLevel="0" collapsed="false">
      <c r="A94" s="22" t="s">
        <v>455</v>
      </c>
      <c r="B94" s="65" t="n">
        <f aca="false">IF(ISNUMBER(MDS),N(MDS),"")</f>
        <v>46069</v>
      </c>
    </row>
    <row r="95" customFormat="false" ht="15" hidden="true" customHeight="false" outlineLevel="0" collapsed="false">
      <c r="A95" s="22" t="s">
        <v>456</v>
      </c>
      <c r="B95" s="65" t="n">
        <f aca="false">IF(ISNUMBER(MDE),N(MDE),"")</f>
        <v>46077</v>
      </c>
    </row>
    <row r="96" customFormat="false" ht="15" hidden="true" customHeight="false" outlineLevel="0" collapsed="false">
      <c r="A96" s="22" t="s">
        <v>457</v>
      </c>
      <c r="B96" s="65" t="n">
        <f aca="false">IF(ISNUMBER(FloodS),N(FloodS),"")</f>
        <v>46089</v>
      </c>
    </row>
    <row r="97" customFormat="false" ht="15" hidden="true" customHeight="false" outlineLevel="0" collapsed="false">
      <c r="A97" s="22" t="s">
        <v>458</v>
      </c>
      <c r="B97" s="65" t="n">
        <f aca="false">IF(ISNUMBER(FloodE),N(FloodE),"")</f>
        <v>46093</v>
      </c>
    </row>
    <row r="98" customFormat="false" ht="15" hidden="true" customHeight="false" outlineLevel="0" collapsed="false">
      <c r="A98" s="22" t="s">
        <v>459</v>
      </c>
      <c r="B98" s="65" t="n">
        <f aca="false">IF(ISNUMBER(C1S),N(C1S),"")</f>
        <v>46093</v>
      </c>
    </row>
    <row r="99" customFormat="false" ht="15" hidden="true" customHeight="false" outlineLevel="0" collapsed="false">
      <c r="A99" s="22" t="s">
        <v>460</v>
      </c>
      <c r="B99" s="65" t="n">
        <f aca="false">IF(ISNUMBER(C3E),N(C3E),"")</f>
        <v>46136</v>
      </c>
    </row>
    <row r="100" customFormat="false" ht="15" hidden="true" customHeight="false" outlineLevel="0" collapsed="false">
      <c r="A100" s="22" t="s">
        <v>461</v>
      </c>
      <c r="B100" s="65" t="n">
        <f aca="false">IF(ISNUMBER(HeadD),N(HeadD),"")</f>
        <v>46114</v>
      </c>
    </row>
    <row r="101" customFormat="false" ht="15" hidden="true" customHeight="false" outlineLevel="0" collapsed="false">
      <c r="A101" s="22" t="s">
        <v>462</v>
      </c>
      <c r="B101" s="65" t="n">
        <f aca="false">IF(ISNUMBER(HarvD),N(HarvD),"")</f>
        <v>46142</v>
      </c>
    </row>
    <row r="102" customFormat="false" ht="15" hidden="true" customHeight="false" outlineLevel="0" collapsed="false">
      <c r="A102" s="22" t="s">
        <v>463</v>
      </c>
      <c r="B102" s="65" t="n">
        <f aca="false">1_Settings!D21</f>
        <v>8.457</v>
      </c>
    </row>
    <row r="103" customFormat="false" ht="15" hidden="true" customHeight="false" outlineLevel="0" collapsed="false">
      <c r="A103" s="22" t="s">
        <v>464</v>
      </c>
      <c r="B103" s="65" t="n">
        <f aca="false">1_Settings!D22</f>
        <v>8.457</v>
      </c>
    </row>
    <row r="104" customFormat="false" ht="15" hidden="true" customHeight="false" outlineLevel="0" collapsed="false">
      <c r="A104" s="22" t="s">
        <v>465</v>
      </c>
      <c r="B104" s="65" t="n">
        <f aca="false">Other_info!$B$18</f>
        <v>20.2</v>
      </c>
    </row>
    <row r="105" customFormat="false" ht="15" hidden="true" customHeight="false" outlineLevel="0" collapsed="false">
      <c r="A105" s="22" t="s">
        <v>466</v>
      </c>
      <c r="B105" s="65" t="n">
        <f aca="false">Other_info!$C$18</f>
        <v>2.3</v>
      </c>
    </row>
    <row r="106" customFormat="false" ht="15" hidden="true" customHeight="false" outlineLevel="0" collapsed="false">
      <c r="A106" s="22" t="s">
        <v>467</v>
      </c>
      <c r="B106" s="65" t="n">
        <f aca="false">Other_info!$B$19</f>
        <v>20.2</v>
      </c>
    </row>
    <row r="107" customFormat="false" ht="15" hidden="true" customHeight="false" outlineLevel="0" collapsed="false">
      <c r="A107" s="22" t="s">
        <v>468</v>
      </c>
      <c r="B107" s="65" t="n">
        <f aca="false">Other_info!$C$19</f>
        <v>2.3</v>
      </c>
    </row>
    <row r="108" customFormat="false" ht="15" hidden="true" customHeight="false" outlineLevel="0" collapsed="false">
      <c r="A108" s="22" t="s">
        <v>469</v>
      </c>
      <c r="B108" s="65" t="s">
        <v>470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23" t="s">
        <v>471</v>
      </c>
    </row>
    <row r="3" customFormat="false" ht="15" hidden="false" customHeight="false" outlineLevel="0" collapsed="false">
      <c r="A3" s="15" t="s">
        <v>112</v>
      </c>
      <c r="B3" s="15" t="s">
        <v>472</v>
      </c>
      <c r="C3" s="15" t="s">
        <v>473</v>
      </c>
      <c r="D3" s="15" t="s">
        <v>474</v>
      </c>
      <c r="E3" s="15" t="s">
        <v>113</v>
      </c>
      <c r="F3" s="15" t="s">
        <v>114</v>
      </c>
    </row>
    <row r="4" customFormat="false" ht="15" hidden="false" customHeight="false" outlineLevel="0" collapsed="false">
      <c r="A4" s="54" t="s">
        <v>115</v>
      </c>
      <c r="B4" s="50" t="n">
        <f aca="false">SUM(2_Daily_input!$D$78:$FQ$78)</f>
        <v>0</v>
      </c>
      <c r="C4" s="50" t="n">
        <f aca="false">SUM(2_Daily_input!$D$93:$FQ$93)</f>
        <v>15</v>
      </c>
      <c r="D4" s="50" t="n">
        <f aca="false">SUM(2_Daily_input!$D$114:$FQ$114)</f>
        <v>15</v>
      </c>
      <c r="E4" s="50" t="n">
        <f aca="false">1_Settings!$C$48</f>
        <v>0.46</v>
      </c>
      <c r="F4" s="50" t="n">
        <f aca="false">1_Settings!$D$48</f>
        <v>0</v>
      </c>
    </row>
    <row r="5" customFormat="false" ht="15" hidden="false" customHeight="false" outlineLevel="0" collapsed="false">
      <c r="A5" s="54" t="s">
        <v>116</v>
      </c>
      <c r="B5" s="50" t="n">
        <f aca="false">SUM(2_Daily_input!$D$79:$FQ$79)</f>
        <v>0</v>
      </c>
      <c r="C5" s="50" t="n">
        <f aca="false">SUM(2_Daily_input!$D$94:$FQ$94)</f>
        <v>4</v>
      </c>
      <c r="D5" s="50" t="n">
        <f aca="false">SUM(2_Daily_input!$D$115:$FQ$115)</f>
        <v>4</v>
      </c>
      <c r="E5" s="50" t="n">
        <f aca="false">1_Settings!$C$49</f>
        <v>0</v>
      </c>
      <c r="F5" s="50" t="n">
        <f aca="false">1_Settings!$D$49</f>
        <v>0.2</v>
      </c>
    </row>
    <row r="6" customFormat="false" ht="15" hidden="false" customHeight="false" outlineLevel="0" collapsed="false">
      <c r="A6" s="54" t="s">
        <v>117</v>
      </c>
      <c r="B6" s="50" t="n">
        <f aca="false">SUM(2_Daily_input!$D$80:$FQ$80)</f>
        <v>0</v>
      </c>
      <c r="C6" s="50" t="n">
        <f aca="false">SUM(2_Daily_input!$D$95:$FQ$95)</f>
        <v>0</v>
      </c>
      <c r="D6" s="50" t="n">
        <f aca="false">SUM(2_Daily_input!$D$116:$FQ$116)</f>
        <v>0</v>
      </c>
      <c r="E6" s="50" t="n">
        <f aca="false">1_Settings!$C$50</f>
        <v>0.18</v>
      </c>
      <c r="F6" s="50" t="n">
        <f aca="false">1_Settings!$D$50</f>
        <v>0.2</v>
      </c>
    </row>
    <row r="7" customFormat="false" ht="15" hidden="false" customHeight="false" outlineLevel="0" collapsed="false">
      <c r="A7" s="54" t="s">
        <v>118</v>
      </c>
      <c r="B7" s="50" t="n">
        <f aca="false">SUM(2_Daily_input!$D$81:$FQ$81)</f>
        <v>0</v>
      </c>
      <c r="C7" s="50" t="n">
        <f aca="false">SUM(2_Daily_input!$D$96:$FQ$96)</f>
        <v>2</v>
      </c>
      <c r="D7" s="50" t="n">
        <f aca="false">SUM(2_Daily_input!$D$117:$FQ$117)</f>
        <v>2</v>
      </c>
      <c r="E7" s="50" t="n">
        <f aca="false">1_Settings!$C$51</f>
        <v>0</v>
      </c>
      <c r="F7" s="50" t="n">
        <f aca="false">1_Settings!$D$51</f>
        <v>0</v>
      </c>
    </row>
    <row r="8" customFormat="false" ht="15" hidden="false" customHeight="false" outlineLevel="0" collapsed="false">
      <c r="A8" s="54" t="s">
        <v>119</v>
      </c>
      <c r="B8" s="50" t="n">
        <f aca="false">SUM(2_Daily_input!$D$82:$FQ$82)</f>
        <v>0</v>
      </c>
      <c r="C8" s="50" t="n">
        <f aca="false">SUM(2_Daily_input!$D$97:$FQ$97)</f>
        <v>5</v>
      </c>
      <c r="D8" s="50" t="n">
        <f aca="false">SUM(2_Daily_input!$D$118:$FQ$118)</f>
        <v>5</v>
      </c>
      <c r="E8" s="50" t="n">
        <f aca="false">1_Settings!$C$52</f>
        <v>0</v>
      </c>
      <c r="F8" s="50" t="n">
        <f aca="false">1_Settings!$D$52</f>
        <v>0</v>
      </c>
    </row>
    <row r="9" customFormat="false" ht="15" hidden="false" customHeight="false" outlineLevel="0" collapsed="false">
      <c r="A9" s="54" t="s">
        <v>120</v>
      </c>
      <c r="B9" s="50" t="n">
        <f aca="false">SUM(2_Daily_input!$D$83:$FQ$83)</f>
        <v>0</v>
      </c>
      <c r="C9" s="50" t="n">
        <f aca="false">SUM(2_Daily_input!$D$98:$FQ$98)</f>
        <v>0</v>
      </c>
      <c r="D9" s="50" t="n">
        <f aca="false">SUM(2_Daily_input!$D$119:$FQ$119)</f>
        <v>0</v>
      </c>
      <c r="E9" s="50" t="n">
        <f aca="false">1_Settings!$C$53</f>
        <v>0</v>
      </c>
      <c r="F9" s="50" t="n">
        <f aca="false">1_Settings!$D$53</f>
        <v>0</v>
      </c>
    </row>
    <row r="10" customFormat="false" ht="15" hidden="false" customHeight="false" outlineLevel="0" collapsed="false">
      <c r="A10" s="54" t="s">
        <v>121</v>
      </c>
      <c r="B10" s="50" t="n">
        <f aca="false">SUM(2_Daily_input!$D$84:$FQ$84)</f>
        <v>0</v>
      </c>
      <c r="C10" s="50" t="n">
        <f aca="false">SUM(2_Daily_input!$D$99:$FQ$99)</f>
        <v>0</v>
      </c>
      <c r="D10" s="50" t="n">
        <f aca="false">SUM(2_Daily_input!$D$120:$FQ$120)</f>
        <v>0</v>
      </c>
      <c r="E10" s="50" t="n">
        <f aca="false">1_Settings!$C$54</f>
        <v>0</v>
      </c>
      <c r="F10" s="50" t="n">
        <f aca="false">1_Settings!$D$54</f>
        <v>0</v>
      </c>
    </row>
    <row r="11" customFormat="false" ht="15" hidden="false" customHeight="false" outlineLevel="0" collapsed="false">
      <c r="A11" s="54" t="s">
        <v>122</v>
      </c>
      <c r="B11" s="50" t="n">
        <f aca="false">SUM(2_Daily_input!$D$85:$FQ$85)</f>
        <v>0</v>
      </c>
      <c r="C11" s="50" t="n">
        <f aca="false">SUM(2_Daily_input!$D$100:$FQ$100)</f>
        <v>0</v>
      </c>
      <c r="D11" s="50" t="n">
        <f aca="false">SUM(2_Daily_input!$D$121:$FQ$121)</f>
        <v>0</v>
      </c>
      <c r="E11" s="50" t="n">
        <f aca="false">1_Settings!$C$55</f>
        <v>0</v>
      </c>
      <c r="F11" s="50" t="n">
        <f aca="false">1_Settings!$D$55</f>
        <v>0</v>
      </c>
    </row>
    <row r="12" customFormat="false" ht="15" hidden="false" customHeight="false" outlineLevel="0" collapsed="false">
      <c r="A12" s="54" t="s">
        <v>123</v>
      </c>
      <c r="B12" s="50"/>
      <c r="C12" s="50" t="n">
        <f aca="false">SUM(2_Daily_input!$D$101:$FQ$101)</f>
        <v>0</v>
      </c>
      <c r="D12" s="50" t="n">
        <f aca="false">SUM(2_Daily_input!$D$122:$FQ$122)</f>
        <v>0</v>
      </c>
      <c r="E12" s="50" t="n">
        <f aca="false">1_Settings!$C$56</f>
        <v>0</v>
      </c>
      <c r="F12" s="50" t="n">
        <f aca="false">1_Settings!$D$56</f>
        <v>0</v>
      </c>
    </row>
    <row r="13" customFormat="false" ht="15" hidden="false" customHeight="false" outlineLevel="0" collapsed="false">
      <c r="A13" s="54" t="s">
        <v>124</v>
      </c>
      <c r="B13" s="50" t="n">
        <f aca="false">SUM(2_Daily_input!$D$86:$FQ$86)</f>
        <v>0</v>
      </c>
      <c r="C13" s="50" t="n">
        <f aca="false">SUM(2_Daily_input!$D$102:$FQ$102)</f>
        <v>0</v>
      </c>
      <c r="D13" s="50" t="n">
        <f aca="false">SUM(2_Daily_input!$D$123:$FQ$123)</f>
        <v>0</v>
      </c>
      <c r="E13" s="50" t="n">
        <f aca="false">1_Settings!$C$57</f>
        <v>0</v>
      </c>
      <c r="F13" s="50" t="n">
        <f aca="false">1_Settings!$D$57</f>
        <v>0</v>
      </c>
    </row>
    <row r="14" customFormat="false" ht="15" hidden="false" customHeight="false" outlineLevel="0" collapsed="false">
      <c r="A14" s="54" t="s">
        <v>125</v>
      </c>
      <c r="B14" s="50"/>
      <c r="C14" s="50" t="n">
        <f aca="false">SUM(2_Daily_input!$D$103:$FQ$103)</f>
        <v>0</v>
      </c>
      <c r="D14" s="50" t="n">
        <f aca="false">SUM(2_Daily_input!$D$124:$FQ$124)</f>
        <v>0</v>
      </c>
      <c r="E14" s="50" t="n">
        <f aca="false">1_Settings!$C$58</f>
        <v>0</v>
      </c>
      <c r="F14" s="50" t="n">
        <f aca="false">1_Settings!$D$58</f>
        <v>0</v>
      </c>
    </row>
    <row r="15" customFormat="false" ht="15" hidden="false" customHeight="false" outlineLevel="0" collapsed="false">
      <c r="A15" s="54" t="s">
        <v>126</v>
      </c>
      <c r="B15" s="50"/>
      <c r="C15" s="50" t="n">
        <f aca="false">SUM(2_Daily_input!$D$104:$FQ$104)</f>
        <v>0</v>
      </c>
      <c r="D15" s="50" t="n">
        <f aca="false">SUM(2_Daily_input!$D$125:$FQ$125)</f>
        <v>0</v>
      </c>
      <c r="E15" s="50" t="n">
        <f aca="false">1_Settings!$C$59</f>
        <v>0</v>
      </c>
      <c r="F15" s="50" t="n">
        <f aca="false">1_Settings!$D$59</f>
        <v>0</v>
      </c>
    </row>
    <row r="17" customFormat="false" ht="23.85" hidden="false" customHeight="false" outlineLevel="0" collapsed="false">
      <c r="A17" s="15" t="s">
        <v>475</v>
      </c>
      <c r="B17" s="15" t="s">
        <v>476</v>
      </c>
      <c r="C17" s="15" t="s">
        <v>477</v>
      </c>
      <c r="D17" s="15" t="s">
        <v>478</v>
      </c>
      <c r="E17" s="15" t="s">
        <v>479</v>
      </c>
    </row>
    <row r="18" customFormat="false" ht="15" hidden="false" customHeight="false" outlineLevel="0" collapsed="false">
      <c r="A18" s="17" t="s">
        <v>328</v>
      </c>
      <c r="B18" s="48" t="n">
        <f aca="false">IF(ISNUMBER(FP_m2),ROUND(SUMPRODUCT(C4:C15,$E$4:$E$15)*1000/FP_m2,1),"")</f>
        <v>20.2</v>
      </c>
      <c r="C18" s="48" t="n">
        <f aca="false">IF(ISNUMBER(FP_m2),ROUND(SUMPRODUCT(C4:C15,$F$4:$F$15)*1000/FP_m2,1),"")</f>
        <v>2.3</v>
      </c>
      <c r="D18" s="50" t="n">
        <f aca="false">COUNTIF(2_Daily_input!$D$105:$FQ$105,"?*")</f>
        <v>2</v>
      </c>
      <c r="E18" s="50" t="n">
        <f aca="false">SUMPRODUCT(2_Daily_input!$D$108:$FQ$108,2_Daily_input!$D$109:$FQ$109)</f>
        <v>0</v>
      </c>
    </row>
    <row r="19" customFormat="false" ht="15" hidden="false" customHeight="false" outlineLevel="0" collapsed="false">
      <c r="A19" s="20" t="s">
        <v>83</v>
      </c>
      <c r="B19" s="48" t="n">
        <f aca="false">IF(ISNUMBER(MD_m2),ROUND(SUMPRODUCT(D4:D15,$E$4:$E$15)*1000/MD_m2,1),"")</f>
        <v>20.2</v>
      </c>
      <c r="C19" s="48" t="n">
        <f aca="false">IF(ISNUMBER(MD_m2),ROUND(SUMPRODUCT(D4:D15,$F$4:$F$15)*1000/MD_m2,1),"")</f>
        <v>2.3</v>
      </c>
      <c r="D19" s="50" t="n">
        <f aca="false">COUNTIF(2_Daily_input!$D$126:$FQ$126,"?*")</f>
        <v>1</v>
      </c>
      <c r="E19" s="50" t="n">
        <f aca="false">SUMPRODUCT(2_Daily_input!$D$129:$FQ$129,2_Daily_input!$D$130:$FQ$130)</f>
        <v>0</v>
      </c>
    </row>
    <row r="21" customFormat="false" ht="15" hidden="false" customHeight="false" outlineLevel="0" collapsed="false">
      <c r="A21" s="22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15" hidden="false" customHeight="false" outlineLevel="0" collapsed="false">
      <c r="A1" s="23" t="s">
        <v>481</v>
      </c>
    </row>
    <row r="3" customFormat="false" ht="15" hidden="false" customHeight="false" outlineLevel="0" collapsed="false">
      <c r="B3" s="24" t="s">
        <v>482</v>
      </c>
      <c r="C3" s="24" t="s">
        <v>483</v>
      </c>
    </row>
    <row r="4" customFormat="false" ht="15" hidden="false" customHeight="false" outlineLevel="0" collapsed="false">
      <c r="B4" s="21" t="s">
        <v>484</v>
      </c>
      <c r="C4" s="18" t="n">
        <v>50</v>
      </c>
    </row>
    <row r="5" customFormat="false" ht="15" hidden="false" customHeight="false" outlineLevel="0" collapsed="false">
      <c r="B5" s="21" t="s">
        <v>485</v>
      </c>
      <c r="C5" s="18" t="n">
        <v>13</v>
      </c>
    </row>
    <row r="6" customFormat="false" ht="15" hidden="false" customHeight="false" outlineLevel="0" collapsed="false">
      <c r="B6" s="21" t="s">
        <v>486</v>
      </c>
      <c r="C6" s="18" t="n">
        <v>5</v>
      </c>
    </row>
    <row r="7" customFormat="false" ht="15" hidden="false" customHeight="false" outlineLevel="0" collapsed="false">
      <c r="B7" s="21" t="s">
        <v>487</v>
      </c>
      <c r="C7" s="18" t="n">
        <v>29.5</v>
      </c>
    </row>
    <row r="8" customFormat="false" ht="15" hidden="false" customHeight="false" outlineLevel="0" collapsed="false">
      <c r="B8" s="21" t="s">
        <v>488</v>
      </c>
      <c r="C8" s="18" t="n">
        <v>45</v>
      </c>
    </row>
    <row r="9" customFormat="false" ht="15" hidden="false" customHeight="false" outlineLevel="0" collapsed="false">
      <c r="B9" s="54" t="s">
        <v>489</v>
      </c>
      <c r="C9" s="48" t="n">
        <f aca="false">C7-C8+C5</f>
        <v>-2.5</v>
      </c>
    </row>
    <row r="11" customFormat="false" ht="31.5" hidden="false" customHeight="true" outlineLevel="0" collapsed="false">
      <c r="B11" s="66" t="s">
        <v>490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customFormat="false" ht="31.5" hidden="false" customHeight="true" outlineLevel="0" collapsed="false">
      <c r="B12" s="66" t="s">
        <v>491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customFormat="false" ht="31.5" hidden="false" customHeight="true" outlineLevel="0" collapsed="false">
      <c r="B13" s="66" t="s">
        <v>492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customFormat="false" ht="31.5" hidden="false" customHeight="true" outlineLevel="0" collapsed="false">
      <c r="B14" s="66" t="s">
        <v>493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7.15" hidden="false" customHeight="false" outlineLevel="0" collapsed="false">
      <c r="A1" s="23" t="s">
        <v>494</v>
      </c>
    </row>
    <row r="2" customFormat="false" ht="15" hidden="false" customHeight="false" outlineLevel="0" collapsed="false">
      <c r="A2" s="15" t="s">
        <v>495</v>
      </c>
      <c r="B2" s="15" t="s">
        <v>496</v>
      </c>
      <c r="C2" s="15" t="s">
        <v>497</v>
      </c>
      <c r="D2" s="15" t="s">
        <v>498</v>
      </c>
      <c r="E2" s="15" t="s">
        <v>499</v>
      </c>
      <c r="F2" s="15" t="s">
        <v>500</v>
      </c>
      <c r="G2" s="15" t="s">
        <v>501</v>
      </c>
      <c r="H2" s="15" t="s">
        <v>349</v>
      </c>
      <c r="I2" s="15" t="s">
        <v>502</v>
      </c>
      <c r="J2" s="15" t="s">
        <v>503</v>
      </c>
    </row>
    <row r="3" customFormat="false" ht="15" hidden="false" customHeight="false" outlineLevel="0" collapsed="false">
      <c r="A3" s="18" t="s">
        <v>504</v>
      </c>
      <c r="B3" s="18" t="s">
        <v>505</v>
      </c>
      <c r="C3" s="18" t="s">
        <v>506</v>
      </c>
      <c r="D3" s="18" t="s">
        <v>175</v>
      </c>
      <c r="E3" s="18" t="s">
        <v>179</v>
      </c>
      <c r="F3" s="18" t="s">
        <v>212</v>
      </c>
      <c r="G3" s="18" t="s">
        <v>255</v>
      </c>
      <c r="H3" s="18" t="s">
        <v>328</v>
      </c>
      <c r="I3" s="18" t="s">
        <v>212</v>
      </c>
      <c r="J3" s="18" t="s">
        <v>212</v>
      </c>
    </row>
    <row r="4" customFormat="false" ht="15" hidden="false" customHeight="false" outlineLevel="0" collapsed="false">
      <c r="A4" s="18" t="s">
        <v>507</v>
      </c>
      <c r="B4" s="18" t="s">
        <v>508</v>
      </c>
      <c r="C4" s="18" t="s">
        <v>509</v>
      </c>
      <c r="D4" s="18" t="s">
        <v>510</v>
      </c>
      <c r="E4" s="18" t="s">
        <v>511</v>
      </c>
      <c r="F4" s="18" t="s">
        <v>224</v>
      </c>
      <c r="G4" s="18" t="s">
        <v>256</v>
      </c>
      <c r="H4" s="18" t="s">
        <v>83</v>
      </c>
      <c r="I4" s="18" t="s">
        <v>213</v>
      </c>
      <c r="J4" s="18" t="s">
        <v>213</v>
      </c>
    </row>
    <row r="5" customFormat="false" ht="15" hidden="false" customHeight="false" outlineLevel="0" collapsed="false">
      <c r="A5" s="18" t="s">
        <v>512</v>
      </c>
      <c r="B5" s="18" t="s">
        <v>513</v>
      </c>
      <c r="C5" s="18" t="s">
        <v>514</v>
      </c>
      <c r="D5" s="18" t="s">
        <v>515</v>
      </c>
      <c r="E5" s="18" t="s">
        <v>516</v>
      </c>
      <c r="F5" s="18" t="s">
        <v>517</v>
      </c>
      <c r="G5" s="18" t="s">
        <v>518</v>
      </c>
      <c r="H5" s="18" t="s">
        <v>406</v>
      </c>
      <c r="I5" s="18" t="s">
        <v>362</v>
      </c>
      <c r="J5" s="18" t="s">
        <v>362</v>
      </c>
    </row>
    <row r="6" customFormat="false" ht="15" hidden="false" customHeight="false" outlineLevel="0" collapsed="false">
      <c r="A6" s="18" t="s">
        <v>519</v>
      </c>
      <c r="B6" s="18" t="s">
        <v>520</v>
      </c>
      <c r="C6" s="18" t="s">
        <v>521</v>
      </c>
      <c r="D6" s="18"/>
      <c r="E6" s="18" t="s">
        <v>522</v>
      </c>
      <c r="F6" s="18" t="s">
        <v>523</v>
      </c>
      <c r="G6" s="18" t="s">
        <v>524</v>
      </c>
      <c r="H6" s="18"/>
      <c r="I6" s="18" t="s">
        <v>364</v>
      </c>
      <c r="J6" s="18" t="s">
        <v>364</v>
      </c>
    </row>
    <row r="7" customFormat="false" ht="15" hidden="false" customHeight="false" outlineLevel="0" collapsed="false">
      <c r="A7" s="18" t="s">
        <v>525</v>
      </c>
      <c r="B7" s="18" t="s">
        <v>526</v>
      </c>
      <c r="C7" s="18"/>
      <c r="D7" s="18"/>
      <c r="E7" s="18" t="s">
        <v>527</v>
      </c>
      <c r="F7" s="18" t="s">
        <v>179</v>
      </c>
      <c r="G7" s="18"/>
      <c r="H7" s="18"/>
      <c r="I7" s="18" t="s">
        <v>214</v>
      </c>
      <c r="J7" s="18" t="s">
        <v>214</v>
      </c>
    </row>
    <row r="8" customFormat="false" ht="15" hidden="false" customHeight="false" outlineLevel="0" collapsed="false">
      <c r="A8" s="18" t="s">
        <v>528</v>
      </c>
      <c r="B8" s="18" t="s">
        <v>529</v>
      </c>
      <c r="C8" s="18"/>
      <c r="D8" s="18"/>
      <c r="E8" s="18" t="s">
        <v>530</v>
      </c>
      <c r="F8" s="18" t="s">
        <v>112</v>
      </c>
      <c r="G8" s="18"/>
      <c r="H8" s="18"/>
      <c r="I8" s="18" t="s">
        <v>367</v>
      </c>
      <c r="J8" s="18" t="s">
        <v>367</v>
      </c>
    </row>
    <row r="9" customFormat="false" ht="15" hidden="false" customHeight="false" outlineLevel="0" collapsed="false">
      <c r="A9" s="18" t="s">
        <v>531</v>
      </c>
      <c r="B9" s="18" t="s">
        <v>532</v>
      </c>
      <c r="C9" s="18"/>
      <c r="D9" s="18"/>
      <c r="E9" s="18" t="s">
        <v>533</v>
      </c>
      <c r="F9" s="18" t="s">
        <v>241</v>
      </c>
      <c r="G9" s="18"/>
      <c r="H9" s="18"/>
      <c r="I9" s="18" t="s">
        <v>534</v>
      </c>
      <c r="J9" s="18" t="s">
        <v>534</v>
      </c>
    </row>
    <row r="10" customFormat="false" ht="15" hidden="false" customHeight="false" outlineLevel="0" collapsed="false">
      <c r="A10" s="18" t="s">
        <v>521</v>
      </c>
      <c r="B10" s="18" t="s">
        <v>535</v>
      </c>
      <c r="C10" s="18"/>
      <c r="D10" s="18"/>
      <c r="E10" s="18" t="s">
        <v>362</v>
      </c>
      <c r="F10" s="18" t="s">
        <v>362</v>
      </c>
      <c r="G10" s="18"/>
      <c r="H10" s="18"/>
      <c r="I10" s="18" t="s">
        <v>536</v>
      </c>
      <c r="J10" s="18" t="s">
        <v>536</v>
      </c>
    </row>
    <row r="11" customFormat="false" ht="15" hidden="false" customHeight="false" outlineLevel="0" collapsed="false">
      <c r="A11" s="18"/>
      <c r="B11" s="18" t="s">
        <v>537</v>
      </c>
      <c r="C11" s="18"/>
      <c r="D11" s="18"/>
      <c r="E11" s="18" t="s">
        <v>538</v>
      </c>
      <c r="F11" s="18" t="s">
        <v>364</v>
      </c>
      <c r="G11" s="18"/>
      <c r="H11" s="18"/>
      <c r="I11" s="18" t="s">
        <v>371</v>
      </c>
      <c r="J11" s="18" t="s">
        <v>400</v>
      </c>
    </row>
    <row r="12" customFormat="false" ht="15" hidden="false" customHeight="false" outlineLevel="0" collapsed="false">
      <c r="A12" s="18"/>
      <c r="B12" s="18" t="s">
        <v>539</v>
      </c>
      <c r="C12" s="18"/>
      <c r="D12" s="18"/>
      <c r="E12" s="18" t="s">
        <v>540</v>
      </c>
      <c r="F12" s="18" t="s">
        <v>214</v>
      </c>
      <c r="G12" s="18"/>
      <c r="H12" s="18"/>
      <c r="I12" s="18" t="s">
        <v>541</v>
      </c>
      <c r="J12" s="18" t="s">
        <v>385</v>
      </c>
    </row>
    <row r="13" customFormat="false" ht="15" hidden="false" customHeight="false" outlineLevel="0" collapsed="false">
      <c r="A13" s="18"/>
      <c r="B13" s="18" t="s">
        <v>542</v>
      </c>
      <c r="C13" s="18"/>
      <c r="D13" s="18"/>
      <c r="E13" s="18" t="s">
        <v>543</v>
      </c>
      <c r="F13" s="18" t="s">
        <v>511</v>
      </c>
      <c r="G13" s="18"/>
      <c r="H13" s="18"/>
      <c r="I13" s="18" t="s">
        <v>544</v>
      </c>
      <c r="J13" s="18" t="s">
        <v>394</v>
      </c>
    </row>
    <row r="14" customFormat="false" ht="15" hidden="false" customHeight="false" outlineLevel="0" collapsed="false">
      <c r="A14" s="18"/>
      <c r="B14" s="18" t="s">
        <v>545</v>
      </c>
      <c r="C14" s="18"/>
      <c r="D14" s="18"/>
      <c r="E14" s="18" t="s">
        <v>546</v>
      </c>
      <c r="F14" s="18" t="s">
        <v>521</v>
      </c>
      <c r="G14" s="18"/>
      <c r="H14" s="18"/>
      <c r="I14" s="18" t="s">
        <v>547</v>
      </c>
      <c r="J14" s="18" t="s">
        <v>396</v>
      </c>
    </row>
    <row r="15" customFormat="false" ht="15" hidden="false" customHeight="false" outlineLevel="0" collapsed="false">
      <c r="A15" s="18"/>
      <c r="B15" s="18" t="s">
        <v>548</v>
      </c>
      <c r="C15" s="18"/>
      <c r="D15" s="18"/>
      <c r="E15" s="18" t="s">
        <v>549</v>
      </c>
      <c r="F15" s="18"/>
      <c r="G15" s="18"/>
      <c r="H15" s="18"/>
      <c r="I15" s="18" t="s">
        <v>550</v>
      </c>
      <c r="J15" s="18"/>
    </row>
    <row r="16" customFormat="false" ht="15" hidden="false" customHeight="false" outlineLevel="0" collapsed="false">
      <c r="A16" s="18"/>
      <c r="B16" s="18" t="s">
        <v>521</v>
      </c>
      <c r="C16" s="18"/>
      <c r="D16" s="18"/>
      <c r="E16" s="18" t="s">
        <v>551</v>
      </c>
      <c r="F16" s="18"/>
      <c r="G16" s="18"/>
      <c r="H16" s="18"/>
      <c r="I16" s="18" t="s">
        <v>552</v>
      </c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 t="s">
        <v>553</v>
      </c>
      <c r="F17" s="18"/>
      <c r="G17" s="18"/>
      <c r="H17" s="18"/>
      <c r="I17" s="18" t="s">
        <v>554</v>
      </c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 t="s">
        <v>521</v>
      </c>
      <c r="F18" s="18"/>
      <c r="G18" s="18"/>
      <c r="H18" s="18"/>
      <c r="I18" s="18" t="s">
        <v>555</v>
      </c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 t="s">
        <v>556</v>
      </c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 t="s">
        <v>557</v>
      </c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 t="s">
        <v>215</v>
      </c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 t="s">
        <v>216</v>
      </c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 t="s">
        <v>217</v>
      </c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 t="s">
        <v>385</v>
      </c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 t="s">
        <v>394</v>
      </c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 t="s">
        <v>396</v>
      </c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7" t="s">
        <v>558</v>
      </c>
      <c r="B1" s="67" t="s">
        <v>559</v>
      </c>
      <c r="C1" s="67" t="s">
        <v>560</v>
      </c>
      <c r="D1" s="67" t="s">
        <v>561</v>
      </c>
      <c r="E1" s="67" t="s">
        <v>562</v>
      </c>
      <c r="F1" s="67" t="s">
        <v>563</v>
      </c>
      <c r="G1" s="67" t="s">
        <v>564</v>
      </c>
      <c r="H1" s="67" t="s">
        <v>565</v>
      </c>
      <c r="I1" s="67" t="s">
        <v>566</v>
      </c>
      <c r="J1" s="67" t="s">
        <v>567</v>
      </c>
      <c r="K1" s="67" t="s">
        <v>568</v>
      </c>
      <c r="L1" s="67" t="s">
        <v>569</v>
      </c>
      <c r="M1" s="67" t="s">
        <v>570</v>
      </c>
      <c r="N1" s="67" t="s">
        <v>571</v>
      </c>
      <c r="O1" s="67" t="s">
        <v>572</v>
      </c>
      <c r="P1" s="67" t="s">
        <v>573</v>
      </c>
      <c r="Q1" s="67" t="s">
        <v>574</v>
      </c>
      <c r="R1" s="67" t="s">
        <v>575</v>
      </c>
      <c r="T1" s="67" t="s">
        <v>576</v>
      </c>
      <c r="U1" s="67" t="s">
        <v>577</v>
      </c>
      <c r="W1" s="68" t="s">
        <v>578</v>
      </c>
    </row>
    <row r="2" customFormat="false" ht="15" hidden="false" customHeight="false" outlineLevel="0" collapsed="false">
      <c r="A2" s="69" t="str">
        <f aca="false">IF(Data_Farmer!D85="","",""&amp;Data_Farmer!D85)</f>
        <v>45986</v>
      </c>
      <c r="B2" s="69" t="str">
        <f aca="false">IF(Data_Farmer!D8="","",""&amp;Data_Farmer!D8)</f>
        <v/>
      </c>
      <c r="C2" s="69" t="str">
        <f aca="false">IF(Data_Farmer!D12="","",""&amp;Data_Farmer!D12)</f>
        <v/>
      </c>
      <c r="D2" s="69" t="str">
        <f aca="false">IF(Data_Farmer!D13="","",""&amp;Data_Farmer!D13)</f>
        <v/>
      </c>
      <c r="E2" s="69" t="str">
        <f aca="false">IF(Data_Farmer!D21="","",""&amp;Data_Farmer!D21)</f>
        <v/>
      </c>
      <c r="F2" s="69" t="str">
        <f aca="false">IF(Data_Farmer!D22="","",""&amp;Data_Farmer!D22)</f>
        <v/>
      </c>
      <c r="G2" s="69" t="str">
        <f aca="false">IF(Data_Farmer!D23="","",""&amp;Data_Farmer!D23)</f>
        <v/>
      </c>
      <c r="H2" s="69" t="str">
        <f aca="false">IF(Data_Farmer!D66="","",""&amp;Data_Farmer!D66)</f>
        <v/>
      </c>
      <c r="I2" s="69" t="str">
        <f aca="false">IF(Data_Farmer!D26="","",""&amp;Data_Farmer!D26)</f>
        <v/>
      </c>
      <c r="J2" s="69" t="str">
        <f aca="false">IF(Data_Farmer!D28="","",""&amp;Data_Farmer!D28)</f>
        <v/>
      </c>
      <c r="K2" s="69" t="str">
        <f aca="false">IF(Data_Farmer!D37="","",""&amp;Data_Farmer!D37)</f>
        <v/>
      </c>
      <c r="L2" s="69" t="str">
        <f aca="false">IF(Data_Farmer!D38="","",""&amp;Data_Farmer!D38)</f>
        <v/>
      </c>
      <c r="M2" s="69" t="str">
        <f aca="false">IF(Data_Farmer!D46="","",""&amp;Data_Farmer!D46)</f>
        <v/>
      </c>
      <c r="N2" s="69" t="str">
        <f aca="false">IF(Data_Farmer!D47="","",""&amp;Data_Farmer!D47)</f>
        <v/>
      </c>
      <c r="O2" s="69" t="str">
        <f aca="false">IF(Data_Farmer!D48="","",""&amp;Data_Farmer!D48)</f>
        <v/>
      </c>
      <c r="P2" s="69" t="str">
        <f aca="false">IF(Data_Farmer!D73="","",""&amp;Data_Farmer!D73)</f>
        <v/>
      </c>
      <c r="Q2" s="69" t="str">
        <f aca="false">IF(Data_Farmer!D51="","",""&amp;Data_Farmer!D51)</f>
        <v/>
      </c>
      <c r="R2" s="69" t="str">
        <f aca="false">IF(Data_Farmer!D53="","",""&amp;Data_Farmer!D53)</f>
        <v/>
      </c>
      <c r="T2" s="69" t="s">
        <v>579</v>
      </c>
      <c r="U2" s="69" t="str">
        <f aca="false">""&amp;Data_Farmer!B87</f>
        <v>Demo Site-03</v>
      </c>
    </row>
    <row r="3" customFormat="false" ht="15" hidden="false" customHeight="false" outlineLevel="0" collapsed="false">
      <c r="A3" s="69" t="str">
        <f aca="false">IF(Data_Farmer!E85="","",""&amp;Data_Farmer!E85)</f>
        <v>45987</v>
      </c>
      <c r="B3" s="69" t="str">
        <f aca="false">IF(Data_Farmer!E8="","",""&amp;Data_Farmer!E8)</f>
        <v/>
      </c>
      <c r="C3" s="69" t="str">
        <f aca="false">IF(Data_Farmer!E12="","",""&amp;Data_Farmer!E12)</f>
        <v/>
      </c>
      <c r="D3" s="69" t="str">
        <f aca="false">IF(Data_Farmer!E13="","",""&amp;Data_Farmer!E13)</f>
        <v/>
      </c>
      <c r="E3" s="69" t="str">
        <f aca="false">IF(Data_Farmer!E21="","",""&amp;Data_Farmer!E21)</f>
        <v/>
      </c>
      <c r="F3" s="69" t="str">
        <f aca="false">IF(Data_Farmer!E22="","",""&amp;Data_Farmer!E22)</f>
        <v/>
      </c>
      <c r="G3" s="69" t="str">
        <f aca="false">IF(Data_Farmer!E23="","",""&amp;Data_Farmer!E23)</f>
        <v/>
      </c>
      <c r="H3" s="69" t="str">
        <f aca="false">IF(Data_Farmer!E66="","",""&amp;Data_Farmer!E66)</f>
        <v/>
      </c>
      <c r="I3" s="69" t="str">
        <f aca="false">IF(Data_Farmer!E26="","",""&amp;Data_Farmer!E26)</f>
        <v/>
      </c>
      <c r="J3" s="69" t="str">
        <f aca="false">IF(Data_Farmer!E28="","",""&amp;Data_Farmer!E28)</f>
        <v/>
      </c>
      <c r="K3" s="69" t="str">
        <f aca="false">IF(Data_Farmer!E37="","",""&amp;Data_Farmer!E37)</f>
        <v/>
      </c>
      <c r="L3" s="69" t="str">
        <f aca="false">IF(Data_Farmer!E38="","",""&amp;Data_Farmer!E38)</f>
        <v/>
      </c>
      <c r="M3" s="69" t="str">
        <f aca="false">IF(Data_Farmer!E46="","",""&amp;Data_Farmer!E46)</f>
        <v/>
      </c>
      <c r="N3" s="69" t="str">
        <f aca="false">IF(Data_Farmer!E47="","",""&amp;Data_Farmer!E47)</f>
        <v/>
      </c>
      <c r="O3" s="69" t="str">
        <f aca="false">IF(Data_Farmer!E48="","",""&amp;Data_Farmer!E48)</f>
        <v/>
      </c>
      <c r="P3" s="69" t="str">
        <f aca="false">IF(Data_Farmer!E73="","",""&amp;Data_Farmer!E73)</f>
        <v/>
      </c>
      <c r="Q3" s="69" t="str">
        <f aca="false">IF(Data_Farmer!E51="","",""&amp;Data_Farmer!E51)</f>
        <v/>
      </c>
      <c r="R3" s="69" t="str">
        <f aca="false">IF(Data_Farmer!E53="","",""&amp;Data_Farmer!E53)</f>
        <v/>
      </c>
      <c r="T3" s="69" t="s">
        <v>580</v>
      </c>
      <c r="U3" s="69" t="str">
        <f aca="false">""&amp;Data_Farmer!B88</f>
        <v>Pirganj, Rangpur</v>
      </c>
    </row>
    <row r="4" customFormat="false" ht="15" hidden="false" customHeight="false" outlineLevel="0" collapsed="false">
      <c r="A4" s="69" t="str">
        <f aca="false">IF(Data_Farmer!F85="","",""&amp;Data_Farmer!F85)</f>
        <v>45988</v>
      </c>
      <c r="B4" s="69" t="str">
        <f aca="false">IF(Data_Farmer!F8="","",""&amp;Data_Farmer!F8)</f>
        <v/>
      </c>
      <c r="C4" s="69" t="str">
        <f aca="false">IF(Data_Farmer!F12="","",""&amp;Data_Farmer!F12)</f>
        <v/>
      </c>
      <c r="D4" s="69" t="str">
        <f aca="false">IF(Data_Farmer!F13="","",""&amp;Data_Farmer!F13)</f>
        <v/>
      </c>
      <c r="E4" s="69" t="str">
        <f aca="false">IF(Data_Farmer!F21="","",""&amp;Data_Farmer!F21)</f>
        <v/>
      </c>
      <c r="F4" s="69" t="str">
        <f aca="false">IF(Data_Farmer!F22="","",""&amp;Data_Farmer!F22)</f>
        <v/>
      </c>
      <c r="G4" s="69" t="str">
        <f aca="false">IF(Data_Farmer!F23="","",""&amp;Data_Farmer!F23)</f>
        <v/>
      </c>
      <c r="H4" s="69" t="str">
        <f aca="false">IF(Data_Farmer!F66="","",""&amp;Data_Farmer!F66)</f>
        <v/>
      </c>
      <c r="I4" s="69" t="str">
        <f aca="false">IF(Data_Farmer!F26="","",""&amp;Data_Farmer!F26)</f>
        <v/>
      </c>
      <c r="J4" s="69" t="str">
        <f aca="false">IF(Data_Farmer!F28="","",""&amp;Data_Farmer!F28)</f>
        <v/>
      </c>
      <c r="K4" s="69" t="str">
        <f aca="false">IF(Data_Farmer!F37="","",""&amp;Data_Farmer!F37)</f>
        <v/>
      </c>
      <c r="L4" s="69" t="str">
        <f aca="false">IF(Data_Farmer!F38="","",""&amp;Data_Farmer!F38)</f>
        <v/>
      </c>
      <c r="M4" s="69" t="str">
        <f aca="false">IF(Data_Farmer!F46="","",""&amp;Data_Farmer!F46)</f>
        <v/>
      </c>
      <c r="N4" s="69" t="str">
        <f aca="false">IF(Data_Farmer!F47="","",""&amp;Data_Farmer!F47)</f>
        <v/>
      </c>
      <c r="O4" s="69" t="str">
        <f aca="false">IF(Data_Farmer!F48="","",""&amp;Data_Farmer!F48)</f>
        <v/>
      </c>
      <c r="P4" s="69" t="str">
        <f aca="false">IF(Data_Farmer!F73="","",""&amp;Data_Farmer!F73)</f>
        <v/>
      </c>
      <c r="Q4" s="69" t="str">
        <f aca="false">IF(Data_Farmer!F51="","",""&amp;Data_Farmer!F51)</f>
        <v/>
      </c>
      <c r="R4" s="69" t="str">
        <f aca="false">IF(Data_Farmer!F53="","",""&amp;Data_Farmer!F53)</f>
        <v/>
      </c>
      <c r="T4" s="69" t="s">
        <v>581</v>
      </c>
      <c r="U4" s="69" t="str">
        <f aca="false">""&amp;Data_Farmer!B89</f>
        <v>BRRI dhan58</v>
      </c>
    </row>
    <row r="5" customFormat="false" ht="15" hidden="false" customHeight="false" outlineLevel="0" collapsed="false">
      <c r="A5" s="69" t="str">
        <f aca="false">IF(Data_Farmer!G85="","",""&amp;Data_Farmer!G85)</f>
        <v>45989</v>
      </c>
      <c r="B5" s="69" t="str">
        <f aca="false">IF(Data_Farmer!G8="","",""&amp;Data_Farmer!G8)</f>
        <v/>
      </c>
      <c r="C5" s="69" t="str">
        <f aca="false">IF(Data_Farmer!G12="","",""&amp;Data_Farmer!G12)</f>
        <v/>
      </c>
      <c r="D5" s="69" t="str">
        <f aca="false">IF(Data_Farmer!G13="","",""&amp;Data_Farmer!G13)</f>
        <v/>
      </c>
      <c r="E5" s="69" t="str">
        <f aca="false">IF(Data_Farmer!G21="","",""&amp;Data_Farmer!G21)</f>
        <v/>
      </c>
      <c r="F5" s="69" t="str">
        <f aca="false">IF(Data_Farmer!G22="","",""&amp;Data_Farmer!G22)</f>
        <v/>
      </c>
      <c r="G5" s="69" t="str">
        <f aca="false">IF(Data_Farmer!G23="","",""&amp;Data_Farmer!G23)</f>
        <v/>
      </c>
      <c r="H5" s="69" t="str">
        <f aca="false">IF(Data_Farmer!G66="","",""&amp;Data_Farmer!G66)</f>
        <v/>
      </c>
      <c r="I5" s="69" t="str">
        <f aca="false">IF(Data_Farmer!G26="","",""&amp;Data_Farmer!G26)</f>
        <v/>
      </c>
      <c r="J5" s="69" t="str">
        <f aca="false">IF(Data_Farmer!G28="","",""&amp;Data_Farmer!G28)</f>
        <v/>
      </c>
      <c r="K5" s="69" t="str">
        <f aca="false">IF(Data_Farmer!G37="","",""&amp;Data_Farmer!G37)</f>
        <v/>
      </c>
      <c r="L5" s="69" t="str">
        <f aca="false">IF(Data_Farmer!G38="","",""&amp;Data_Farmer!G38)</f>
        <v/>
      </c>
      <c r="M5" s="69" t="str">
        <f aca="false">IF(Data_Farmer!G46="","",""&amp;Data_Farmer!G46)</f>
        <v/>
      </c>
      <c r="N5" s="69" t="str">
        <f aca="false">IF(Data_Farmer!G47="","",""&amp;Data_Farmer!G47)</f>
        <v/>
      </c>
      <c r="O5" s="69" t="str">
        <f aca="false">IF(Data_Farmer!G48="","",""&amp;Data_Farmer!G48)</f>
        <v/>
      </c>
      <c r="P5" s="69" t="str">
        <f aca="false">IF(Data_Farmer!G73="","",""&amp;Data_Farmer!G73)</f>
        <v/>
      </c>
      <c r="Q5" s="69" t="str">
        <f aca="false">IF(Data_Farmer!G51="","",""&amp;Data_Farmer!G51)</f>
        <v/>
      </c>
      <c r="R5" s="69" t="str">
        <f aca="false">IF(Data_Farmer!G53="","",""&amp;Data_Farmer!G53)</f>
        <v/>
      </c>
      <c r="T5" s="69" t="s">
        <v>582</v>
      </c>
      <c r="U5" s="69" t="str">
        <f aca="false">""&amp;Data_Farmer!B90</f>
        <v>45989</v>
      </c>
    </row>
    <row r="6" customFormat="false" ht="15" hidden="false" customHeight="false" outlineLevel="0" collapsed="false">
      <c r="A6" s="69" t="str">
        <f aca="false">IF(Data_Farmer!H85="","",""&amp;Data_Farmer!H85)</f>
        <v>45990</v>
      </c>
      <c r="B6" s="69" t="str">
        <f aca="false">IF(Data_Farmer!H8="","",""&amp;Data_Farmer!H8)</f>
        <v/>
      </c>
      <c r="C6" s="69" t="str">
        <f aca="false">IF(Data_Farmer!H12="","",""&amp;Data_Farmer!H12)</f>
        <v/>
      </c>
      <c r="D6" s="69" t="str">
        <f aca="false">IF(Data_Farmer!H13="","",""&amp;Data_Farmer!H13)</f>
        <v/>
      </c>
      <c r="E6" s="69" t="str">
        <f aca="false">IF(Data_Farmer!H21="","",""&amp;Data_Farmer!H21)</f>
        <v/>
      </c>
      <c r="F6" s="69" t="str">
        <f aca="false">IF(Data_Farmer!H22="","",""&amp;Data_Farmer!H22)</f>
        <v/>
      </c>
      <c r="G6" s="69" t="str">
        <f aca="false">IF(Data_Farmer!H23="","",""&amp;Data_Farmer!H23)</f>
        <v/>
      </c>
      <c r="H6" s="69" t="str">
        <f aca="false">IF(Data_Farmer!H66="","",""&amp;Data_Farmer!H66)</f>
        <v/>
      </c>
      <c r="I6" s="69" t="str">
        <f aca="false">IF(Data_Farmer!H26="","",""&amp;Data_Farmer!H26)</f>
        <v/>
      </c>
      <c r="J6" s="69" t="str">
        <f aca="false">IF(Data_Farmer!H28="","",""&amp;Data_Farmer!H28)</f>
        <v/>
      </c>
      <c r="K6" s="69" t="str">
        <f aca="false">IF(Data_Farmer!H37="","",""&amp;Data_Farmer!H37)</f>
        <v/>
      </c>
      <c r="L6" s="69" t="str">
        <f aca="false">IF(Data_Farmer!H38="","",""&amp;Data_Farmer!H38)</f>
        <v/>
      </c>
      <c r="M6" s="69" t="str">
        <f aca="false">IF(Data_Farmer!H46="","",""&amp;Data_Farmer!H46)</f>
        <v/>
      </c>
      <c r="N6" s="69" t="str">
        <f aca="false">IF(Data_Farmer!H47="","",""&amp;Data_Farmer!H47)</f>
        <v/>
      </c>
      <c r="O6" s="69" t="str">
        <f aca="false">IF(Data_Farmer!H48="","",""&amp;Data_Farmer!H48)</f>
        <v/>
      </c>
      <c r="P6" s="69" t="str">
        <f aca="false">IF(Data_Farmer!H73="","",""&amp;Data_Farmer!H73)</f>
        <v/>
      </c>
      <c r="Q6" s="69" t="str">
        <f aca="false">IF(Data_Farmer!H51="","",""&amp;Data_Farmer!H51)</f>
        <v/>
      </c>
      <c r="R6" s="69" t="str">
        <f aca="false">IF(Data_Farmer!H53="","",""&amp;Data_Farmer!H53)</f>
        <v/>
      </c>
      <c r="T6" s="69" t="s">
        <v>583</v>
      </c>
      <c r="U6" s="69" t="str">
        <f aca="false">""&amp;Data_Farmer!B91</f>
        <v>46038</v>
      </c>
    </row>
    <row r="7" customFormat="false" ht="15" hidden="false" customHeight="false" outlineLevel="0" collapsed="false">
      <c r="A7" s="69" t="str">
        <f aca="false">IF(Data_Farmer!I85="","",""&amp;Data_Farmer!I85)</f>
        <v>45991</v>
      </c>
      <c r="B7" s="69" t="str">
        <f aca="false">IF(Data_Farmer!I8="","",""&amp;Data_Farmer!I8)</f>
        <v/>
      </c>
      <c r="C7" s="69" t="str">
        <f aca="false">IF(Data_Farmer!I12="","",""&amp;Data_Farmer!I12)</f>
        <v/>
      </c>
      <c r="D7" s="69" t="str">
        <f aca="false">IF(Data_Farmer!I13="","",""&amp;Data_Farmer!I13)</f>
        <v/>
      </c>
      <c r="E7" s="69" t="str">
        <f aca="false">IF(Data_Farmer!I21="","",""&amp;Data_Farmer!I21)</f>
        <v/>
      </c>
      <c r="F7" s="69" t="str">
        <f aca="false">IF(Data_Farmer!I22="","",""&amp;Data_Farmer!I22)</f>
        <v/>
      </c>
      <c r="G7" s="69" t="str">
        <f aca="false">IF(Data_Farmer!I23="","",""&amp;Data_Farmer!I23)</f>
        <v/>
      </c>
      <c r="H7" s="69" t="str">
        <f aca="false">IF(Data_Farmer!I66="","",""&amp;Data_Farmer!I66)</f>
        <v/>
      </c>
      <c r="I7" s="69" t="str">
        <f aca="false">IF(Data_Farmer!I26="","",""&amp;Data_Farmer!I26)</f>
        <v/>
      </c>
      <c r="J7" s="69" t="str">
        <f aca="false">IF(Data_Farmer!I28="","",""&amp;Data_Farmer!I28)</f>
        <v/>
      </c>
      <c r="K7" s="69" t="str">
        <f aca="false">IF(Data_Farmer!I37="","",""&amp;Data_Farmer!I37)</f>
        <v/>
      </c>
      <c r="L7" s="69" t="str">
        <f aca="false">IF(Data_Farmer!I38="","",""&amp;Data_Farmer!I38)</f>
        <v/>
      </c>
      <c r="M7" s="69" t="str">
        <f aca="false">IF(Data_Farmer!I46="","",""&amp;Data_Farmer!I46)</f>
        <v/>
      </c>
      <c r="N7" s="69" t="str">
        <f aca="false">IF(Data_Farmer!I47="","",""&amp;Data_Farmer!I47)</f>
        <v/>
      </c>
      <c r="O7" s="69" t="str">
        <f aca="false">IF(Data_Farmer!I48="","",""&amp;Data_Farmer!I48)</f>
        <v/>
      </c>
      <c r="P7" s="69" t="str">
        <f aca="false">IF(Data_Farmer!I73="","",""&amp;Data_Farmer!I73)</f>
        <v/>
      </c>
      <c r="Q7" s="69" t="str">
        <f aca="false">IF(Data_Farmer!I51="","",""&amp;Data_Farmer!I51)</f>
        <v/>
      </c>
      <c r="R7" s="69" t="str">
        <f aca="false">IF(Data_Farmer!I53="","",""&amp;Data_Farmer!I53)</f>
        <v/>
      </c>
      <c r="T7" s="69" t="s">
        <v>584</v>
      </c>
      <c r="U7" s="69" t="str">
        <f aca="false">""&amp;Data_Farmer!B92</f>
        <v>46068</v>
      </c>
    </row>
    <row r="8" customFormat="false" ht="15" hidden="false" customHeight="false" outlineLevel="0" collapsed="false">
      <c r="A8" s="69" t="str">
        <f aca="false">IF(Data_Farmer!J85="","",""&amp;Data_Farmer!J85)</f>
        <v>45992</v>
      </c>
      <c r="B8" s="69" t="str">
        <f aca="false">IF(Data_Farmer!J8="","",""&amp;Data_Farmer!J8)</f>
        <v/>
      </c>
      <c r="C8" s="69" t="str">
        <f aca="false">IF(Data_Farmer!J12="","",""&amp;Data_Farmer!J12)</f>
        <v/>
      </c>
      <c r="D8" s="69" t="str">
        <f aca="false">IF(Data_Farmer!J13="","",""&amp;Data_Farmer!J13)</f>
        <v/>
      </c>
      <c r="E8" s="69" t="str">
        <f aca="false">IF(Data_Farmer!J21="","",""&amp;Data_Farmer!J21)</f>
        <v/>
      </c>
      <c r="F8" s="69" t="str">
        <f aca="false">IF(Data_Farmer!J22="","",""&amp;Data_Farmer!J22)</f>
        <v/>
      </c>
      <c r="G8" s="69" t="str">
        <f aca="false">IF(Data_Farmer!J23="","",""&amp;Data_Farmer!J23)</f>
        <v/>
      </c>
      <c r="H8" s="69" t="str">
        <f aca="false">IF(Data_Farmer!J66="","",""&amp;Data_Farmer!J66)</f>
        <v/>
      </c>
      <c r="I8" s="69" t="str">
        <f aca="false">IF(Data_Farmer!J26="","",""&amp;Data_Farmer!J26)</f>
        <v/>
      </c>
      <c r="J8" s="69" t="str">
        <f aca="false">IF(Data_Farmer!J28="","",""&amp;Data_Farmer!J28)</f>
        <v/>
      </c>
      <c r="K8" s="69" t="str">
        <f aca="false">IF(Data_Farmer!J37="","",""&amp;Data_Farmer!J37)</f>
        <v/>
      </c>
      <c r="L8" s="69" t="str">
        <f aca="false">IF(Data_Farmer!J38="","",""&amp;Data_Farmer!J38)</f>
        <v/>
      </c>
      <c r="M8" s="69" t="str">
        <f aca="false">IF(Data_Farmer!J46="","",""&amp;Data_Farmer!J46)</f>
        <v/>
      </c>
      <c r="N8" s="69" t="str">
        <f aca="false">IF(Data_Farmer!J47="","",""&amp;Data_Farmer!J47)</f>
        <v/>
      </c>
      <c r="O8" s="69" t="str">
        <f aca="false">IF(Data_Farmer!J48="","",""&amp;Data_Farmer!J48)</f>
        <v/>
      </c>
      <c r="P8" s="69" t="str">
        <f aca="false">IF(Data_Farmer!J73="","",""&amp;Data_Farmer!J73)</f>
        <v/>
      </c>
      <c r="Q8" s="69" t="str">
        <f aca="false">IF(Data_Farmer!J51="","",""&amp;Data_Farmer!J51)</f>
        <v/>
      </c>
      <c r="R8" s="69" t="str">
        <f aca="false">IF(Data_Farmer!J53="","",""&amp;Data_Farmer!J53)</f>
        <v/>
      </c>
      <c r="T8" s="69" t="s">
        <v>585</v>
      </c>
      <c r="U8" s="69" t="str">
        <f aca="false">""&amp;Data_Farmer!B93</f>
        <v>46071</v>
      </c>
    </row>
    <row r="9" customFormat="false" ht="15" hidden="false" customHeight="false" outlineLevel="0" collapsed="false">
      <c r="A9" s="69" t="str">
        <f aca="false">IF(Data_Farmer!K85="","",""&amp;Data_Farmer!K85)</f>
        <v>45993</v>
      </c>
      <c r="B9" s="69" t="str">
        <f aca="false">IF(Data_Farmer!K8="","",""&amp;Data_Farmer!K8)</f>
        <v/>
      </c>
      <c r="C9" s="69" t="str">
        <f aca="false">IF(Data_Farmer!K12="","",""&amp;Data_Farmer!K12)</f>
        <v/>
      </c>
      <c r="D9" s="69" t="str">
        <f aca="false">IF(Data_Farmer!K13="","",""&amp;Data_Farmer!K13)</f>
        <v/>
      </c>
      <c r="E9" s="69" t="str">
        <f aca="false">IF(Data_Farmer!K21="","",""&amp;Data_Farmer!K21)</f>
        <v/>
      </c>
      <c r="F9" s="69" t="str">
        <f aca="false">IF(Data_Farmer!K22="","",""&amp;Data_Farmer!K22)</f>
        <v/>
      </c>
      <c r="G9" s="69" t="str">
        <f aca="false">IF(Data_Farmer!K23="","",""&amp;Data_Farmer!K23)</f>
        <v/>
      </c>
      <c r="H9" s="69" t="str">
        <f aca="false">IF(Data_Farmer!K66="","",""&amp;Data_Farmer!K66)</f>
        <v/>
      </c>
      <c r="I9" s="69" t="str">
        <f aca="false">IF(Data_Farmer!K26="","",""&amp;Data_Farmer!K26)</f>
        <v/>
      </c>
      <c r="J9" s="69" t="str">
        <f aca="false">IF(Data_Farmer!K28="","",""&amp;Data_Farmer!K28)</f>
        <v/>
      </c>
      <c r="K9" s="69" t="str">
        <f aca="false">IF(Data_Farmer!K37="","",""&amp;Data_Farmer!K37)</f>
        <v/>
      </c>
      <c r="L9" s="69" t="str">
        <f aca="false">IF(Data_Farmer!K38="","",""&amp;Data_Farmer!K38)</f>
        <v/>
      </c>
      <c r="M9" s="69" t="str">
        <f aca="false">IF(Data_Farmer!K46="","",""&amp;Data_Farmer!K46)</f>
        <v/>
      </c>
      <c r="N9" s="69" t="str">
        <f aca="false">IF(Data_Farmer!K47="","",""&amp;Data_Farmer!K47)</f>
        <v/>
      </c>
      <c r="O9" s="69" t="str">
        <f aca="false">IF(Data_Farmer!K48="","",""&amp;Data_Farmer!K48)</f>
        <v/>
      </c>
      <c r="P9" s="69" t="str">
        <f aca="false">IF(Data_Farmer!K73="","",""&amp;Data_Farmer!K73)</f>
        <v/>
      </c>
      <c r="Q9" s="69" t="str">
        <f aca="false">IF(Data_Farmer!K51="","",""&amp;Data_Farmer!K51)</f>
        <v/>
      </c>
      <c r="R9" s="69" t="str">
        <f aca="false">IF(Data_Farmer!K53="","",""&amp;Data_Farmer!K53)</f>
        <v/>
      </c>
      <c r="T9" s="69" t="s">
        <v>586</v>
      </c>
      <c r="U9" s="69" t="str">
        <f aca="false">""&amp;Data_Farmer!B94</f>
        <v>46069</v>
      </c>
    </row>
    <row r="10" customFormat="false" ht="15" hidden="false" customHeight="false" outlineLevel="0" collapsed="false">
      <c r="A10" s="69" t="str">
        <f aca="false">IF(Data_Farmer!L85="","",""&amp;Data_Farmer!L85)</f>
        <v>45994</v>
      </c>
      <c r="B10" s="69" t="str">
        <f aca="false">IF(Data_Farmer!L8="","",""&amp;Data_Farmer!L8)</f>
        <v/>
      </c>
      <c r="C10" s="69" t="str">
        <f aca="false">IF(Data_Farmer!L12="","",""&amp;Data_Farmer!L12)</f>
        <v/>
      </c>
      <c r="D10" s="69" t="str">
        <f aca="false">IF(Data_Farmer!L13="","",""&amp;Data_Farmer!L13)</f>
        <v/>
      </c>
      <c r="E10" s="69" t="str">
        <f aca="false">IF(Data_Farmer!L21="","",""&amp;Data_Farmer!L21)</f>
        <v/>
      </c>
      <c r="F10" s="69" t="str">
        <f aca="false">IF(Data_Farmer!L22="","",""&amp;Data_Farmer!L22)</f>
        <v/>
      </c>
      <c r="G10" s="69" t="str">
        <f aca="false">IF(Data_Farmer!L23="","",""&amp;Data_Farmer!L23)</f>
        <v/>
      </c>
      <c r="H10" s="69" t="str">
        <f aca="false">IF(Data_Farmer!L66="","",""&amp;Data_Farmer!L66)</f>
        <v/>
      </c>
      <c r="I10" s="69" t="str">
        <f aca="false">IF(Data_Farmer!L26="","",""&amp;Data_Farmer!L26)</f>
        <v/>
      </c>
      <c r="J10" s="69" t="str">
        <f aca="false">IF(Data_Farmer!L28="","",""&amp;Data_Farmer!L28)</f>
        <v/>
      </c>
      <c r="K10" s="69" t="str">
        <f aca="false">IF(Data_Farmer!L37="","",""&amp;Data_Farmer!L37)</f>
        <v/>
      </c>
      <c r="L10" s="69" t="str">
        <f aca="false">IF(Data_Farmer!L38="","",""&amp;Data_Farmer!L38)</f>
        <v/>
      </c>
      <c r="M10" s="69" t="str">
        <f aca="false">IF(Data_Farmer!L46="","",""&amp;Data_Farmer!L46)</f>
        <v/>
      </c>
      <c r="N10" s="69" t="str">
        <f aca="false">IF(Data_Farmer!L47="","",""&amp;Data_Farmer!L47)</f>
        <v/>
      </c>
      <c r="O10" s="69" t="str">
        <f aca="false">IF(Data_Farmer!L48="","",""&amp;Data_Farmer!L48)</f>
        <v/>
      </c>
      <c r="P10" s="69" t="str">
        <f aca="false">IF(Data_Farmer!L73="","",""&amp;Data_Farmer!L73)</f>
        <v/>
      </c>
      <c r="Q10" s="69" t="str">
        <f aca="false">IF(Data_Farmer!L51="","",""&amp;Data_Farmer!L51)</f>
        <v/>
      </c>
      <c r="R10" s="69" t="str">
        <f aca="false">IF(Data_Farmer!L53="","",""&amp;Data_Farmer!L53)</f>
        <v/>
      </c>
      <c r="T10" s="69" t="s">
        <v>587</v>
      </c>
      <c r="U10" s="69" t="str">
        <f aca="false">""&amp;Data_Farmer!B95</f>
        <v>46077</v>
      </c>
    </row>
    <row r="11" customFormat="false" ht="15" hidden="false" customHeight="false" outlineLevel="0" collapsed="false">
      <c r="A11" s="69" t="str">
        <f aca="false">IF(Data_Farmer!M85="","",""&amp;Data_Farmer!M85)</f>
        <v>45995</v>
      </c>
      <c r="B11" s="69" t="str">
        <f aca="false">IF(Data_Farmer!M8="","",""&amp;Data_Farmer!M8)</f>
        <v/>
      </c>
      <c r="C11" s="69" t="str">
        <f aca="false">IF(Data_Farmer!M12="","",""&amp;Data_Farmer!M12)</f>
        <v/>
      </c>
      <c r="D11" s="69" t="str">
        <f aca="false">IF(Data_Farmer!M13="","",""&amp;Data_Farmer!M13)</f>
        <v/>
      </c>
      <c r="E11" s="69" t="str">
        <f aca="false">IF(Data_Farmer!M21="","",""&amp;Data_Farmer!M21)</f>
        <v/>
      </c>
      <c r="F11" s="69" t="str">
        <f aca="false">IF(Data_Farmer!M22="","",""&amp;Data_Farmer!M22)</f>
        <v/>
      </c>
      <c r="G11" s="69" t="str">
        <f aca="false">IF(Data_Farmer!M23="","",""&amp;Data_Farmer!M23)</f>
        <v/>
      </c>
      <c r="H11" s="69" t="str">
        <f aca="false">IF(Data_Farmer!M66="","",""&amp;Data_Farmer!M66)</f>
        <v/>
      </c>
      <c r="I11" s="69" t="str">
        <f aca="false">IF(Data_Farmer!M26="","",""&amp;Data_Farmer!M26)</f>
        <v/>
      </c>
      <c r="J11" s="69" t="str">
        <f aca="false">IF(Data_Farmer!M28="","",""&amp;Data_Farmer!M28)</f>
        <v/>
      </c>
      <c r="K11" s="69" t="str">
        <f aca="false">IF(Data_Farmer!M37="","",""&amp;Data_Farmer!M37)</f>
        <v/>
      </c>
      <c r="L11" s="69" t="str">
        <f aca="false">IF(Data_Farmer!M38="","",""&amp;Data_Farmer!M38)</f>
        <v/>
      </c>
      <c r="M11" s="69" t="str">
        <f aca="false">IF(Data_Farmer!M46="","",""&amp;Data_Farmer!M46)</f>
        <v/>
      </c>
      <c r="N11" s="69" t="str">
        <f aca="false">IF(Data_Farmer!M47="","",""&amp;Data_Farmer!M47)</f>
        <v/>
      </c>
      <c r="O11" s="69" t="str">
        <f aca="false">IF(Data_Farmer!M48="","",""&amp;Data_Farmer!M48)</f>
        <v/>
      </c>
      <c r="P11" s="69" t="str">
        <f aca="false">IF(Data_Farmer!M73="","",""&amp;Data_Farmer!M73)</f>
        <v/>
      </c>
      <c r="Q11" s="69" t="str">
        <f aca="false">IF(Data_Farmer!M51="","",""&amp;Data_Farmer!M51)</f>
        <v/>
      </c>
      <c r="R11" s="69" t="str">
        <f aca="false">IF(Data_Farmer!M53="","",""&amp;Data_Farmer!M53)</f>
        <v/>
      </c>
      <c r="T11" s="69" t="s">
        <v>588</v>
      </c>
      <c r="U11" s="69" t="str">
        <f aca="false">""&amp;Data_Farmer!B96</f>
        <v>46089</v>
      </c>
    </row>
    <row r="12" customFormat="false" ht="15" hidden="false" customHeight="false" outlineLevel="0" collapsed="false">
      <c r="A12" s="69" t="str">
        <f aca="false">IF(Data_Farmer!N85="","",""&amp;Data_Farmer!N85)</f>
        <v>45996</v>
      </c>
      <c r="B12" s="69" t="str">
        <f aca="false">IF(Data_Farmer!N8="","",""&amp;Data_Farmer!N8)</f>
        <v/>
      </c>
      <c r="C12" s="69" t="str">
        <f aca="false">IF(Data_Farmer!N12="","",""&amp;Data_Farmer!N12)</f>
        <v/>
      </c>
      <c r="D12" s="69" t="str">
        <f aca="false">IF(Data_Farmer!N13="","",""&amp;Data_Farmer!N13)</f>
        <v/>
      </c>
      <c r="E12" s="69" t="str">
        <f aca="false">IF(Data_Farmer!N21="","",""&amp;Data_Farmer!N21)</f>
        <v/>
      </c>
      <c r="F12" s="69" t="str">
        <f aca="false">IF(Data_Farmer!N22="","",""&amp;Data_Farmer!N22)</f>
        <v/>
      </c>
      <c r="G12" s="69" t="str">
        <f aca="false">IF(Data_Farmer!N23="","",""&amp;Data_Farmer!N23)</f>
        <v/>
      </c>
      <c r="H12" s="69" t="str">
        <f aca="false">IF(Data_Farmer!N66="","",""&amp;Data_Farmer!N66)</f>
        <v/>
      </c>
      <c r="I12" s="69" t="str">
        <f aca="false">IF(Data_Farmer!N26="","",""&amp;Data_Farmer!N26)</f>
        <v/>
      </c>
      <c r="J12" s="69" t="str">
        <f aca="false">IF(Data_Farmer!N28="","",""&amp;Data_Farmer!N28)</f>
        <v/>
      </c>
      <c r="K12" s="69" t="str">
        <f aca="false">IF(Data_Farmer!N37="","",""&amp;Data_Farmer!N37)</f>
        <v/>
      </c>
      <c r="L12" s="69" t="str">
        <f aca="false">IF(Data_Farmer!N38="","",""&amp;Data_Farmer!N38)</f>
        <v/>
      </c>
      <c r="M12" s="69" t="str">
        <f aca="false">IF(Data_Farmer!N46="","",""&amp;Data_Farmer!N46)</f>
        <v/>
      </c>
      <c r="N12" s="69" t="str">
        <f aca="false">IF(Data_Farmer!N47="","",""&amp;Data_Farmer!N47)</f>
        <v/>
      </c>
      <c r="O12" s="69" t="str">
        <f aca="false">IF(Data_Farmer!N48="","",""&amp;Data_Farmer!N48)</f>
        <v/>
      </c>
      <c r="P12" s="69" t="str">
        <f aca="false">IF(Data_Farmer!N73="","",""&amp;Data_Farmer!N73)</f>
        <v/>
      </c>
      <c r="Q12" s="69" t="str">
        <f aca="false">IF(Data_Farmer!N51="","",""&amp;Data_Farmer!N51)</f>
        <v/>
      </c>
      <c r="R12" s="69" t="str">
        <f aca="false">IF(Data_Farmer!N53="","",""&amp;Data_Farmer!N53)</f>
        <v/>
      </c>
      <c r="T12" s="69" t="s">
        <v>589</v>
      </c>
      <c r="U12" s="69" t="str">
        <f aca="false">""&amp;Data_Farmer!B97</f>
        <v>46093</v>
      </c>
    </row>
    <row r="13" customFormat="false" ht="15" hidden="false" customHeight="false" outlineLevel="0" collapsed="false">
      <c r="A13" s="69" t="str">
        <f aca="false">IF(Data_Farmer!O85="","",""&amp;Data_Farmer!O85)</f>
        <v>45997</v>
      </c>
      <c r="B13" s="69" t="str">
        <f aca="false">IF(Data_Farmer!O8="","",""&amp;Data_Farmer!O8)</f>
        <v/>
      </c>
      <c r="C13" s="69" t="str">
        <f aca="false">IF(Data_Farmer!O12="","",""&amp;Data_Farmer!O12)</f>
        <v/>
      </c>
      <c r="D13" s="69" t="str">
        <f aca="false">IF(Data_Farmer!O13="","",""&amp;Data_Farmer!O13)</f>
        <v/>
      </c>
      <c r="E13" s="69" t="str">
        <f aca="false">IF(Data_Farmer!O21="","",""&amp;Data_Farmer!O21)</f>
        <v/>
      </c>
      <c r="F13" s="69" t="str">
        <f aca="false">IF(Data_Farmer!O22="","",""&amp;Data_Farmer!O22)</f>
        <v/>
      </c>
      <c r="G13" s="69" t="str">
        <f aca="false">IF(Data_Farmer!O23="","",""&amp;Data_Farmer!O23)</f>
        <v/>
      </c>
      <c r="H13" s="69" t="str">
        <f aca="false">IF(Data_Farmer!O66="","",""&amp;Data_Farmer!O66)</f>
        <v/>
      </c>
      <c r="I13" s="69" t="str">
        <f aca="false">IF(Data_Farmer!O26="","",""&amp;Data_Farmer!O26)</f>
        <v/>
      </c>
      <c r="J13" s="69" t="str">
        <f aca="false">IF(Data_Farmer!O28="","",""&amp;Data_Farmer!O28)</f>
        <v/>
      </c>
      <c r="K13" s="69" t="str">
        <f aca="false">IF(Data_Farmer!O37="","",""&amp;Data_Farmer!O37)</f>
        <v/>
      </c>
      <c r="L13" s="69" t="str">
        <f aca="false">IF(Data_Farmer!O38="","",""&amp;Data_Farmer!O38)</f>
        <v/>
      </c>
      <c r="M13" s="69" t="str">
        <f aca="false">IF(Data_Farmer!O46="","",""&amp;Data_Farmer!O46)</f>
        <v/>
      </c>
      <c r="N13" s="69" t="str">
        <f aca="false">IF(Data_Farmer!O47="","",""&amp;Data_Farmer!O47)</f>
        <v/>
      </c>
      <c r="O13" s="69" t="str">
        <f aca="false">IF(Data_Farmer!O48="","",""&amp;Data_Farmer!O48)</f>
        <v/>
      </c>
      <c r="P13" s="69" t="str">
        <f aca="false">IF(Data_Farmer!O73="","",""&amp;Data_Farmer!O73)</f>
        <v/>
      </c>
      <c r="Q13" s="69" t="str">
        <f aca="false">IF(Data_Farmer!O51="","",""&amp;Data_Farmer!O51)</f>
        <v/>
      </c>
      <c r="R13" s="69" t="str">
        <f aca="false">IF(Data_Farmer!O53="","",""&amp;Data_Farmer!O53)</f>
        <v/>
      </c>
      <c r="T13" s="69" t="s">
        <v>590</v>
      </c>
      <c r="U13" s="69" t="str">
        <f aca="false">""&amp;Data_Farmer!B98</f>
        <v>46093</v>
      </c>
    </row>
    <row r="14" customFormat="false" ht="15" hidden="false" customHeight="false" outlineLevel="0" collapsed="false">
      <c r="A14" s="69" t="str">
        <f aca="false">IF(Data_Farmer!P85="","",""&amp;Data_Farmer!P85)</f>
        <v>45998</v>
      </c>
      <c r="B14" s="69" t="str">
        <f aca="false">IF(Data_Farmer!P8="","",""&amp;Data_Farmer!P8)</f>
        <v/>
      </c>
      <c r="C14" s="69" t="str">
        <f aca="false">IF(Data_Farmer!P12="","",""&amp;Data_Farmer!P12)</f>
        <v/>
      </c>
      <c r="D14" s="69" t="str">
        <f aca="false">IF(Data_Farmer!P13="","",""&amp;Data_Farmer!P13)</f>
        <v/>
      </c>
      <c r="E14" s="69" t="str">
        <f aca="false">IF(Data_Farmer!P21="","",""&amp;Data_Farmer!P21)</f>
        <v/>
      </c>
      <c r="F14" s="69" t="str">
        <f aca="false">IF(Data_Farmer!P22="","",""&amp;Data_Farmer!P22)</f>
        <v/>
      </c>
      <c r="G14" s="69" t="str">
        <f aca="false">IF(Data_Farmer!P23="","",""&amp;Data_Farmer!P23)</f>
        <v/>
      </c>
      <c r="H14" s="69" t="str">
        <f aca="false">IF(Data_Farmer!P66="","",""&amp;Data_Farmer!P66)</f>
        <v/>
      </c>
      <c r="I14" s="69" t="str">
        <f aca="false">IF(Data_Farmer!P26="","",""&amp;Data_Farmer!P26)</f>
        <v/>
      </c>
      <c r="J14" s="69" t="str">
        <f aca="false">IF(Data_Farmer!P28="","",""&amp;Data_Farmer!P28)</f>
        <v/>
      </c>
      <c r="K14" s="69" t="str">
        <f aca="false">IF(Data_Farmer!P37="","",""&amp;Data_Farmer!P37)</f>
        <v/>
      </c>
      <c r="L14" s="69" t="str">
        <f aca="false">IF(Data_Farmer!P38="","",""&amp;Data_Farmer!P38)</f>
        <v/>
      </c>
      <c r="M14" s="69" t="str">
        <f aca="false">IF(Data_Farmer!P46="","",""&amp;Data_Farmer!P46)</f>
        <v/>
      </c>
      <c r="N14" s="69" t="str">
        <f aca="false">IF(Data_Farmer!P47="","",""&amp;Data_Farmer!P47)</f>
        <v/>
      </c>
      <c r="O14" s="69" t="str">
        <f aca="false">IF(Data_Farmer!P48="","",""&amp;Data_Farmer!P48)</f>
        <v/>
      </c>
      <c r="P14" s="69" t="str">
        <f aca="false">IF(Data_Farmer!P73="","",""&amp;Data_Farmer!P73)</f>
        <v/>
      </c>
      <c r="Q14" s="69" t="str">
        <f aca="false">IF(Data_Farmer!P51="","",""&amp;Data_Farmer!P51)</f>
        <v/>
      </c>
      <c r="R14" s="69" t="str">
        <f aca="false">IF(Data_Farmer!P53="","",""&amp;Data_Farmer!P53)</f>
        <v/>
      </c>
      <c r="T14" s="69" t="s">
        <v>591</v>
      </c>
      <c r="U14" s="69" t="str">
        <f aca="false">""&amp;Data_Farmer!B99</f>
        <v>46136</v>
      </c>
    </row>
    <row r="15" customFormat="false" ht="15" hidden="false" customHeight="false" outlineLevel="0" collapsed="false">
      <c r="A15" s="69" t="str">
        <f aca="false">IF(Data_Farmer!Q85="","",""&amp;Data_Farmer!Q85)</f>
        <v>45999</v>
      </c>
      <c r="B15" s="69" t="str">
        <f aca="false">IF(Data_Farmer!Q8="","",""&amp;Data_Farmer!Q8)</f>
        <v/>
      </c>
      <c r="C15" s="69" t="str">
        <f aca="false">IF(Data_Farmer!Q12="","",""&amp;Data_Farmer!Q12)</f>
        <v/>
      </c>
      <c r="D15" s="69" t="str">
        <f aca="false">IF(Data_Farmer!Q13="","",""&amp;Data_Farmer!Q13)</f>
        <v/>
      </c>
      <c r="E15" s="69" t="str">
        <f aca="false">IF(Data_Farmer!Q21="","",""&amp;Data_Farmer!Q21)</f>
        <v/>
      </c>
      <c r="F15" s="69" t="str">
        <f aca="false">IF(Data_Farmer!Q22="","",""&amp;Data_Farmer!Q22)</f>
        <v/>
      </c>
      <c r="G15" s="69" t="str">
        <f aca="false">IF(Data_Farmer!Q23="","",""&amp;Data_Farmer!Q23)</f>
        <v/>
      </c>
      <c r="H15" s="69" t="str">
        <f aca="false">IF(Data_Farmer!Q66="","",""&amp;Data_Farmer!Q66)</f>
        <v/>
      </c>
      <c r="I15" s="69" t="str">
        <f aca="false">IF(Data_Farmer!Q26="","",""&amp;Data_Farmer!Q26)</f>
        <v/>
      </c>
      <c r="J15" s="69" t="str">
        <f aca="false">IF(Data_Farmer!Q28="","",""&amp;Data_Farmer!Q28)</f>
        <v/>
      </c>
      <c r="K15" s="69" t="str">
        <f aca="false">IF(Data_Farmer!Q37="","",""&amp;Data_Farmer!Q37)</f>
        <v/>
      </c>
      <c r="L15" s="69" t="str">
        <f aca="false">IF(Data_Farmer!Q38="","",""&amp;Data_Farmer!Q38)</f>
        <v/>
      </c>
      <c r="M15" s="69" t="str">
        <f aca="false">IF(Data_Farmer!Q46="","",""&amp;Data_Farmer!Q46)</f>
        <v/>
      </c>
      <c r="N15" s="69" t="str">
        <f aca="false">IF(Data_Farmer!Q47="","",""&amp;Data_Farmer!Q47)</f>
        <v/>
      </c>
      <c r="O15" s="69" t="str">
        <f aca="false">IF(Data_Farmer!Q48="","",""&amp;Data_Farmer!Q48)</f>
        <v/>
      </c>
      <c r="P15" s="69" t="str">
        <f aca="false">IF(Data_Farmer!Q73="","",""&amp;Data_Farmer!Q73)</f>
        <v/>
      </c>
      <c r="Q15" s="69" t="str">
        <f aca="false">IF(Data_Farmer!Q51="","",""&amp;Data_Farmer!Q51)</f>
        <v/>
      </c>
      <c r="R15" s="69" t="str">
        <f aca="false">IF(Data_Farmer!Q53="","",""&amp;Data_Farmer!Q53)</f>
        <v/>
      </c>
      <c r="T15" s="69" t="s">
        <v>592</v>
      </c>
      <c r="U15" s="69" t="str">
        <f aca="false">""&amp;Data_Farmer!B100</f>
        <v>46114</v>
      </c>
    </row>
    <row r="16" customFormat="false" ht="15" hidden="false" customHeight="false" outlineLevel="0" collapsed="false">
      <c r="A16" s="69" t="str">
        <f aca="false">IF(Data_Farmer!R85="","",""&amp;Data_Farmer!R85)</f>
        <v>46000</v>
      </c>
      <c r="B16" s="69" t="str">
        <f aca="false">IF(Data_Farmer!R8="","",""&amp;Data_Farmer!R8)</f>
        <v/>
      </c>
      <c r="C16" s="69" t="str">
        <f aca="false">IF(Data_Farmer!R12="","",""&amp;Data_Farmer!R12)</f>
        <v/>
      </c>
      <c r="D16" s="69" t="str">
        <f aca="false">IF(Data_Farmer!R13="","",""&amp;Data_Farmer!R13)</f>
        <v/>
      </c>
      <c r="E16" s="69" t="str">
        <f aca="false">IF(Data_Farmer!R21="","",""&amp;Data_Farmer!R21)</f>
        <v/>
      </c>
      <c r="F16" s="69" t="str">
        <f aca="false">IF(Data_Farmer!R22="","",""&amp;Data_Farmer!R22)</f>
        <v/>
      </c>
      <c r="G16" s="69" t="str">
        <f aca="false">IF(Data_Farmer!R23="","",""&amp;Data_Farmer!R23)</f>
        <v/>
      </c>
      <c r="H16" s="69" t="str">
        <f aca="false">IF(Data_Farmer!R66="","",""&amp;Data_Farmer!R66)</f>
        <v/>
      </c>
      <c r="I16" s="69" t="str">
        <f aca="false">IF(Data_Farmer!R26="","",""&amp;Data_Farmer!R26)</f>
        <v/>
      </c>
      <c r="J16" s="69" t="str">
        <f aca="false">IF(Data_Farmer!R28="","",""&amp;Data_Farmer!R28)</f>
        <v/>
      </c>
      <c r="K16" s="69" t="str">
        <f aca="false">IF(Data_Farmer!R37="","",""&amp;Data_Farmer!R37)</f>
        <v/>
      </c>
      <c r="L16" s="69" t="str">
        <f aca="false">IF(Data_Farmer!R38="","",""&amp;Data_Farmer!R38)</f>
        <v/>
      </c>
      <c r="M16" s="69" t="str">
        <f aca="false">IF(Data_Farmer!R46="","",""&amp;Data_Farmer!R46)</f>
        <v/>
      </c>
      <c r="N16" s="69" t="str">
        <f aca="false">IF(Data_Farmer!R47="","",""&amp;Data_Farmer!R47)</f>
        <v/>
      </c>
      <c r="O16" s="69" t="str">
        <f aca="false">IF(Data_Farmer!R48="","",""&amp;Data_Farmer!R48)</f>
        <v/>
      </c>
      <c r="P16" s="69" t="str">
        <f aca="false">IF(Data_Farmer!R73="","",""&amp;Data_Farmer!R73)</f>
        <v/>
      </c>
      <c r="Q16" s="69" t="str">
        <f aca="false">IF(Data_Farmer!R51="","",""&amp;Data_Farmer!R51)</f>
        <v/>
      </c>
      <c r="R16" s="69" t="str">
        <f aca="false">IF(Data_Farmer!R53="","",""&amp;Data_Farmer!R53)</f>
        <v/>
      </c>
      <c r="T16" s="69" t="s">
        <v>593</v>
      </c>
      <c r="U16" s="69" t="str">
        <f aca="false">""&amp;Data_Farmer!B101</f>
        <v>46142</v>
      </c>
    </row>
    <row r="17" customFormat="false" ht="15" hidden="false" customHeight="false" outlineLevel="0" collapsed="false">
      <c r="A17" s="69" t="str">
        <f aca="false">IF(Data_Farmer!S85="","",""&amp;Data_Farmer!S85)</f>
        <v>46001</v>
      </c>
      <c r="B17" s="69" t="str">
        <f aca="false">IF(Data_Farmer!S8="","",""&amp;Data_Farmer!S8)</f>
        <v/>
      </c>
      <c r="C17" s="69" t="str">
        <f aca="false">IF(Data_Farmer!S12="","",""&amp;Data_Farmer!S12)</f>
        <v/>
      </c>
      <c r="D17" s="69" t="str">
        <f aca="false">IF(Data_Farmer!S13="","",""&amp;Data_Farmer!S13)</f>
        <v/>
      </c>
      <c r="E17" s="69" t="str">
        <f aca="false">IF(Data_Farmer!S21="","",""&amp;Data_Farmer!S21)</f>
        <v/>
      </c>
      <c r="F17" s="69" t="str">
        <f aca="false">IF(Data_Farmer!S22="","",""&amp;Data_Farmer!S22)</f>
        <v/>
      </c>
      <c r="G17" s="69" t="str">
        <f aca="false">IF(Data_Farmer!S23="","",""&amp;Data_Farmer!S23)</f>
        <v/>
      </c>
      <c r="H17" s="69" t="str">
        <f aca="false">IF(Data_Farmer!S66="","",""&amp;Data_Farmer!S66)</f>
        <v/>
      </c>
      <c r="I17" s="69" t="str">
        <f aca="false">IF(Data_Farmer!S26="","",""&amp;Data_Farmer!S26)</f>
        <v/>
      </c>
      <c r="J17" s="69" t="str">
        <f aca="false">IF(Data_Farmer!S28="","",""&amp;Data_Farmer!S28)</f>
        <v/>
      </c>
      <c r="K17" s="69" t="str">
        <f aca="false">IF(Data_Farmer!S37="","",""&amp;Data_Farmer!S37)</f>
        <v/>
      </c>
      <c r="L17" s="69" t="str">
        <f aca="false">IF(Data_Farmer!S38="","",""&amp;Data_Farmer!S38)</f>
        <v/>
      </c>
      <c r="M17" s="69" t="str">
        <f aca="false">IF(Data_Farmer!S46="","",""&amp;Data_Farmer!S46)</f>
        <v/>
      </c>
      <c r="N17" s="69" t="str">
        <f aca="false">IF(Data_Farmer!S47="","",""&amp;Data_Farmer!S47)</f>
        <v/>
      </c>
      <c r="O17" s="69" t="str">
        <f aca="false">IF(Data_Farmer!S48="","",""&amp;Data_Farmer!S48)</f>
        <v/>
      </c>
      <c r="P17" s="69" t="str">
        <f aca="false">IF(Data_Farmer!S73="","",""&amp;Data_Farmer!S73)</f>
        <v/>
      </c>
      <c r="Q17" s="69" t="str">
        <f aca="false">IF(Data_Farmer!S51="","",""&amp;Data_Farmer!S51)</f>
        <v/>
      </c>
      <c r="R17" s="69" t="str">
        <f aca="false">IF(Data_Farmer!S53="","",""&amp;Data_Farmer!S53)</f>
        <v/>
      </c>
      <c r="T17" s="69" t="s">
        <v>594</v>
      </c>
      <c r="U17" s="69" t="str">
        <f aca="false">""&amp;Data_Farmer!B102</f>
        <v>8.457</v>
      </c>
    </row>
    <row r="18" customFormat="false" ht="15" hidden="false" customHeight="false" outlineLevel="0" collapsed="false">
      <c r="A18" s="69" t="str">
        <f aca="false">IF(Data_Farmer!T85="","",""&amp;Data_Farmer!T85)</f>
        <v>46002</v>
      </c>
      <c r="B18" s="69" t="str">
        <f aca="false">IF(Data_Farmer!T8="","",""&amp;Data_Farmer!T8)</f>
        <v/>
      </c>
      <c r="C18" s="69" t="str">
        <f aca="false">IF(Data_Farmer!T12="","",""&amp;Data_Farmer!T12)</f>
        <v/>
      </c>
      <c r="D18" s="69" t="str">
        <f aca="false">IF(Data_Farmer!T13="","",""&amp;Data_Farmer!T13)</f>
        <v/>
      </c>
      <c r="E18" s="69" t="str">
        <f aca="false">IF(Data_Farmer!T21="","",""&amp;Data_Farmer!T21)</f>
        <v/>
      </c>
      <c r="F18" s="69" t="str">
        <f aca="false">IF(Data_Farmer!T22="","",""&amp;Data_Farmer!T22)</f>
        <v/>
      </c>
      <c r="G18" s="69" t="str">
        <f aca="false">IF(Data_Farmer!T23="","",""&amp;Data_Farmer!T23)</f>
        <v/>
      </c>
      <c r="H18" s="69" t="str">
        <f aca="false">IF(Data_Farmer!T66="","",""&amp;Data_Farmer!T66)</f>
        <v/>
      </c>
      <c r="I18" s="69" t="str">
        <f aca="false">IF(Data_Farmer!T26="","",""&amp;Data_Farmer!T26)</f>
        <v/>
      </c>
      <c r="J18" s="69" t="str">
        <f aca="false">IF(Data_Farmer!T28="","",""&amp;Data_Farmer!T28)</f>
        <v/>
      </c>
      <c r="K18" s="69" t="str">
        <f aca="false">IF(Data_Farmer!T37="","",""&amp;Data_Farmer!T37)</f>
        <v/>
      </c>
      <c r="L18" s="69" t="str">
        <f aca="false">IF(Data_Farmer!T38="","",""&amp;Data_Farmer!T38)</f>
        <v/>
      </c>
      <c r="M18" s="69" t="str">
        <f aca="false">IF(Data_Farmer!T46="","",""&amp;Data_Farmer!T46)</f>
        <v/>
      </c>
      <c r="N18" s="69" t="str">
        <f aca="false">IF(Data_Farmer!T47="","",""&amp;Data_Farmer!T47)</f>
        <v/>
      </c>
      <c r="O18" s="69" t="str">
        <f aca="false">IF(Data_Farmer!T48="","",""&amp;Data_Farmer!T48)</f>
        <v/>
      </c>
      <c r="P18" s="69" t="str">
        <f aca="false">IF(Data_Farmer!T73="","",""&amp;Data_Farmer!T73)</f>
        <v/>
      </c>
      <c r="Q18" s="69" t="str">
        <f aca="false">IF(Data_Farmer!T51="","",""&amp;Data_Farmer!T51)</f>
        <v/>
      </c>
      <c r="R18" s="69" t="str">
        <f aca="false">IF(Data_Farmer!T53="","",""&amp;Data_Farmer!T53)</f>
        <v/>
      </c>
      <c r="T18" s="69" t="s">
        <v>595</v>
      </c>
      <c r="U18" s="69" t="str">
        <f aca="false">""&amp;Data_Farmer!B103</f>
        <v>8.457</v>
      </c>
    </row>
    <row r="19" customFormat="false" ht="15" hidden="false" customHeight="false" outlineLevel="0" collapsed="false">
      <c r="A19" s="69" t="str">
        <f aca="false">IF(Data_Farmer!U85="","",""&amp;Data_Farmer!U85)</f>
        <v>46003</v>
      </c>
      <c r="B19" s="69" t="str">
        <f aca="false">IF(Data_Farmer!U8="","",""&amp;Data_Farmer!U8)</f>
        <v/>
      </c>
      <c r="C19" s="69" t="str">
        <f aca="false">IF(Data_Farmer!U12="","",""&amp;Data_Farmer!U12)</f>
        <v/>
      </c>
      <c r="D19" s="69" t="str">
        <f aca="false">IF(Data_Farmer!U13="","",""&amp;Data_Farmer!U13)</f>
        <v/>
      </c>
      <c r="E19" s="69" t="str">
        <f aca="false">IF(Data_Farmer!U21="","",""&amp;Data_Farmer!U21)</f>
        <v/>
      </c>
      <c r="F19" s="69" t="str">
        <f aca="false">IF(Data_Farmer!U22="","",""&amp;Data_Farmer!U22)</f>
        <v/>
      </c>
      <c r="G19" s="69" t="str">
        <f aca="false">IF(Data_Farmer!U23="","",""&amp;Data_Farmer!U23)</f>
        <v/>
      </c>
      <c r="H19" s="69" t="str">
        <f aca="false">IF(Data_Farmer!U66="","",""&amp;Data_Farmer!U66)</f>
        <v/>
      </c>
      <c r="I19" s="69" t="str">
        <f aca="false">IF(Data_Farmer!U26="","",""&amp;Data_Farmer!U26)</f>
        <v/>
      </c>
      <c r="J19" s="69" t="str">
        <f aca="false">IF(Data_Farmer!U28="","",""&amp;Data_Farmer!U28)</f>
        <v/>
      </c>
      <c r="K19" s="69" t="str">
        <f aca="false">IF(Data_Farmer!U37="","",""&amp;Data_Farmer!U37)</f>
        <v/>
      </c>
      <c r="L19" s="69" t="str">
        <f aca="false">IF(Data_Farmer!U38="","",""&amp;Data_Farmer!U38)</f>
        <v/>
      </c>
      <c r="M19" s="69" t="str">
        <f aca="false">IF(Data_Farmer!U46="","",""&amp;Data_Farmer!U46)</f>
        <v/>
      </c>
      <c r="N19" s="69" t="str">
        <f aca="false">IF(Data_Farmer!U47="","",""&amp;Data_Farmer!U47)</f>
        <v/>
      </c>
      <c r="O19" s="69" t="str">
        <f aca="false">IF(Data_Farmer!U48="","",""&amp;Data_Farmer!U48)</f>
        <v/>
      </c>
      <c r="P19" s="69" t="str">
        <f aca="false">IF(Data_Farmer!U73="","",""&amp;Data_Farmer!U73)</f>
        <v/>
      </c>
      <c r="Q19" s="69" t="str">
        <f aca="false">IF(Data_Farmer!U51="","",""&amp;Data_Farmer!U51)</f>
        <v/>
      </c>
      <c r="R19" s="69" t="str">
        <f aca="false">IF(Data_Farmer!U53="","",""&amp;Data_Farmer!U53)</f>
        <v/>
      </c>
      <c r="T19" s="69" t="s">
        <v>596</v>
      </c>
      <c r="U19" s="69" t="str">
        <f aca="false">""&amp;Data_Farmer!B104</f>
        <v>20.2</v>
      </c>
    </row>
    <row r="20" customFormat="false" ht="15" hidden="false" customHeight="false" outlineLevel="0" collapsed="false">
      <c r="A20" s="69" t="str">
        <f aca="false">IF(Data_Farmer!V85="","",""&amp;Data_Farmer!V85)</f>
        <v>46004</v>
      </c>
      <c r="B20" s="69" t="str">
        <f aca="false">IF(Data_Farmer!V8="","",""&amp;Data_Farmer!V8)</f>
        <v/>
      </c>
      <c r="C20" s="69" t="str">
        <f aca="false">IF(Data_Farmer!V12="","",""&amp;Data_Farmer!V12)</f>
        <v/>
      </c>
      <c r="D20" s="69" t="str">
        <f aca="false">IF(Data_Farmer!V13="","",""&amp;Data_Farmer!V13)</f>
        <v/>
      </c>
      <c r="E20" s="69" t="str">
        <f aca="false">IF(Data_Farmer!V21="","",""&amp;Data_Farmer!V21)</f>
        <v/>
      </c>
      <c r="F20" s="69" t="str">
        <f aca="false">IF(Data_Farmer!V22="","",""&amp;Data_Farmer!V22)</f>
        <v/>
      </c>
      <c r="G20" s="69" t="str">
        <f aca="false">IF(Data_Farmer!V23="","",""&amp;Data_Farmer!V23)</f>
        <v/>
      </c>
      <c r="H20" s="69" t="str">
        <f aca="false">IF(Data_Farmer!V66="","",""&amp;Data_Farmer!V66)</f>
        <v/>
      </c>
      <c r="I20" s="69" t="str">
        <f aca="false">IF(Data_Farmer!V26="","",""&amp;Data_Farmer!V26)</f>
        <v/>
      </c>
      <c r="J20" s="69" t="str">
        <f aca="false">IF(Data_Farmer!V28="","",""&amp;Data_Farmer!V28)</f>
        <v/>
      </c>
      <c r="K20" s="69" t="str">
        <f aca="false">IF(Data_Farmer!V37="","",""&amp;Data_Farmer!V37)</f>
        <v/>
      </c>
      <c r="L20" s="69" t="str">
        <f aca="false">IF(Data_Farmer!V38="","",""&amp;Data_Farmer!V38)</f>
        <v/>
      </c>
      <c r="M20" s="69" t="str">
        <f aca="false">IF(Data_Farmer!V46="","",""&amp;Data_Farmer!V46)</f>
        <v/>
      </c>
      <c r="N20" s="69" t="str">
        <f aca="false">IF(Data_Farmer!V47="","",""&amp;Data_Farmer!V47)</f>
        <v/>
      </c>
      <c r="O20" s="69" t="str">
        <f aca="false">IF(Data_Farmer!V48="","",""&amp;Data_Farmer!V48)</f>
        <v/>
      </c>
      <c r="P20" s="69" t="str">
        <f aca="false">IF(Data_Farmer!V73="","",""&amp;Data_Farmer!V73)</f>
        <v/>
      </c>
      <c r="Q20" s="69" t="str">
        <f aca="false">IF(Data_Farmer!V51="","",""&amp;Data_Farmer!V51)</f>
        <v/>
      </c>
      <c r="R20" s="69" t="str">
        <f aca="false">IF(Data_Farmer!V53="","",""&amp;Data_Farmer!V53)</f>
        <v/>
      </c>
      <c r="T20" s="69" t="s">
        <v>597</v>
      </c>
      <c r="U20" s="69" t="str">
        <f aca="false">""&amp;Data_Farmer!B105</f>
        <v>2.3</v>
      </c>
    </row>
    <row r="21" customFormat="false" ht="15" hidden="false" customHeight="false" outlineLevel="0" collapsed="false">
      <c r="A21" s="69" t="str">
        <f aca="false">IF(Data_Farmer!W85="","",""&amp;Data_Farmer!W85)</f>
        <v>46005</v>
      </c>
      <c r="B21" s="69" t="str">
        <f aca="false">IF(Data_Farmer!W8="","",""&amp;Data_Farmer!W8)</f>
        <v/>
      </c>
      <c r="C21" s="69" t="str">
        <f aca="false">IF(Data_Farmer!W12="","",""&amp;Data_Farmer!W12)</f>
        <v/>
      </c>
      <c r="D21" s="69" t="str">
        <f aca="false">IF(Data_Farmer!W13="","",""&amp;Data_Farmer!W13)</f>
        <v/>
      </c>
      <c r="E21" s="69" t="str">
        <f aca="false">IF(Data_Farmer!W21="","",""&amp;Data_Farmer!W21)</f>
        <v/>
      </c>
      <c r="F21" s="69" t="str">
        <f aca="false">IF(Data_Farmer!W22="","",""&amp;Data_Farmer!W22)</f>
        <v/>
      </c>
      <c r="G21" s="69" t="str">
        <f aca="false">IF(Data_Farmer!W23="","",""&amp;Data_Farmer!W23)</f>
        <v/>
      </c>
      <c r="H21" s="69" t="str">
        <f aca="false">IF(Data_Farmer!W66="","",""&amp;Data_Farmer!W66)</f>
        <v/>
      </c>
      <c r="I21" s="69" t="str">
        <f aca="false">IF(Data_Farmer!W26="","",""&amp;Data_Farmer!W26)</f>
        <v/>
      </c>
      <c r="J21" s="69" t="str">
        <f aca="false">IF(Data_Farmer!W28="","",""&amp;Data_Farmer!W28)</f>
        <v/>
      </c>
      <c r="K21" s="69" t="str">
        <f aca="false">IF(Data_Farmer!W37="","",""&amp;Data_Farmer!W37)</f>
        <v/>
      </c>
      <c r="L21" s="69" t="str">
        <f aca="false">IF(Data_Farmer!W38="","",""&amp;Data_Farmer!W38)</f>
        <v/>
      </c>
      <c r="M21" s="69" t="str">
        <f aca="false">IF(Data_Farmer!W46="","",""&amp;Data_Farmer!W46)</f>
        <v/>
      </c>
      <c r="N21" s="69" t="str">
        <f aca="false">IF(Data_Farmer!W47="","",""&amp;Data_Farmer!W47)</f>
        <v/>
      </c>
      <c r="O21" s="69" t="str">
        <f aca="false">IF(Data_Farmer!W48="","",""&amp;Data_Farmer!W48)</f>
        <v/>
      </c>
      <c r="P21" s="69" t="str">
        <f aca="false">IF(Data_Farmer!W73="","",""&amp;Data_Farmer!W73)</f>
        <v/>
      </c>
      <c r="Q21" s="69" t="str">
        <f aca="false">IF(Data_Farmer!W51="","",""&amp;Data_Farmer!W51)</f>
        <v/>
      </c>
      <c r="R21" s="69" t="str">
        <f aca="false">IF(Data_Farmer!W53="","",""&amp;Data_Farmer!W53)</f>
        <v/>
      </c>
      <c r="T21" s="69" t="s">
        <v>598</v>
      </c>
      <c r="U21" s="69" t="str">
        <f aca="false">""&amp;Data_Farmer!B106</f>
        <v>20.2</v>
      </c>
    </row>
    <row r="22" customFormat="false" ht="15" hidden="false" customHeight="false" outlineLevel="0" collapsed="false">
      <c r="A22" s="69" t="str">
        <f aca="false">IF(Data_Farmer!X85="","",""&amp;Data_Farmer!X85)</f>
        <v>46006</v>
      </c>
      <c r="B22" s="69" t="str">
        <f aca="false">IF(Data_Farmer!X8="","",""&amp;Data_Farmer!X8)</f>
        <v/>
      </c>
      <c r="C22" s="69" t="str">
        <f aca="false">IF(Data_Farmer!X12="","",""&amp;Data_Farmer!X12)</f>
        <v/>
      </c>
      <c r="D22" s="69" t="str">
        <f aca="false">IF(Data_Farmer!X13="","",""&amp;Data_Farmer!X13)</f>
        <v/>
      </c>
      <c r="E22" s="69" t="str">
        <f aca="false">IF(Data_Farmer!X21="","",""&amp;Data_Farmer!X21)</f>
        <v/>
      </c>
      <c r="F22" s="69" t="str">
        <f aca="false">IF(Data_Farmer!X22="","",""&amp;Data_Farmer!X22)</f>
        <v/>
      </c>
      <c r="G22" s="69" t="str">
        <f aca="false">IF(Data_Farmer!X23="","",""&amp;Data_Farmer!X23)</f>
        <v/>
      </c>
      <c r="H22" s="69" t="str">
        <f aca="false">IF(Data_Farmer!X66="","",""&amp;Data_Farmer!X66)</f>
        <v/>
      </c>
      <c r="I22" s="69" t="str">
        <f aca="false">IF(Data_Farmer!X26="","",""&amp;Data_Farmer!X26)</f>
        <v/>
      </c>
      <c r="J22" s="69" t="str">
        <f aca="false">IF(Data_Farmer!X28="","",""&amp;Data_Farmer!X28)</f>
        <v/>
      </c>
      <c r="K22" s="69" t="str">
        <f aca="false">IF(Data_Farmer!X37="","",""&amp;Data_Farmer!X37)</f>
        <v/>
      </c>
      <c r="L22" s="69" t="str">
        <f aca="false">IF(Data_Farmer!X38="","",""&amp;Data_Farmer!X38)</f>
        <v/>
      </c>
      <c r="M22" s="69" t="str">
        <f aca="false">IF(Data_Farmer!X46="","",""&amp;Data_Farmer!X46)</f>
        <v/>
      </c>
      <c r="N22" s="69" t="str">
        <f aca="false">IF(Data_Farmer!X47="","",""&amp;Data_Farmer!X47)</f>
        <v/>
      </c>
      <c r="O22" s="69" t="str">
        <f aca="false">IF(Data_Farmer!X48="","",""&amp;Data_Farmer!X48)</f>
        <v/>
      </c>
      <c r="P22" s="69" t="str">
        <f aca="false">IF(Data_Farmer!X73="","",""&amp;Data_Farmer!X73)</f>
        <v/>
      </c>
      <c r="Q22" s="69" t="str">
        <f aca="false">IF(Data_Farmer!X51="","",""&amp;Data_Farmer!X51)</f>
        <v/>
      </c>
      <c r="R22" s="69" t="str">
        <f aca="false">IF(Data_Farmer!X53="","",""&amp;Data_Farmer!X53)</f>
        <v/>
      </c>
      <c r="T22" s="69" t="s">
        <v>599</v>
      </c>
      <c r="U22" s="69" t="str">
        <f aca="false">""&amp;Data_Farmer!B107</f>
        <v>2.3</v>
      </c>
    </row>
    <row r="23" customFormat="false" ht="15" hidden="false" customHeight="false" outlineLevel="0" collapsed="false">
      <c r="A23" s="69" t="str">
        <f aca="false">IF(Data_Farmer!Y85="","",""&amp;Data_Farmer!Y85)</f>
        <v>46007</v>
      </c>
      <c r="B23" s="69" t="str">
        <f aca="false">IF(Data_Farmer!Y8="","",""&amp;Data_Farmer!Y8)</f>
        <v/>
      </c>
      <c r="C23" s="69" t="str">
        <f aca="false">IF(Data_Farmer!Y12="","",""&amp;Data_Farmer!Y12)</f>
        <v/>
      </c>
      <c r="D23" s="69" t="str">
        <f aca="false">IF(Data_Farmer!Y13="","",""&amp;Data_Farmer!Y13)</f>
        <v/>
      </c>
      <c r="E23" s="69" t="str">
        <f aca="false">IF(Data_Farmer!Y21="","",""&amp;Data_Farmer!Y21)</f>
        <v/>
      </c>
      <c r="F23" s="69" t="str">
        <f aca="false">IF(Data_Farmer!Y22="","",""&amp;Data_Farmer!Y22)</f>
        <v/>
      </c>
      <c r="G23" s="69" t="str">
        <f aca="false">IF(Data_Farmer!Y23="","",""&amp;Data_Farmer!Y23)</f>
        <v/>
      </c>
      <c r="H23" s="69" t="str">
        <f aca="false">IF(Data_Farmer!Y66="","",""&amp;Data_Farmer!Y66)</f>
        <v/>
      </c>
      <c r="I23" s="69" t="str">
        <f aca="false">IF(Data_Farmer!Y26="","",""&amp;Data_Farmer!Y26)</f>
        <v/>
      </c>
      <c r="J23" s="69" t="str">
        <f aca="false">IF(Data_Farmer!Y28="","",""&amp;Data_Farmer!Y28)</f>
        <v/>
      </c>
      <c r="K23" s="69" t="str">
        <f aca="false">IF(Data_Farmer!Y37="","",""&amp;Data_Farmer!Y37)</f>
        <v/>
      </c>
      <c r="L23" s="69" t="str">
        <f aca="false">IF(Data_Farmer!Y38="","",""&amp;Data_Farmer!Y38)</f>
        <v/>
      </c>
      <c r="M23" s="69" t="str">
        <f aca="false">IF(Data_Farmer!Y46="","",""&amp;Data_Farmer!Y46)</f>
        <v/>
      </c>
      <c r="N23" s="69" t="str">
        <f aca="false">IF(Data_Farmer!Y47="","",""&amp;Data_Farmer!Y47)</f>
        <v/>
      </c>
      <c r="O23" s="69" t="str">
        <f aca="false">IF(Data_Farmer!Y48="","",""&amp;Data_Farmer!Y48)</f>
        <v/>
      </c>
      <c r="P23" s="69" t="str">
        <f aca="false">IF(Data_Farmer!Y73="","",""&amp;Data_Farmer!Y73)</f>
        <v/>
      </c>
      <c r="Q23" s="69" t="str">
        <f aca="false">IF(Data_Farmer!Y51="","",""&amp;Data_Farmer!Y51)</f>
        <v/>
      </c>
      <c r="R23" s="69" t="str">
        <f aca="false">IF(Data_Farmer!Y53="","",""&amp;Data_Farmer!Y53)</f>
        <v/>
      </c>
      <c r="T23" s="69" t="s">
        <v>600</v>
      </c>
      <c r="U23" s="69" t="str">
        <f aca="false">""&amp;Data_Farmer!B108</f>
        <v>sheet-v3</v>
      </c>
    </row>
    <row r="24" customFormat="false" ht="15" hidden="false" customHeight="false" outlineLevel="0" collapsed="false">
      <c r="A24" s="69" t="str">
        <f aca="false">IF(Data_Farmer!Z85="","",""&amp;Data_Farmer!Z85)</f>
        <v>46008</v>
      </c>
      <c r="B24" s="69" t="str">
        <f aca="false">IF(Data_Farmer!Z8="","",""&amp;Data_Farmer!Z8)</f>
        <v/>
      </c>
      <c r="C24" s="69" t="str">
        <f aca="false">IF(Data_Farmer!Z12="","",""&amp;Data_Farmer!Z12)</f>
        <v/>
      </c>
      <c r="D24" s="69" t="str">
        <f aca="false">IF(Data_Farmer!Z13="","",""&amp;Data_Farmer!Z13)</f>
        <v/>
      </c>
      <c r="E24" s="69" t="str">
        <f aca="false">IF(Data_Farmer!Z21="","",""&amp;Data_Farmer!Z21)</f>
        <v/>
      </c>
      <c r="F24" s="69" t="str">
        <f aca="false">IF(Data_Farmer!Z22="","",""&amp;Data_Farmer!Z22)</f>
        <v/>
      </c>
      <c r="G24" s="69" t="str">
        <f aca="false">IF(Data_Farmer!Z23="","",""&amp;Data_Farmer!Z23)</f>
        <v/>
      </c>
      <c r="H24" s="69" t="str">
        <f aca="false">IF(Data_Farmer!Z66="","",""&amp;Data_Farmer!Z66)</f>
        <v/>
      </c>
      <c r="I24" s="69" t="str">
        <f aca="false">IF(Data_Farmer!Z26="","",""&amp;Data_Farmer!Z26)</f>
        <v/>
      </c>
      <c r="J24" s="69" t="str">
        <f aca="false">IF(Data_Farmer!Z28="","",""&amp;Data_Farmer!Z28)</f>
        <v/>
      </c>
      <c r="K24" s="69" t="str">
        <f aca="false">IF(Data_Farmer!Z37="","",""&amp;Data_Farmer!Z37)</f>
        <v/>
      </c>
      <c r="L24" s="69" t="str">
        <f aca="false">IF(Data_Farmer!Z38="","",""&amp;Data_Farmer!Z38)</f>
        <v/>
      </c>
      <c r="M24" s="69" t="str">
        <f aca="false">IF(Data_Farmer!Z46="","",""&amp;Data_Farmer!Z46)</f>
        <v/>
      </c>
      <c r="N24" s="69" t="str">
        <f aca="false">IF(Data_Farmer!Z47="","",""&amp;Data_Farmer!Z47)</f>
        <v/>
      </c>
      <c r="O24" s="69" t="str">
        <f aca="false">IF(Data_Farmer!Z48="","",""&amp;Data_Farmer!Z48)</f>
        <v/>
      </c>
      <c r="P24" s="69" t="str">
        <f aca="false">IF(Data_Farmer!Z73="","",""&amp;Data_Farmer!Z73)</f>
        <v/>
      </c>
      <c r="Q24" s="69" t="str">
        <f aca="false">IF(Data_Farmer!Z51="","",""&amp;Data_Farmer!Z51)</f>
        <v/>
      </c>
      <c r="R24" s="69" t="str">
        <f aca="false">IF(Data_Farmer!Z53="","",""&amp;Data_Farmer!Z53)</f>
        <v/>
      </c>
    </row>
    <row r="25" customFormat="false" ht="15" hidden="false" customHeight="false" outlineLevel="0" collapsed="false">
      <c r="A25" s="69" t="str">
        <f aca="false">IF(Data_Farmer!AA85="","",""&amp;Data_Farmer!AA85)</f>
        <v>46009</v>
      </c>
      <c r="B25" s="69" t="str">
        <f aca="false">IF(Data_Farmer!AA8="","",""&amp;Data_Farmer!AA8)</f>
        <v/>
      </c>
      <c r="C25" s="69" t="str">
        <f aca="false">IF(Data_Farmer!AA12="","",""&amp;Data_Farmer!AA12)</f>
        <v/>
      </c>
      <c r="D25" s="69" t="str">
        <f aca="false">IF(Data_Farmer!AA13="","",""&amp;Data_Farmer!AA13)</f>
        <v/>
      </c>
      <c r="E25" s="69" t="str">
        <f aca="false">IF(Data_Farmer!AA21="","",""&amp;Data_Farmer!AA21)</f>
        <v/>
      </c>
      <c r="F25" s="69" t="str">
        <f aca="false">IF(Data_Farmer!AA22="","",""&amp;Data_Farmer!AA22)</f>
        <v/>
      </c>
      <c r="G25" s="69" t="str">
        <f aca="false">IF(Data_Farmer!AA23="","",""&amp;Data_Farmer!AA23)</f>
        <v/>
      </c>
      <c r="H25" s="69" t="str">
        <f aca="false">IF(Data_Farmer!AA66="","",""&amp;Data_Farmer!AA66)</f>
        <v/>
      </c>
      <c r="I25" s="69" t="str">
        <f aca="false">IF(Data_Farmer!AA26="","",""&amp;Data_Farmer!AA26)</f>
        <v/>
      </c>
      <c r="J25" s="69" t="str">
        <f aca="false">IF(Data_Farmer!AA28="","",""&amp;Data_Farmer!AA28)</f>
        <v/>
      </c>
      <c r="K25" s="69" t="str">
        <f aca="false">IF(Data_Farmer!AA37="","",""&amp;Data_Farmer!AA37)</f>
        <v/>
      </c>
      <c r="L25" s="69" t="str">
        <f aca="false">IF(Data_Farmer!AA38="","",""&amp;Data_Farmer!AA38)</f>
        <v/>
      </c>
      <c r="M25" s="69" t="str">
        <f aca="false">IF(Data_Farmer!AA46="","",""&amp;Data_Farmer!AA46)</f>
        <v/>
      </c>
      <c r="N25" s="69" t="str">
        <f aca="false">IF(Data_Farmer!AA47="","",""&amp;Data_Farmer!AA47)</f>
        <v/>
      </c>
      <c r="O25" s="69" t="str">
        <f aca="false">IF(Data_Farmer!AA48="","",""&amp;Data_Farmer!AA48)</f>
        <v/>
      </c>
      <c r="P25" s="69" t="str">
        <f aca="false">IF(Data_Farmer!AA73="","",""&amp;Data_Farmer!AA73)</f>
        <v/>
      </c>
      <c r="Q25" s="69" t="str">
        <f aca="false">IF(Data_Farmer!AA51="","",""&amp;Data_Farmer!AA51)</f>
        <v/>
      </c>
      <c r="R25" s="69" t="str">
        <f aca="false">IF(Data_Farmer!AA53="","",""&amp;Data_Farmer!AA53)</f>
        <v/>
      </c>
    </row>
    <row r="26" customFormat="false" ht="15" hidden="false" customHeight="false" outlineLevel="0" collapsed="false">
      <c r="A26" s="69" t="str">
        <f aca="false">IF(Data_Farmer!AB85="","",""&amp;Data_Farmer!AB85)</f>
        <v>46010</v>
      </c>
      <c r="B26" s="69" t="str">
        <f aca="false">IF(Data_Farmer!AB8="","",""&amp;Data_Farmer!AB8)</f>
        <v/>
      </c>
      <c r="C26" s="69" t="str">
        <f aca="false">IF(Data_Farmer!AB12="","",""&amp;Data_Farmer!AB12)</f>
        <v/>
      </c>
      <c r="D26" s="69" t="str">
        <f aca="false">IF(Data_Farmer!AB13="","",""&amp;Data_Farmer!AB13)</f>
        <v/>
      </c>
      <c r="E26" s="69" t="str">
        <f aca="false">IF(Data_Farmer!AB21="","",""&amp;Data_Farmer!AB21)</f>
        <v/>
      </c>
      <c r="F26" s="69" t="str">
        <f aca="false">IF(Data_Farmer!AB22="","",""&amp;Data_Farmer!AB22)</f>
        <v/>
      </c>
      <c r="G26" s="69" t="str">
        <f aca="false">IF(Data_Farmer!AB23="","",""&amp;Data_Farmer!AB23)</f>
        <v/>
      </c>
      <c r="H26" s="69" t="str">
        <f aca="false">IF(Data_Farmer!AB66="","",""&amp;Data_Farmer!AB66)</f>
        <v/>
      </c>
      <c r="I26" s="69" t="str">
        <f aca="false">IF(Data_Farmer!AB26="","",""&amp;Data_Farmer!AB26)</f>
        <v/>
      </c>
      <c r="J26" s="69" t="str">
        <f aca="false">IF(Data_Farmer!AB28="","",""&amp;Data_Farmer!AB28)</f>
        <v/>
      </c>
      <c r="K26" s="69" t="str">
        <f aca="false">IF(Data_Farmer!AB37="","",""&amp;Data_Farmer!AB37)</f>
        <v/>
      </c>
      <c r="L26" s="69" t="str">
        <f aca="false">IF(Data_Farmer!AB38="","",""&amp;Data_Farmer!AB38)</f>
        <v/>
      </c>
      <c r="M26" s="69" t="str">
        <f aca="false">IF(Data_Farmer!AB46="","",""&amp;Data_Farmer!AB46)</f>
        <v/>
      </c>
      <c r="N26" s="69" t="str">
        <f aca="false">IF(Data_Farmer!AB47="","",""&amp;Data_Farmer!AB47)</f>
        <v/>
      </c>
      <c r="O26" s="69" t="str">
        <f aca="false">IF(Data_Farmer!AB48="","",""&amp;Data_Farmer!AB48)</f>
        <v/>
      </c>
      <c r="P26" s="69" t="str">
        <f aca="false">IF(Data_Farmer!AB73="","",""&amp;Data_Farmer!AB73)</f>
        <v/>
      </c>
      <c r="Q26" s="69" t="str">
        <f aca="false">IF(Data_Farmer!AB51="","",""&amp;Data_Farmer!AB51)</f>
        <v/>
      </c>
      <c r="R26" s="69" t="str">
        <f aca="false">IF(Data_Farmer!AB53="","",""&amp;Data_Farmer!AB53)</f>
        <v/>
      </c>
    </row>
    <row r="27" customFormat="false" ht="15" hidden="false" customHeight="false" outlineLevel="0" collapsed="false">
      <c r="A27" s="69" t="str">
        <f aca="false">IF(Data_Farmer!AC85="","",""&amp;Data_Farmer!AC85)</f>
        <v>46011</v>
      </c>
      <c r="B27" s="69" t="str">
        <f aca="false">IF(Data_Farmer!AC8="","",""&amp;Data_Farmer!AC8)</f>
        <v/>
      </c>
      <c r="C27" s="69" t="str">
        <f aca="false">IF(Data_Farmer!AC12="","",""&amp;Data_Farmer!AC12)</f>
        <v/>
      </c>
      <c r="D27" s="69" t="str">
        <f aca="false">IF(Data_Farmer!AC13="","",""&amp;Data_Farmer!AC13)</f>
        <v/>
      </c>
      <c r="E27" s="69" t="str">
        <f aca="false">IF(Data_Farmer!AC21="","",""&amp;Data_Farmer!AC21)</f>
        <v/>
      </c>
      <c r="F27" s="69" t="str">
        <f aca="false">IF(Data_Farmer!AC22="","",""&amp;Data_Farmer!AC22)</f>
        <v/>
      </c>
      <c r="G27" s="69" t="str">
        <f aca="false">IF(Data_Farmer!AC23="","",""&amp;Data_Farmer!AC23)</f>
        <v/>
      </c>
      <c r="H27" s="69" t="str">
        <f aca="false">IF(Data_Farmer!AC66="","",""&amp;Data_Farmer!AC66)</f>
        <v/>
      </c>
      <c r="I27" s="69" t="str">
        <f aca="false">IF(Data_Farmer!AC26="","",""&amp;Data_Farmer!AC26)</f>
        <v/>
      </c>
      <c r="J27" s="69" t="str">
        <f aca="false">IF(Data_Farmer!AC28="","",""&amp;Data_Farmer!AC28)</f>
        <v/>
      </c>
      <c r="K27" s="69" t="str">
        <f aca="false">IF(Data_Farmer!AC37="","",""&amp;Data_Farmer!AC37)</f>
        <v/>
      </c>
      <c r="L27" s="69" t="str">
        <f aca="false">IF(Data_Farmer!AC38="","",""&amp;Data_Farmer!AC38)</f>
        <v/>
      </c>
      <c r="M27" s="69" t="str">
        <f aca="false">IF(Data_Farmer!AC46="","",""&amp;Data_Farmer!AC46)</f>
        <v/>
      </c>
      <c r="N27" s="69" t="str">
        <f aca="false">IF(Data_Farmer!AC47="","",""&amp;Data_Farmer!AC47)</f>
        <v/>
      </c>
      <c r="O27" s="69" t="str">
        <f aca="false">IF(Data_Farmer!AC48="","",""&amp;Data_Farmer!AC48)</f>
        <v/>
      </c>
      <c r="P27" s="69" t="str">
        <f aca="false">IF(Data_Farmer!AC73="","",""&amp;Data_Farmer!AC73)</f>
        <v/>
      </c>
      <c r="Q27" s="69" t="str">
        <f aca="false">IF(Data_Farmer!AC51="","",""&amp;Data_Farmer!AC51)</f>
        <v/>
      </c>
      <c r="R27" s="69" t="str">
        <f aca="false">IF(Data_Farmer!AC53="","",""&amp;Data_Farmer!AC53)</f>
        <v/>
      </c>
    </row>
    <row r="28" customFormat="false" ht="15" hidden="false" customHeight="false" outlineLevel="0" collapsed="false">
      <c r="A28" s="69" t="str">
        <f aca="false">IF(Data_Farmer!AD85="","",""&amp;Data_Farmer!AD85)</f>
        <v>46012</v>
      </c>
      <c r="B28" s="69" t="str">
        <f aca="false">IF(Data_Farmer!AD8="","",""&amp;Data_Farmer!AD8)</f>
        <v/>
      </c>
      <c r="C28" s="69" t="str">
        <f aca="false">IF(Data_Farmer!AD12="","",""&amp;Data_Farmer!AD12)</f>
        <v/>
      </c>
      <c r="D28" s="69" t="str">
        <f aca="false">IF(Data_Farmer!AD13="","",""&amp;Data_Farmer!AD13)</f>
        <v/>
      </c>
      <c r="E28" s="69" t="str">
        <f aca="false">IF(Data_Farmer!AD21="","",""&amp;Data_Farmer!AD21)</f>
        <v/>
      </c>
      <c r="F28" s="69" t="str">
        <f aca="false">IF(Data_Farmer!AD22="","",""&amp;Data_Farmer!AD22)</f>
        <v/>
      </c>
      <c r="G28" s="69" t="str">
        <f aca="false">IF(Data_Farmer!AD23="","",""&amp;Data_Farmer!AD23)</f>
        <v/>
      </c>
      <c r="H28" s="69" t="str">
        <f aca="false">IF(Data_Farmer!AD66="","",""&amp;Data_Farmer!AD66)</f>
        <v/>
      </c>
      <c r="I28" s="69" t="str">
        <f aca="false">IF(Data_Farmer!AD26="","",""&amp;Data_Farmer!AD26)</f>
        <v/>
      </c>
      <c r="J28" s="69" t="str">
        <f aca="false">IF(Data_Farmer!AD28="","",""&amp;Data_Farmer!AD28)</f>
        <v/>
      </c>
      <c r="K28" s="69" t="str">
        <f aca="false">IF(Data_Farmer!AD37="","",""&amp;Data_Farmer!AD37)</f>
        <v/>
      </c>
      <c r="L28" s="69" t="str">
        <f aca="false">IF(Data_Farmer!AD38="","",""&amp;Data_Farmer!AD38)</f>
        <v/>
      </c>
      <c r="M28" s="69" t="str">
        <f aca="false">IF(Data_Farmer!AD46="","",""&amp;Data_Farmer!AD46)</f>
        <v/>
      </c>
      <c r="N28" s="69" t="str">
        <f aca="false">IF(Data_Farmer!AD47="","",""&amp;Data_Farmer!AD47)</f>
        <v/>
      </c>
      <c r="O28" s="69" t="str">
        <f aca="false">IF(Data_Farmer!AD48="","",""&amp;Data_Farmer!AD48)</f>
        <v/>
      </c>
      <c r="P28" s="69" t="str">
        <f aca="false">IF(Data_Farmer!AD73="","",""&amp;Data_Farmer!AD73)</f>
        <v/>
      </c>
      <c r="Q28" s="69" t="str">
        <f aca="false">IF(Data_Farmer!AD51="","",""&amp;Data_Farmer!AD51)</f>
        <v/>
      </c>
      <c r="R28" s="69" t="str">
        <f aca="false">IF(Data_Farmer!AD53="","",""&amp;Data_Farmer!AD53)</f>
        <v/>
      </c>
    </row>
    <row r="29" customFormat="false" ht="15" hidden="false" customHeight="false" outlineLevel="0" collapsed="false">
      <c r="A29" s="69" t="str">
        <f aca="false">IF(Data_Farmer!AE85="","",""&amp;Data_Farmer!AE85)</f>
        <v>46013</v>
      </c>
      <c r="B29" s="69" t="str">
        <f aca="false">IF(Data_Farmer!AE8="","",""&amp;Data_Farmer!AE8)</f>
        <v/>
      </c>
      <c r="C29" s="69" t="str">
        <f aca="false">IF(Data_Farmer!AE12="","",""&amp;Data_Farmer!AE12)</f>
        <v/>
      </c>
      <c r="D29" s="69" t="str">
        <f aca="false">IF(Data_Farmer!AE13="","",""&amp;Data_Farmer!AE13)</f>
        <v/>
      </c>
      <c r="E29" s="69" t="str">
        <f aca="false">IF(Data_Farmer!AE21="","",""&amp;Data_Farmer!AE21)</f>
        <v/>
      </c>
      <c r="F29" s="69" t="str">
        <f aca="false">IF(Data_Farmer!AE22="","",""&amp;Data_Farmer!AE22)</f>
        <v/>
      </c>
      <c r="G29" s="69" t="str">
        <f aca="false">IF(Data_Farmer!AE23="","",""&amp;Data_Farmer!AE23)</f>
        <v/>
      </c>
      <c r="H29" s="69" t="str">
        <f aca="false">IF(Data_Farmer!AE66="","",""&amp;Data_Farmer!AE66)</f>
        <v/>
      </c>
      <c r="I29" s="69" t="str">
        <f aca="false">IF(Data_Farmer!AE26="","",""&amp;Data_Farmer!AE26)</f>
        <v/>
      </c>
      <c r="J29" s="69" t="str">
        <f aca="false">IF(Data_Farmer!AE28="","",""&amp;Data_Farmer!AE28)</f>
        <v/>
      </c>
      <c r="K29" s="69" t="str">
        <f aca="false">IF(Data_Farmer!AE37="","",""&amp;Data_Farmer!AE37)</f>
        <v/>
      </c>
      <c r="L29" s="69" t="str">
        <f aca="false">IF(Data_Farmer!AE38="","",""&amp;Data_Farmer!AE38)</f>
        <v/>
      </c>
      <c r="M29" s="69" t="str">
        <f aca="false">IF(Data_Farmer!AE46="","",""&amp;Data_Farmer!AE46)</f>
        <v/>
      </c>
      <c r="N29" s="69" t="str">
        <f aca="false">IF(Data_Farmer!AE47="","",""&amp;Data_Farmer!AE47)</f>
        <v/>
      </c>
      <c r="O29" s="69" t="str">
        <f aca="false">IF(Data_Farmer!AE48="","",""&amp;Data_Farmer!AE48)</f>
        <v/>
      </c>
      <c r="P29" s="69" t="str">
        <f aca="false">IF(Data_Farmer!AE73="","",""&amp;Data_Farmer!AE73)</f>
        <v/>
      </c>
      <c r="Q29" s="69" t="str">
        <f aca="false">IF(Data_Farmer!AE51="","",""&amp;Data_Farmer!AE51)</f>
        <v/>
      </c>
      <c r="R29" s="69" t="str">
        <f aca="false">IF(Data_Farmer!AE53="","",""&amp;Data_Farmer!AE53)</f>
        <v/>
      </c>
    </row>
    <row r="30" customFormat="false" ht="15" hidden="false" customHeight="false" outlineLevel="0" collapsed="false">
      <c r="A30" s="69" t="str">
        <f aca="false">IF(Data_Farmer!AF85="","",""&amp;Data_Farmer!AF85)</f>
        <v>46014</v>
      </c>
      <c r="B30" s="69" t="str">
        <f aca="false">IF(Data_Farmer!AF8="","",""&amp;Data_Farmer!AF8)</f>
        <v/>
      </c>
      <c r="C30" s="69" t="str">
        <f aca="false">IF(Data_Farmer!AF12="","",""&amp;Data_Farmer!AF12)</f>
        <v/>
      </c>
      <c r="D30" s="69" t="str">
        <f aca="false">IF(Data_Farmer!AF13="","",""&amp;Data_Farmer!AF13)</f>
        <v/>
      </c>
      <c r="E30" s="69" t="str">
        <f aca="false">IF(Data_Farmer!AF21="","",""&amp;Data_Farmer!AF21)</f>
        <v/>
      </c>
      <c r="F30" s="69" t="str">
        <f aca="false">IF(Data_Farmer!AF22="","",""&amp;Data_Farmer!AF22)</f>
        <v/>
      </c>
      <c r="G30" s="69" t="str">
        <f aca="false">IF(Data_Farmer!AF23="","",""&amp;Data_Farmer!AF23)</f>
        <v/>
      </c>
      <c r="H30" s="69" t="str">
        <f aca="false">IF(Data_Farmer!AF66="","",""&amp;Data_Farmer!AF66)</f>
        <v/>
      </c>
      <c r="I30" s="69" t="str">
        <f aca="false">IF(Data_Farmer!AF26="","",""&amp;Data_Farmer!AF26)</f>
        <v/>
      </c>
      <c r="J30" s="69" t="str">
        <f aca="false">IF(Data_Farmer!AF28="","",""&amp;Data_Farmer!AF28)</f>
        <v/>
      </c>
      <c r="K30" s="69" t="str">
        <f aca="false">IF(Data_Farmer!AF37="","",""&amp;Data_Farmer!AF37)</f>
        <v/>
      </c>
      <c r="L30" s="69" t="str">
        <f aca="false">IF(Data_Farmer!AF38="","",""&amp;Data_Farmer!AF38)</f>
        <v/>
      </c>
      <c r="M30" s="69" t="str">
        <f aca="false">IF(Data_Farmer!AF46="","",""&amp;Data_Farmer!AF46)</f>
        <v/>
      </c>
      <c r="N30" s="69" t="str">
        <f aca="false">IF(Data_Farmer!AF47="","",""&amp;Data_Farmer!AF47)</f>
        <v/>
      </c>
      <c r="O30" s="69" t="str">
        <f aca="false">IF(Data_Farmer!AF48="","",""&amp;Data_Farmer!AF48)</f>
        <v/>
      </c>
      <c r="P30" s="69" t="str">
        <f aca="false">IF(Data_Farmer!AF73="","",""&amp;Data_Farmer!AF73)</f>
        <v/>
      </c>
      <c r="Q30" s="69" t="str">
        <f aca="false">IF(Data_Farmer!AF51="","",""&amp;Data_Farmer!AF51)</f>
        <v/>
      </c>
      <c r="R30" s="69" t="str">
        <f aca="false">IF(Data_Farmer!AF53="","",""&amp;Data_Farmer!AF53)</f>
        <v/>
      </c>
    </row>
    <row r="31" customFormat="false" ht="15" hidden="false" customHeight="false" outlineLevel="0" collapsed="false">
      <c r="A31" s="69" t="str">
        <f aca="false">IF(Data_Farmer!AG85="","",""&amp;Data_Farmer!AG85)</f>
        <v>46015</v>
      </c>
      <c r="B31" s="69" t="str">
        <f aca="false">IF(Data_Farmer!AG8="","",""&amp;Data_Farmer!AG8)</f>
        <v/>
      </c>
      <c r="C31" s="69" t="str">
        <f aca="false">IF(Data_Farmer!AG12="","",""&amp;Data_Farmer!AG12)</f>
        <v/>
      </c>
      <c r="D31" s="69" t="str">
        <f aca="false">IF(Data_Farmer!AG13="","",""&amp;Data_Farmer!AG13)</f>
        <v/>
      </c>
      <c r="E31" s="69" t="str">
        <f aca="false">IF(Data_Farmer!AG21="","",""&amp;Data_Farmer!AG21)</f>
        <v/>
      </c>
      <c r="F31" s="69" t="str">
        <f aca="false">IF(Data_Farmer!AG22="","",""&amp;Data_Farmer!AG22)</f>
        <v/>
      </c>
      <c r="G31" s="69" t="str">
        <f aca="false">IF(Data_Farmer!AG23="","",""&amp;Data_Farmer!AG23)</f>
        <v/>
      </c>
      <c r="H31" s="69" t="str">
        <f aca="false">IF(Data_Farmer!AG66="","",""&amp;Data_Farmer!AG66)</f>
        <v/>
      </c>
      <c r="I31" s="69" t="str">
        <f aca="false">IF(Data_Farmer!AG26="","",""&amp;Data_Farmer!AG26)</f>
        <v/>
      </c>
      <c r="J31" s="69" t="str">
        <f aca="false">IF(Data_Farmer!AG28="","",""&amp;Data_Farmer!AG28)</f>
        <v/>
      </c>
      <c r="K31" s="69" t="str">
        <f aca="false">IF(Data_Farmer!AG37="","",""&amp;Data_Farmer!AG37)</f>
        <v/>
      </c>
      <c r="L31" s="69" t="str">
        <f aca="false">IF(Data_Farmer!AG38="","",""&amp;Data_Farmer!AG38)</f>
        <v/>
      </c>
      <c r="M31" s="69" t="str">
        <f aca="false">IF(Data_Farmer!AG46="","",""&amp;Data_Farmer!AG46)</f>
        <v/>
      </c>
      <c r="N31" s="69" t="str">
        <f aca="false">IF(Data_Farmer!AG47="","",""&amp;Data_Farmer!AG47)</f>
        <v/>
      </c>
      <c r="O31" s="69" t="str">
        <f aca="false">IF(Data_Farmer!AG48="","",""&amp;Data_Farmer!AG48)</f>
        <v/>
      </c>
      <c r="P31" s="69" t="str">
        <f aca="false">IF(Data_Farmer!AG73="","",""&amp;Data_Farmer!AG73)</f>
        <v/>
      </c>
      <c r="Q31" s="69" t="str">
        <f aca="false">IF(Data_Farmer!AG51="","",""&amp;Data_Farmer!AG51)</f>
        <v/>
      </c>
      <c r="R31" s="69" t="str">
        <f aca="false">IF(Data_Farmer!AG53="","",""&amp;Data_Farmer!AG53)</f>
        <v/>
      </c>
    </row>
    <row r="32" customFormat="false" ht="15" hidden="false" customHeight="false" outlineLevel="0" collapsed="false">
      <c r="A32" s="69" t="str">
        <f aca="false">IF(Data_Farmer!AH85="","",""&amp;Data_Farmer!AH85)</f>
        <v>46016</v>
      </c>
      <c r="B32" s="69" t="str">
        <f aca="false">IF(Data_Farmer!AH8="","",""&amp;Data_Farmer!AH8)</f>
        <v/>
      </c>
      <c r="C32" s="69" t="str">
        <f aca="false">IF(Data_Farmer!AH12="","",""&amp;Data_Farmer!AH12)</f>
        <v/>
      </c>
      <c r="D32" s="69" t="str">
        <f aca="false">IF(Data_Farmer!AH13="","",""&amp;Data_Farmer!AH13)</f>
        <v/>
      </c>
      <c r="E32" s="69" t="str">
        <f aca="false">IF(Data_Farmer!AH21="","",""&amp;Data_Farmer!AH21)</f>
        <v/>
      </c>
      <c r="F32" s="69" t="str">
        <f aca="false">IF(Data_Farmer!AH22="","",""&amp;Data_Farmer!AH22)</f>
        <v/>
      </c>
      <c r="G32" s="69" t="str">
        <f aca="false">IF(Data_Farmer!AH23="","",""&amp;Data_Farmer!AH23)</f>
        <v/>
      </c>
      <c r="H32" s="69" t="str">
        <f aca="false">IF(Data_Farmer!AH66="","",""&amp;Data_Farmer!AH66)</f>
        <v/>
      </c>
      <c r="I32" s="69" t="str">
        <f aca="false">IF(Data_Farmer!AH26="","",""&amp;Data_Farmer!AH26)</f>
        <v/>
      </c>
      <c r="J32" s="69" t="str">
        <f aca="false">IF(Data_Farmer!AH28="","",""&amp;Data_Farmer!AH28)</f>
        <v/>
      </c>
      <c r="K32" s="69" t="str">
        <f aca="false">IF(Data_Farmer!AH37="","",""&amp;Data_Farmer!AH37)</f>
        <v/>
      </c>
      <c r="L32" s="69" t="str">
        <f aca="false">IF(Data_Farmer!AH38="","",""&amp;Data_Farmer!AH38)</f>
        <v/>
      </c>
      <c r="M32" s="69" t="str">
        <f aca="false">IF(Data_Farmer!AH46="","",""&amp;Data_Farmer!AH46)</f>
        <v/>
      </c>
      <c r="N32" s="69" t="str">
        <f aca="false">IF(Data_Farmer!AH47="","",""&amp;Data_Farmer!AH47)</f>
        <v/>
      </c>
      <c r="O32" s="69" t="str">
        <f aca="false">IF(Data_Farmer!AH48="","",""&amp;Data_Farmer!AH48)</f>
        <v/>
      </c>
      <c r="P32" s="69" t="str">
        <f aca="false">IF(Data_Farmer!AH73="","",""&amp;Data_Farmer!AH73)</f>
        <v/>
      </c>
      <c r="Q32" s="69" t="str">
        <f aca="false">IF(Data_Farmer!AH51="","",""&amp;Data_Farmer!AH51)</f>
        <v/>
      </c>
      <c r="R32" s="69" t="str">
        <f aca="false">IF(Data_Farmer!AH53="","",""&amp;Data_Farmer!AH53)</f>
        <v/>
      </c>
    </row>
    <row r="33" customFormat="false" ht="15" hidden="false" customHeight="false" outlineLevel="0" collapsed="false">
      <c r="A33" s="69" t="str">
        <f aca="false">IF(Data_Farmer!AI85="","",""&amp;Data_Farmer!AI85)</f>
        <v>46017</v>
      </c>
      <c r="B33" s="69" t="str">
        <f aca="false">IF(Data_Farmer!AI8="","",""&amp;Data_Farmer!AI8)</f>
        <v/>
      </c>
      <c r="C33" s="69" t="str">
        <f aca="false">IF(Data_Farmer!AI12="","",""&amp;Data_Farmer!AI12)</f>
        <v/>
      </c>
      <c r="D33" s="69" t="str">
        <f aca="false">IF(Data_Farmer!AI13="","",""&amp;Data_Farmer!AI13)</f>
        <v/>
      </c>
      <c r="E33" s="69" t="str">
        <f aca="false">IF(Data_Farmer!AI21="","",""&amp;Data_Farmer!AI21)</f>
        <v/>
      </c>
      <c r="F33" s="69" t="str">
        <f aca="false">IF(Data_Farmer!AI22="","",""&amp;Data_Farmer!AI22)</f>
        <v/>
      </c>
      <c r="G33" s="69" t="str">
        <f aca="false">IF(Data_Farmer!AI23="","",""&amp;Data_Farmer!AI23)</f>
        <v/>
      </c>
      <c r="H33" s="69" t="str">
        <f aca="false">IF(Data_Farmer!AI66="","",""&amp;Data_Farmer!AI66)</f>
        <v/>
      </c>
      <c r="I33" s="69" t="str">
        <f aca="false">IF(Data_Farmer!AI26="","",""&amp;Data_Farmer!AI26)</f>
        <v/>
      </c>
      <c r="J33" s="69" t="str">
        <f aca="false">IF(Data_Farmer!AI28="","",""&amp;Data_Farmer!AI28)</f>
        <v/>
      </c>
      <c r="K33" s="69" t="str">
        <f aca="false">IF(Data_Farmer!AI37="","",""&amp;Data_Farmer!AI37)</f>
        <v/>
      </c>
      <c r="L33" s="69" t="str">
        <f aca="false">IF(Data_Farmer!AI38="","",""&amp;Data_Farmer!AI38)</f>
        <v/>
      </c>
      <c r="M33" s="69" t="str">
        <f aca="false">IF(Data_Farmer!AI46="","",""&amp;Data_Farmer!AI46)</f>
        <v/>
      </c>
      <c r="N33" s="69" t="str">
        <f aca="false">IF(Data_Farmer!AI47="","",""&amp;Data_Farmer!AI47)</f>
        <v/>
      </c>
      <c r="O33" s="69" t="str">
        <f aca="false">IF(Data_Farmer!AI48="","",""&amp;Data_Farmer!AI48)</f>
        <v/>
      </c>
      <c r="P33" s="69" t="str">
        <f aca="false">IF(Data_Farmer!AI73="","",""&amp;Data_Farmer!AI73)</f>
        <v/>
      </c>
      <c r="Q33" s="69" t="str">
        <f aca="false">IF(Data_Farmer!AI51="","",""&amp;Data_Farmer!AI51)</f>
        <v/>
      </c>
      <c r="R33" s="69" t="str">
        <f aca="false">IF(Data_Farmer!AI53="","",""&amp;Data_Farmer!AI53)</f>
        <v/>
      </c>
    </row>
    <row r="34" customFormat="false" ht="15" hidden="false" customHeight="false" outlineLevel="0" collapsed="false">
      <c r="A34" s="69" t="str">
        <f aca="false">IF(Data_Farmer!AJ85="","",""&amp;Data_Farmer!AJ85)</f>
        <v>46018</v>
      </c>
      <c r="B34" s="69" t="str">
        <f aca="false">IF(Data_Farmer!AJ8="","",""&amp;Data_Farmer!AJ8)</f>
        <v/>
      </c>
      <c r="C34" s="69" t="str">
        <f aca="false">IF(Data_Farmer!AJ12="","",""&amp;Data_Farmer!AJ12)</f>
        <v/>
      </c>
      <c r="D34" s="69" t="str">
        <f aca="false">IF(Data_Farmer!AJ13="","",""&amp;Data_Farmer!AJ13)</f>
        <v/>
      </c>
      <c r="E34" s="69" t="str">
        <f aca="false">IF(Data_Farmer!AJ21="","",""&amp;Data_Farmer!AJ21)</f>
        <v/>
      </c>
      <c r="F34" s="69" t="str">
        <f aca="false">IF(Data_Farmer!AJ22="","",""&amp;Data_Farmer!AJ22)</f>
        <v/>
      </c>
      <c r="G34" s="69" t="str">
        <f aca="false">IF(Data_Farmer!AJ23="","",""&amp;Data_Farmer!AJ23)</f>
        <v/>
      </c>
      <c r="H34" s="69" t="str">
        <f aca="false">IF(Data_Farmer!AJ66="","",""&amp;Data_Farmer!AJ66)</f>
        <v/>
      </c>
      <c r="I34" s="69" t="str">
        <f aca="false">IF(Data_Farmer!AJ26="","",""&amp;Data_Farmer!AJ26)</f>
        <v/>
      </c>
      <c r="J34" s="69" t="str">
        <f aca="false">IF(Data_Farmer!AJ28="","",""&amp;Data_Farmer!AJ28)</f>
        <v/>
      </c>
      <c r="K34" s="69" t="str">
        <f aca="false">IF(Data_Farmer!AJ37="","",""&amp;Data_Farmer!AJ37)</f>
        <v/>
      </c>
      <c r="L34" s="69" t="str">
        <f aca="false">IF(Data_Farmer!AJ38="","",""&amp;Data_Farmer!AJ38)</f>
        <v/>
      </c>
      <c r="M34" s="69" t="str">
        <f aca="false">IF(Data_Farmer!AJ46="","",""&amp;Data_Farmer!AJ46)</f>
        <v/>
      </c>
      <c r="N34" s="69" t="str">
        <f aca="false">IF(Data_Farmer!AJ47="","",""&amp;Data_Farmer!AJ47)</f>
        <v/>
      </c>
      <c r="O34" s="69" t="str">
        <f aca="false">IF(Data_Farmer!AJ48="","",""&amp;Data_Farmer!AJ48)</f>
        <v/>
      </c>
      <c r="P34" s="69" t="str">
        <f aca="false">IF(Data_Farmer!AJ73="","",""&amp;Data_Farmer!AJ73)</f>
        <v/>
      </c>
      <c r="Q34" s="69" t="str">
        <f aca="false">IF(Data_Farmer!AJ51="","",""&amp;Data_Farmer!AJ51)</f>
        <v/>
      </c>
      <c r="R34" s="69" t="str">
        <f aca="false">IF(Data_Farmer!AJ53="","",""&amp;Data_Farmer!AJ53)</f>
        <v/>
      </c>
    </row>
    <row r="35" customFormat="false" ht="15" hidden="false" customHeight="false" outlineLevel="0" collapsed="false">
      <c r="A35" s="69" t="str">
        <f aca="false">IF(Data_Farmer!AK85="","",""&amp;Data_Farmer!AK85)</f>
        <v>46019</v>
      </c>
      <c r="B35" s="69" t="str">
        <f aca="false">IF(Data_Farmer!AK8="","",""&amp;Data_Farmer!AK8)</f>
        <v/>
      </c>
      <c r="C35" s="69" t="str">
        <f aca="false">IF(Data_Farmer!AK12="","",""&amp;Data_Farmer!AK12)</f>
        <v/>
      </c>
      <c r="D35" s="69" t="str">
        <f aca="false">IF(Data_Farmer!AK13="","",""&amp;Data_Farmer!AK13)</f>
        <v/>
      </c>
      <c r="E35" s="69" t="str">
        <f aca="false">IF(Data_Farmer!AK21="","",""&amp;Data_Farmer!AK21)</f>
        <v/>
      </c>
      <c r="F35" s="69" t="str">
        <f aca="false">IF(Data_Farmer!AK22="","",""&amp;Data_Farmer!AK22)</f>
        <v/>
      </c>
      <c r="G35" s="69" t="str">
        <f aca="false">IF(Data_Farmer!AK23="","",""&amp;Data_Farmer!AK23)</f>
        <v/>
      </c>
      <c r="H35" s="69" t="str">
        <f aca="false">IF(Data_Farmer!AK66="","",""&amp;Data_Farmer!AK66)</f>
        <v/>
      </c>
      <c r="I35" s="69" t="str">
        <f aca="false">IF(Data_Farmer!AK26="","",""&amp;Data_Farmer!AK26)</f>
        <v/>
      </c>
      <c r="J35" s="69" t="str">
        <f aca="false">IF(Data_Farmer!AK28="","",""&amp;Data_Farmer!AK28)</f>
        <v/>
      </c>
      <c r="K35" s="69" t="str">
        <f aca="false">IF(Data_Farmer!AK37="","",""&amp;Data_Farmer!AK37)</f>
        <v/>
      </c>
      <c r="L35" s="69" t="str">
        <f aca="false">IF(Data_Farmer!AK38="","",""&amp;Data_Farmer!AK38)</f>
        <v/>
      </c>
      <c r="M35" s="69" t="str">
        <f aca="false">IF(Data_Farmer!AK46="","",""&amp;Data_Farmer!AK46)</f>
        <v/>
      </c>
      <c r="N35" s="69" t="str">
        <f aca="false">IF(Data_Farmer!AK47="","",""&amp;Data_Farmer!AK47)</f>
        <v/>
      </c>
      <c r="O35" s="69" t="str">
        <f aca="false">IF(Data_Farmer!AK48="","",""&amp;Data_Farmer!AK48)</f>
        <v/>
      </c>
      <c r="P35" s="69" t="str">
        <f aca="false">IF(Data_Farmer!AK73="","",""&amp;Data_Farmer!AK73)</f>
        <v/>
      </c>
      <c r="Q35" s="69" t="str">
        <f aca="false">IF(Data_Farmer!AK51="","",""&amp;Data_Farmer!AK51)</f>
        <v/>
      </c>
      <c r="R35" s="69" t="str">
        <f aca="false">IF(Data_Farmer!AK53="","",""&amp;Data_Farmer!AK53)</f>
        <v/>
      </c>
    </row>
    <row r="36" customFormat="false" ht="15" hidden="false" customHeight="false" outlineLevel="0" collapsed="false">
      <c r="A36" s="69" t="str">
        <f aca="false">IF(Data_Farmer!AL85="","",""&amp;Data_Farmer!AL85)</f>
        <v>46020</v>
      </c>
      <c r="B36" s="69" t="str">
        <f aca="false">IF(Data_Farmer!AL8="","",""&amp;Data_Farmer!AL8)</f>
        <v/>
      </c>
      <c r="C36" s="69" t="str">
        <f aca="false">IF(Data_Farmer!AL12="","",""&amp;Data_Farmer!AL12)</f>
        <v/>
      </c>
      <c r="D36" s="69" t="str">
        <f aca="false">IF(Data_Farmer!AL13="","",""&amp;Data_Farmer!AL13)</f>
        <v/>
      </c>
      <c r="E36" s="69" t="str">
        <f aca="false">IF(Data_Farmer!AL21="","",""&amp;Data_Farmer!AL21)</f>
        <v/>
      </c>
      <c r="F36" s="69" t="str">
        <f aca="false">IF(Data_Farmer!AL22="","",""&amp;Data_Farmer!AL22)</f>
        <v/>
      </c>
      <c r="G36" s="69" t="str">
        <f aca="false">IF(Data_Farmer!AL23="","",""&amp;Data_Farmer!AL23)</f>
        <v/>
      </c>
      <c r="H36" s="69" t="str">
        <f aca="false">IF(Data_Farmer!AL66="","",""&amp;Data_Farmer!AL66)</f>
        <v/>
      </c>
      <c r="I36" s="69" t="str">
        <f aca="false">IF(Data_Farmer!AL26="","",""&amp;Data_Farmer!AL26)</f>
        <v/>
      </c>
      <c r="J36" s="69" t="str">
        <f aca="false">IF(Data_Farmer!AL28="","",""&amp;Data_Farmer!AL28)</f>
        <v/>
      </c>
      <c r="K36" s="69" t="str">
        <f aca="false">IF(Data_Farmer!AL37="","",""&amp;Data_Farmer!AL37)</f>
        <v/>
      </c>
      <c r="L36" s="69" t="str">
        <f aca="false">IF(Data_Farmer!AL38="","",""&amp;Data_Farmer!AL38)</f>
        <v/>
      </c>
      <c r="M36" s="69" t="str">
        <f aca="false">IF(Data_Farmer!AL46="","",""&amp;Data_Farmer!AL46)</f>
        <v/>
      </c>
      <c r="N36" s="69" t="str">
        <f aca="false">IF(Data_Farmer!AL47="","",""&amp;Data_Farmer!AL47)</f>
        <v/>
      </c>
      <c r="O36" s="69" t="str">
        <f aca="false">IF(Data_Farmer!AL48="","",""&amp;Data_Farmer!AL48)</f>
        <v/>
      </c>
      <c r="P36" s="69" t="str">
        <f aca="false">IF(Data_Farmer!AL73="","",""&amp;Data_Farmer!AL73)</f>
        <v/>
      </c>
      <c r="Q36" s="69" t="str">
        <f aca="false">IF(Data_Farmer!AL51="","",""&amp;Data_Farmer!AL51)</f>
        <v/>
      </c>
      <c r="R36" s="69" t="str">
        <f aca="false">IF(Data_Farmer!AL53="","",""&amp;Data_Farmer!AL53)</f>
        <v/>
      </c>
    </row>
    <row r="37" customFormat="false" ht="15" hidden="false" customHeight="false" outlineLevel="0" collapsed="false">
      <c r="A37" s="69" t="str">
        <f aca="false">IF(Data_Farmer!AM85="","",""&amp;Data_Farmer!AM85)</f>
        <v>46021</v>
      </c>
      <c r="B37" s="69" t="str">
        <f aca="false">IF(Data_Farmer!AM8="","",""&amp;Data_Farmer!AM8)</f>
        <v/>
      </c>
      <c r="C37" s="69" t="str">
        <f aca="false">IF(Data_Farmer!AM12="","",""&amp;Data_Farmer!AM12)</f>
        <v/>
      </c>
      <c r="D37" s="69" t="str">
        <f aca="false">IF(Data_Farmer!AM13="","",""&amp;Data_Farmer!AM13)</f>
        <v/>
      </c>
      <c r="E37" s="69" t="str">
        <f aca="false">IF(Data_Farmer!AM21="","",""&amp;Data_Farmer!AM21)</f>
        <v/>
      </c>
      <c r="F37" s="69" t="str">
        <f aca="false">IF(Data_Farmer!AM22="","",""&amp;Data_Farmer!AM22)</f>
        <v/>
      </c>
      <c r="G37" s="69" t="str">
        <f aca="false">IF(Data_Farmer!AM23="","",""&amp;Data_Farmer!AM23)</f>
        <v/>
      </c>
      <c r="H37" s="69" t="str">
        <f aca="false">IF(Data_Farmer!AM66="","",""&amp;Data_Farmer!AM66)</f>
        <v/>
      </c>
      <c r="I37" s="69" t="str">
        <f aca="false">IF(Data_Farmer!AM26="","",""&amp;Data_Farmer!AM26)</f>
        <v/>
      </c>
      <c r="J37" s="69" t="str">
        <f aca="false">IF(Data_Farmer!AM28="","",""&amp;Data_Farmer!AM28)</f>
        <v/>
      </c>
      <c r="K37" s="69" t="str">
        <f aca="false">IF(Data_Farmer!AM37="","",""&amp;Data_Farmer!AM37)</f>
        <v/>
      </c>
      <c r="L37" s="69" t="str">
        <f aca="false">IF(Data_Farmer!AM38="","",""&amp;Data_Farmer!AM38)</f>
        <v/>
      </c>
      <c r="M37" s="69" t="str">
        <f aca="false">IF(Data_Farmer!AM46="","",""&amp;Data_Farmer!AM46)</f>
        <v/>
      </c>
      <c r="N37" s="69" t="str">
        <f aca="false">IF(Data_Farmer!AM47="","",""&amp;Data_Farmer!AM47)</f>
        <v/>
      </c>
      <c r="O37" s="69" t="str">
        <f aca="false">IF(Data_Farmer!AM48="","",""&amp;Data_Farmer!AM48)</f>
        <v/>
      </c>
      <c r="P37" s="69" t="str">
        <f aca="false">IF(Data_Farmer!AM73="","",""&amp;Data_Farmer!AM73)</f>
        <v/>
      </c>
      <c r="Q37" s="69" t="str">
        <f aca="false">IF(Data_Farmer!AM51="","",""&amp;Data_Farmer!AM51)</f>
        <v/>
      </c>
      <c r="R37" s="69" t="str">
        <f aca="false">IF(Data_Farmer!AM53="","",""&amp;Data_Farmer!AM53)</f>
        <v/>
      </c>
    </row>
    <row r="38" customFormat="false" ht="15" hidden="false" customHeight="false" outlineLevel="0" collapsed="false">
      <c r="A38" s="69" t="str">
        <f aca="false">IF(Data_Farmer!AN85="","",""&amp;Data_Farmer!AN85)</f>
        <v>46022</v>
      </c>
      <c r="B38" s="69" t="str">
        <f aca="false">IF(Data_Farmer!AN8="","",""&amp;Data_Farmer!AN8)</f>
        <v/>
      </c>
      <c r="C38" s="69" t="str">
        <f aca="false">IF(Data_Farmer!AN12="","",""&amp;Data_Farmer!AN12)</f>
        <v/>
      </c>
      <c r="D38" s="69" t="str">
        <f aca="false">IF(Data_Farmer!AN13="","",""&amp;Data_Farmer!AN13)</f>
        <v/>
      </c>
      <c r="E38" s="69" t="str">
        <f aca="false">IF(Data_Farmer!AN21="","",""&amp;Data_Farmer!AN21)</f>
        <v/>
      </c>
      <c r="F38" s="69" t="str">
        <f aca="false">IF(Data_Farmer!AN22="","",""&amp;Data_Farmer!AN22)</f>
        <v/>
      </c>
      <c r="G38" s="69" t="str">
        <f aca="false">IF(Data_Farmer!AN23="","",""&amp;Data_Farmer!AN23)</f>
        <v/>
      </c>
      <c r="H38" s="69" t="str">
        <f aca="false">IF(Data_Farmer!AN66="","",""&amp;Data_Farmer!AN66)</f>
        <v/>
      </c>
      <c r="I38" s="69" t="str">
        <f aca="false">IF(Data_Farmer!AN26="","",""&amp;Data_Farmer!AN26)</f>
        <v/>
      </c>
      <c r="J38" s="69" t="str">
        <f aca="false">IF(Data_Farmer!AN28="","",""&amp;Data_Farmer!AN28)</f>
        <v/>
      </c>
      <c r="K38" s="69" t="str">
        <f aca="false">IF(Data_Farmer!AN37="","",""&amp;Data_Farmer!AN37)</f>
        <v/>
      </c>
      <c r="L38" s="69" t="str">
        <f aca="false">IF(Data_Farmer!AN38="","",""&amp;Data_Farmer!AN38)</f>
        <v/>
      </c>
      <c r="M38" s="69" t="str">
        <f aca="false">IF(Data_Farmer!AN46="","",""&amp;Data_Farmer!AN46)</f>
        <v/>
      </c>
      <c r="N38" s="69" t="str">
        <f aca="false">IF(Data_Farmer!AN47="","",""&amp;Data_Farmer!AN47)</f>
        <v/>
      </c>
      <c r="O38" s="69" t="str">
        <f aca="false">IF(Data_Farmer!AN48="","",""&amp;Data_Farmer!AN48)</f>
        <v/>
      </c>
      <c r="P38" s="69" t="str">
        <f aca="false">IF(Data_Farmer!AN73="","",""&amp;Data_Farmer!AN73)</f>
        <v/>
      </c>
      <c r="Q38" s="69" t="str">
        <f aca="false">IF(Data_Farmer!AN51="","",""&amp;Data_Farmer!AN51)</f>
        <v/>
      </c>
      <c r="R38" s="69" t="str">
        <f aca="false">IF(Data_Farmer!AN53="","",""&amp;Data_Farmer!AN53)</f>
        <v/>
      </c>
    </row>
    <row r="39" customFormat="false" ht="15" hidden="false" customHeight="false" outlineLevel="0" collapsed="false">
      <c r="A39" s="69" t="str">
        <f aca="false">IF(Data_Farmer!AO85="","",""&amp;Data_Farmer!AO85)</f>
        <v>46023</v>
      </c>
      <c r="B39" s="69" t="str">
        <f aca="false">IF(Data_Farmer!AO8="","",""&amp;Data_Farmer!AO8)</f>
        <v/>
      </c>
      <c r="C39" s="69" t="str">
        <f aca="false">IF(Data_Farmer!AO12="","",""&amp;Data_Farmer!AO12)</f>
        <v/>
      </c>
      <c r="D39" s="69" t="str">
        <f aca="false">IF(Data_Farmer!AO13="","",""&amp;Data_Farmer!AO13)</f>
        <v/>
      </c>
      <c r="E39" s="69" t="str">
        <f aca="false">IF(Data_Farmer!AO21="","",""&amp;Data_Farmer!AO21)</f>
        <v/>
      </c>
      <c r="F39" s="69" t="str">
        <f aca="false">IF(Data_Farmer!AO22="","",""&amp;Data_Farmer!AO22)</f>
        <v/>
      </c>
      <c r="G39" s="69" t="str">
        <f aca="false">IF(Data_Farmer!AO23="","",""&amp;Data_Farmer!AO23)</f>
        <v/>
      </c>
      <c r="H39" s="69" t="str">
        <f aca="false">IF(Data_Farmer!AO66="","",""&amp;Data_Farmer!AO66)</f>
        <v/>
      </c>
      <c r="I39" s="69" t="str">
        <f aca="false">IF(Data_Farmer!AO26="","",""&amp;Data_Farmer!AO26)</f>
        <v/>
      </c>
      <c r="J39" s="69" t="str">
        <f aca="false">IF(Data_Farmer!AO28="","",""&amp;Data_Farmer!AO28)</f>
        <v/>
      </c>
      <c r="K39" s="69" t="str">
        <f aca="false">IF(Data_Farmer!AO37="","",""&amp;Data_Farmer!AO37)</f>
        <v/>
      </c>
      <c r="L39" s="69" t="str">
        <f aca="false">IF(Data_Farmer!AO38="","",""&amp;Data_Farmer!AO38)</f>
        <v/>
      </c>
      <c r="M39" s="69" t="str">
        <f aca="false">IF(Data_Farmer!AO46="","",""&amp;Data_Farmer!AO46)</f>
        <v/>
      </c>
      <c r="N39" s="69" t="str">
        <f aca="false">IF(Data_Farmer!AO47="","",""&amp;Data_Farmer!AO47)</f>
        <v/>
      </c>
      <c r="O39" s="69" t="str">
        <f aca="false">IF(Data_Farmer!AO48="","",""&amp;Data_Farmer!AO48)</f>
        <v/>
      </c>
      <c r="P39" s="69" t="str">
        <f aca="false">IF(Data_Farmer!AO73="","",""&amp;Data_Farmer!AO73)</f>
        <v/>
      </c>
      <c r="Q39" s="69" t="str">
        <f aca="false">IF(Data_Farmer!AO51="","",""&amp;Data_Farmer!AO51)</f>
        <v/>
      </c>
      <c r="R39" s="69" t="str">
        <f aca="false">IF(Data_Farmer!AO53="","",""&amp;Data_Farmer!AO53)</f>
        <v/>
      </c>
    </row>
    <row r="40" customFormat="false" ht="15" hidden="false" customHeight="false" outlineLevel="0" collapsed="false">
      <c r="A40" s="69" t="str">
        <f aca="false">IF(Data_Farmer!AP85="","",""&amp;Data_Farmer!AP85)</f>
        <v>46024</v>
      </c>
      <c r="B40" s="69" t="str">
        <f aca="false">IF(Data_Farmer!AP8="","",""&amp;Data_Farmer!AP8)</f>
        <v/>
      </c>
      <c r="C40" s="69" t="str">
        <f aca="false">IF(Data_Farmer!AP12="","",""&amp;Data_Farmer!AP12)</f>
        <v/>
      </c>
      <c r="D40" s="69" t="str">
        <f aca="false">IF(Data_Farmer!AP13="","",""&amp;Data_Farmer!AP13)</f>
        <v/>
      </c>
      <c r="E40" s="69" t="str">
        <f aca="false">IF(Data_Farmer!AP21="","",""&amp;Data_Farmer!AP21)</f>
        <v/>
      </c>
      <c r="F40" s="69" t="str">
        <f aca="false">IF(Data_Farmer!AP22="","",""&amp;Data_Farmer!AP22)</f>
        <v/>
      </c>
      <c r="G40" s="69" t="str">
        <f aca="false">IF(Data_Farmer!AP23="","",""&amp;Data_Farmer!AP23)</f>
        <v/>
      </c>
      <c r="H40" s="69" t="str">
        <f aca="false">IF(Data_Farmer!AP66="","",""&amp;Data_Farmer!AP66)</f>
        <v/>
      </c>
      <c r="I40" s="69" t="str">
        <f aca="false">IF(Data_Farmer!AP26="","",""&amp;Data_Farmer!AP26)</f>
        <v/>
      </c>
      <c r="J40" s="69" t="str">
        <f aca="false">IF(Data_Farmer!AP28="","",""&amp;Data_Farmer!AP28)</f>
        <v/>
      </c>
      <c r="K40" s="69" t="str">
        <f aca="false">IF(Data_Farmer!AP37="","",""&amp;Data_Farmer!AP37)</f>
        <v/>
      </c>
      <c r="L40" s="69" t="str">
        <f aca="false">IF(Data_Farmer!AP38="","",""&amp;Data_Farmer!AP38)</f>
        <v/>
      </c>
      <c r="M40" s="69" t="str">
        <f aca="false">IF(Data_Farmer!AP46="","",""&amp;Data_Farmer!AP46)</f>
        <v/>
      </c>
      <c r="N40" s="69" t="str">
        <f aca="false">IF(Data_Farmer!AP47="","",""&amp;Data_Farmer!AP47)</f>
        <v/>
      </c>
      <c r="O40" s="69" t="str">
        <f aca="false">IF(Data_Farmer!AP48="","",""&amp;Data_Farmer!AP48)</f>
        <v/>
      </c>
      <c r="P40" s="69" t="str">
        <f aca="false">IF(Data_Farmer!AP73="","",""&amp;Data_Farmer!AP73)</f>
        <v/>
      </c>
      <c r="Q40" s="69" t="str">
        <f aca="false">IF(Data_Farmer!AP51="","",""&amp;Data_Farmer!AP51)</f>
        <v/>
      </c>
      <c r="R40" s="69" t="str">
        <f aca="false">IF(Data_Farmer!AP53="","",""&amp;Data_Farmer!AP53)</f>
        <v/>
      </c>
    </row>
    <row r="41" customFormat="false" ht="15" hidden="false" customHeight="false" outlineLevel="0" collapsed="false">
      <c r="A41" s="69" t="str">
        <f aca="false">IF(Data_Farmer!AQ85="","",""&amp;Data_Farmer!AQ85)</f>
        <v>46025</v>
      </c>
      <c r="B41" s="69" t="str">
        <f aca="false">IF(Data_Farmer!AQ8="","",""&amp;Data_Farmer!AQ8)</f>
        <v/>
      </c>
      <c r="C41" s="69" t="str">
        <f aca="false">IF(Data_Farmer!AQ12="","",""&amp;Data_Farmer!AQ12)</f>
        <v/>
      </c>
      <c r="D41" s="69" t="str">
        <f aca="false">IF(Data_Farmer!AQ13="","",""&amp;Data_Farmer!AQ13)</f>
        <v/>
      </c>
      <c r="E41" s="69" t="str">
        <f aca="false">IF(Data_Farmer!AQ21="","",""&amp;Data_Farmer!AQ21)</f>
        <v/>
      </c>
      <c r="F41" s="69" t="str">
        <f aca="false">IF(Data_Farmer!AQ22="","",""&amp;Data_Farmer!AQ22)</f>
        <v/>
      </c>
      <c r="G41" s="69" t="str">
        <f aca="false">IF(Data_Farmer!AQ23="","",""&amp;Data_Farmer!AQ23)</f>
        <v/>
      </c>
      <c r="H41" s="69" t="str">
        <f aca="false">IF(Data_Farmer!AQ66="","",""&amp;Data_Farmer!AQ66)</f>
        <v/>
      </c>
      <c r="I41" s="69" t="str">
        <f aca="false">IF(Data_Farmer!AQ26="","",""&amp;Data_Farmer!AQ26)</f>
        <v/>
      </c>
      <c r="J41" s="69" t="str">
        <f aca="false">IF(Data_Farmer!AQ28="","",""&amp;Data_Farmer!AQ28)</f>
        <v/>
      </c>
      <c r="K41" s="69" t="str">
        <f aca="false">IF(Data_Farmer!AQ37="","",""&amp;Data_Farmer!AQ37)</f>
        <v/>
      </c>
      <c r="L41" s="69" t="str">
        <f aca="false">IF(Data_Farmer!AQ38="","",""&amp;Data_Farmer!AQ38)</f>
        <v/>
      </c>
      <c r="M41" s="69" t="str">
        <f aca="false">IF(Data_Farmer!AQ46="","",""&amp;Data_Farmer!AQ46)</f>
        <v/>
      </c>
      <c r="N41" s="69" t="str">
        <f aca="false">IF(Data_Farmer!AQ47="","",""&amp;Data_Farmer!AQ47)</f>
        <v/>
      </c>
      <c r="O41" s="69" t="str">
        <f aca="false">IF(Data_Farmer!AQ48="","",""&amp;Data_Farmer!AQ48)</f>
        <v/>
      </c>
      <c r="P41" s="69" t="str">
        <f aca="false">IF(Data_Farmer!AQ73="","",""&amp;Data_Farmer!AQ73)</f>
        <v/>
      </c>
      <c r="Q41" s="69" t="str">
        <f aca="false">IF(Data_Farmer!AQ51="","",""&amp;Data_Farmer!AQ51)</f>
        <v/>
      </c>
      <c r="R41" s="69" t="str">
        <f aca="false">IF(Data_Farmer!AQ53="","",""&amp;Data_Farmer!AQ53)</f>
        <v/>
      </c>
    </row>
    <row r="42" customFormat="false" ht="15" hidden="false" customHeight="false" outlineLevel="0" collapsed="false">
      <c r="A42" s="69" t="str">
        <f aca="false">IF(Data_Farmer!AR85="","",""&amp;Data_Farmer!AR85)</f>
        <v>46026</v>
      </c>
      <c r="B42" s="69" t="str">
        <f aca="false">IF(Data_Farmer!AR8="","",""&amp;Data_Farmer!AR8)</f>
        <v/>
      </c>
      <c r="C42" s="69" t="str">
        <f aca="false">IF(Data_Farmer!AR12="","",""&amp;Data_Farmer!AR12)</f>
        <v/>
      </c>
      <c r="D42" s="69" t="str">
        <f aca="false">IF(Data_Farmer!AR13="","",""&amp;Data_Farmer!AR13)</f>
        <v/>
      </c>
      <c r="E42" s="69" t="str">
        <f aca="false">IF(Data_Farmer!AR21="","",""&amp;Data_Farmer!AR21)</f>
        <v/>
      </c>
      <c r="F42" s="69" t="str">
        <f aca="false">IF(Data_Farmer!AR22="","",""&amp;Data_Farmer!AR22)</f>
        <v/>
      </c>
      <c r="G42" s="69" t="str">
        <f aca="false">IF(Data_Farmer!AR23="","",""&amp;Data_Farmer!AR23)</f>
        <v/>
      </c>
      <c r="H42" s="69" t="str">
        <f aca="false">IF(Data_Farmer!AR66="","",""&amp;Data_Farmer!AR66)</f>
        <v/>
      </c>
      <c r="I42" s="69" t="str">
        <f aca="false">IF(Data_Farmer!AR26="","",""&amp;Data_Farmer!AR26)</f>
        <v/>
      </c>
      <c r="J42" s="69" t="str">
        <f aca="false">IF(Data_Farmer!AR28="","",""&amp;Data_Farmer!AR28)</f>
        <v/>
      </c>
      <c r="K42" s="69" t="str">
        <f aca="false">IF(Data_Farmer!AR37="","",""&amp;Data_Farmer!AR37)</f>
        <v/>
      </c>
      <c r="L42" s="69" t="str">
        <f aca="false">IF(Data_Farmer!AR38="","",""&amp;Data_Farmer!AR38)</f>
        <v/>
      </c>
      <c r="M42" s="69" t="str">
        <f aca="false">IF(Data_Farmer!AR46="","",""&amp;Data_Farmer!AR46)</f>
        <v/>
      </c>
      <c r="N42" s="69" t="str">
        <f aca="false">IF(Data_Farmer!AR47="","",""&amp;Data_Farmer!AR47)</f>
        <v/>
      </c>
      <c r="O42" s="69" t="str">
        <f aca="false">IF(Data_Farmer!AR48="","",""&amp;Data_Farmer!AR48)</f>
        <v/>
      </c>
      <c r="P42" s="69" t="str">
        <f aca="false">IF(Data_Farmer!AR73="","",""&amp;Data_Farmer!AR73)</f>
        <v/>
      </c>
      <c r="Q42" s="69" t="str">
        <f aca="false">IF(Data_Farmer!AR51="","",""&amp;Data_Farmer!AR51)</f>
        <v/>
      </c>
      <c r="R42" s="69" t="str">
        <f aca="false">IF(Data_Farmer!AR53="","",""&amp;Data_Farmer!AR53)</f>
        <v/>
      </c>
    </row>
    <row r="43" customFormat="false" ht="15" hidden="false" customHeight="false" outlineLevel="0" collapsed="false">
      <c r="A43" s="69" t="str">
        <f aca="false">IF(Data_Farmer!AS85="","",""&amp;Data_Farmer!AS85)</f>
        <v>46027</v>
      </c>
      <c r="B43" s="69" t="str">
        <f aca="false">IF(Data_Farmer!AS8="","",""&amp;Data_Farmer!AS8)</f>
        <v/>
      </c>
      <c r="C43" s="69" t="str">
        <f aca="false">IF(Data_Farmer!AS12="","",""&amp;Data_Farmer!AS12)</f>
        <v/>
      </c>
      <c r="D43" s="69" t="str">
        <f aca="false">IF(Data_Farmer!AS13="","",""&amp;Data_Farmer!AS13)</f>
        <v/>
      </c>
      <c r="E43" s="69" t="str">
        <f aca="false">IF(Data_Farmer!AS21="","",""&amp;Data_Farmer!AS21)</f>
        <v/>
      </c>
      <c r="F43" s="69" t="str">
        <f aca="false">IF(Data_Farmer!AS22="","",""&amp;Data_Farmer!AS22)</f>
        <v/>
      </c>
      <c r="G43" s="69" t="str">
        <f aca="false">IF(Data_Farmer!AS23="","",""&amp;Data_Farmer!AS23)</f>
        <v/>
      </c>
      <c r="H43" s="69" t="str">
        <f aca="false">IF(Data_Farmer!AS66="","",""&amp;Data_Farmer!AS66)</f>
        <v/>
      </c>
      <c r="I43" s="69" t="str">
        <f aca="false">IF(Data_Farmer!AS26="","",""&amp;Data_Farmer!AS26)</f>
        <v/>
      </c>
      <c r="J43" s="69" t="str">
        <f aca="false">IF(Data_Farmer!AS28="","",""&amp;Data_Farmer!AS28)</f>
        <v/>
      </c>
      <c r="K43" s="69" t="str">
        <f aca="false">IF(Data_Farmer!AS37="","",""&amp;Data_Farmer!AS37)</f>
        <v/>
      </c>
      <c r="L43" s="69" t="str">
        <f aca="false">IF(Data_Farmer!AS38="","",""&amp;Data_Farmer!AS38)</f>
        <v/>
      </c>
      <c r="M43" s="69" t="str">
        <f aca="false">IF(Data_Farmer!AS46="","",""&amp;Data_Farmer!AS46)</f>
        <v/>
      </c>
      <c r="N43" s="69" t="str">
        <f aca="false">IF(Data_Farmer!AS47="","",""&amp;Data_Farmer!AS47)</f>
        <v/>
      </c>
      <c r="O43" s="69" t="str">
        <f aca="false">IF(Data_Farmer!AS48="","",""&amp;Data_Farmer!AS48)</f>
        <v/>
      </c>
      <c r="P43" s="69" t="str">
        <f aca="false">IF(Data_Farmer!AS73="","",""&amp;Data_Farmer!AS73)</f>
        <v/>
      </c>
      <c r="Q43" s="69" t="str">
        <f aca="false">IF(Data_Farmer!AS51="","",""&amp;Data_Farmer!AS51)</f>
        <v/>
      </c>
      <c r="R43" s="69" t="str">
        <f aca="false">IF(Data_Farmer!AS53="","",""&amp;Data_Farmer!AS53)</f>
        <v/>
      </c>
    </row>
    <row r="44" customFormat="false" ht="15" hidden="false" customHeight="false" outlineLevel="0" collapsed="false">
      <c r="A44" s="69" t="str">
        <f aca="false">IF(Data_Farmer!AT85="","",""&amp;Data_Farmer!AT85)</f>
        <v>46028</v>
      </c>
      <c r="B44" s="69" t="str">
        <f aca="false">IF(Data_Farmer!AT8="","",""&amp;Data_Farmer!AT8)</f>
        <v/>
      </c>
      <c r="C44" s="69" t="str">
        <f aca="false">IF(Data_Farmer!AT12="","",""&amp;Data_Farmer!AT12)</f>
        <v/>
      </c>
      <c r="D44" s="69" t="str">
        <f aca="false">IF(Data_Farmer!AT13="","",""&amp;Data_Farmer!AT13)</f>
        <v/>
      </c>
      <c r="E44" s="69" t="str">
        <f aca="false">IF(Data_Farmer!AT21="","",""&amp;Data_Farmer!AT21)</f>
        <v/>
      </c>
      <c r="F44" s="69" t="str">
        <f aca="false">IF(Data_Farmer!AT22="","",""&amp;Data_Farmer!AT22)</f>
        <v/>
      </c>
      <c r="G44" s="69" t="str">
        <f aca="false">IF(Data_Farmer!AT23="","",""&amp;Data_Farmer!AT23)</f>
        <v/>
      </c>
      <c r="H44" s="69" t="str">
        <f aca="false">IF(Data_Farmer!AT66="","",""&amp;Data_Farmer!AT66)</f>
        <v/>
      </c>
      <c r="I44" s="69" t="str">
        <f aca="false">IF(Data_Farmer!AT26="","",""&amp;Data_Farmer!AT26)</f>
        <v/>
      </c>
      <c r="J44" s="69" t="str">
        <f aca="false">IF(Data_Farmer!AT28="","",""&amp;Data_Farmer!AT28)</f>
        <v/>
      </c>
      <c r="K44" s="69" t="str">
        <f aca="false">IF(Data_Farmer!AT37="","",""&amp;Data_Farmer!AT37)</f>
        <v/>
      </c>
      <c r="L44" s="69" t="str">
        <f aca="false">IF(Data_Farmer!AT38="","",""&amp;Data_Farmer!AT38)</f>
        <v/>
      </c>
      <c r="M44" s="69" t="str">
        <f aca="false">IF(Data_Farmer!AT46="","",""&amp;Data_Farmer!AT46)</f>
        <v/>
      </c>
      <c r="N44" s="69" t="str">
        <f aca="false">IF(Data_Farmer!AT47="","",""&amp;Data_Farmer!AT47)</f>
        <v/>
      </c>
      <c r="O44" s="69" t="str">
        <f aca="false">IF(Data_Farmer!AT48="","",""&amp;Data_Farmer!AT48)</f>
        <v/>
      </c>
      <c r="P44" s="69" t="str">
        <f aca="false">IF(Data_Farmer!AT73="","",""&amp;Data_Farmer!AT73)</f>
        <v/>
      </c>
      <c r="Q44" s="69" t="str">
        <f aca="false">IF(Data_Farmer!AT51="","",""&amp;Data_Farmer!AT51)</f>
        <v/>
      </c>
      <c r="R44" s="69" t="str">
        <f aca="false">IF(Data_Farmer!AT53="","",""&amp;Data_Farmer!AT53)</f>
        <v/>
      </c>
    </row>
    <row r="45" customFormat="false" ht="15" hidden="false" customHeight="false" outlineLevel="0" collapsed="false">
      <c r="A45" s="69" t="str">
        <f aca="false">IF(Data_Farmer!AU85="","",""&amp;Data_Farmer!AU85)</f>
        <v>46029</v>
      </c>
      <c r="B45" s="69" t="str">
        <f aca="false">IF(Data_Farmer!AU8="","",""&amp;Data_Farmer!AU8)</f>
        <v/>
      </c>
      <c r="C45" s="69" t="str">
        <f aca="false">IF(Data_Farmer!AU12="","",""&amp;Data_Farmer!AU12)</f>
        <v/>
      </c>
      <c r="D45" s="69" t="str">
        <f aca="false">IF(Data_Farmer!AU13="","",""&amp;Data_Farmer!AU13)</f>
        <v/>
      </c>
      <c r="E45" s="69" t="str">
        <f aca="false">IF(Data_Farmer!AU21="","",""&amp;Data_Farmer!AU21)</f>
        <v/>
      </c>
      <c r="F45" s="69" t="str">
        <f aca="false">IF(Data_Farmer!AU22="","",""&amp;Data_Farmer!AU22)</f>
        <v/>
      </c>
      <c r="G45" s="69" t="str">
        <f aca="false">IF(Data_Farmer!AU23="","",""&amp;Data_Farmer!AU23)</f>
        <v/>
      </c>
      <c r="H45" s="69" t="str">
        <f aca="false">IF(Data_Farmer!AU66="","",""&amp;Data_Farmer!AU66)</f>
        <v/>
      </c>
      <c r="I45" s="69" t="str">
        <f aca="false">IF(Data_Farmer!AU26="","",""&amp;Data_Farmer!AU26)</f>
        <v/>
      </c>
      <c r="J45" s="69" t="str">
        <f aca="false">IF(Data_Farmer!AU28="","",""&amp;Data_Farmer!AU28)</f>
        <v/>
      </c>
      <c r="K45" s="69" t="str">
        <f aca="false">IF(Data_Farmer!AU37="","",""&amp;Data_Farmer!AU37)</f>
        <v/>
      </c>
      <c r="L45" s="69" t="str">
        <f aca="false">IF(Data_Farmer!AU38="","",""&amp;Data_Farmer!AU38)</f>
        <v/>
      </c>
      <c r="M45" s="69" t="str">
        <f aca="false">IF(Data_Farmer!AU46="","",""&amp;Data_Farmer!AU46)</f>
        <v/>
      </c>
      <c r="N45" s="69" t="str">
        <f aca="false">IF(Data_Farmer!AU47="","",""&amp;Data_Farmer!AU47)</f>
        <v/>
      </c>
      <c r="O45" s="69" t="str">
        <f aca="false">IF(Data_Farmer!AU48="","",""&amp;Data_Farmer!AU48)</f>
        <v/>
      </c>
      <c r="P45" s="69" t="str">
        <f aca="false">IF(Data_Farmer!AU73="","",""&amp;Data_Farmer!AU73)</f>
        <v/>
      </c>
      <c r="Q45" s="69" t="str">
        <f aca="false">IF(Data_Farmer!AU51="","",""&amp;Data_Farmer!AU51)</f>
        <v/>
      </c>
      <c r="R45" s="69" t="str">
        <f aca="false">IF(Data_Farmer!AU53="","",""&amp;Data_Farmer!AU53)</f>
        <v/>
      </c>
    </row>
    <row r="46" customFormat="false" ht="15" hidden="false" customHeight="false" outlineLevel="0" collapsed="false">
      <c r="A46" s="69" t="str">
        <f aca="false">IF(Data_Farmer!AV85="","",""&amp;Data_Farmer!AV85)</f>
        <v>46030</v>
      </c>
      <c r="B46" s="69" t="str">
        <f aca="false">IF(Data_Farmer!AV8="","",""&amp;Data_Farmer!AV8)</f>
        <v/>
      </c>
      <c r="C46" s="69" t="str">
        <f aca="false">IF(Data_Farmer!AV12="","",""&amp;Data_Farmer!AV12)</f>
        <v/>
      </c>
      <c r="D46" s="69" t="str">
        <f aca="false">IF(Data_Farmer!AV13="","",""&amp;Data_Farmer!AV13)</f>
        <v/>
      </c>
      <c r="E46" s="69" t="str">
        <f aca="false">IF(Data_Farmer!AV21="","",""&amp;Data_Farmer!AV21)</f>
        <v/>
      </c>
      <c r="F46" s="69" t="str">
        <f aca="false">IF(Data_Farmer!AV22="","",""&amp;Data_Farmer!AV22)</f>
        <v/>
      </c>
      <c r="G46" s="69" t="str">
        <f aca="false">IF(Data_Farmer!AV23="","",""&amp;Data_Farmer!AV23)</f>
        <v/>
      </c>
      <c r="H46" s="69" t="str">
        <f aca="false">IF(Data_Farmer!AV66="","",""&amp;Data_Farmer!AV66)</f>
        <v/>
      </c>
      <c r="I46" s="69" t="str">
        <f aca="false">IF(Data_Farmer!AV26="","",""&amp;Data_Farmer!AV26)</f>
        <v/>
      </c>
      <c r="J46" s="69" t="str">
        <f aca="false">IF(Data_Farmer!AV28="","",""&amp;Data_Farmer!AV28)</f>
        <v/>
      </c>
      <c r="K46" s="69" t="str">
        <f aca="false">IF(Data_Farmer!AV37="","",""&amp;Data_Farmer!AV37)</f>
        <v/>
      </c>
      <c r="L46" s="69" t="str">
        <f aca="false">IF(Data_Farmer!AV38="","",""&amp;Data_Farmer!AV38)</f>
        <v/>
      </c>
      <c r="M46" s="69" t="str">
        <f aca="false">IF(Data_Farmer!AV46="","",""&amp;Data_Farmer!AV46)</f>
        <v/>
      </c>
      <c r="N46" s="69" t="str">
        <f aca="false">IF(Data_Farmer!AV47="","",""&amp;Data_Farmer!AV47)</f>
        <v/>
      </c>
      <c r="O46" s="69" t="str">
        <f aca="false">IF(Data_Farmer!AV48="","",""&amp;Data_Farmer!AV48)</f>
        <v/>
      </c>
      <c r="P46" s="69" t="str">
        <f aca="false">IF(Data_Farmer!AV73="","",""&amp;Data_Farmer!AV73)</f>
        <v/>
      </c>
      <c r="Q46" s="69" t="str">
        <f aca="false">IF(Data_Farmer!AV51="","",""&amp;Data_Farmer!AV51)</f>
        <v/>
      </c>
      <c r="R46" s="69" t="str">
        <f aca="false">IF(Data_Farmer!AV53="","",""&amp;Data_Farmer!AV53)</f>
        <v/>
      </c>
    </row>
    <row r="47" customFormat="false" ht="15" hidden="false" customHeight="false" outlineLevel="0" collapsed="false">
      <c r="A47" s="69" t="str">
        <f aca="false">IF(Data_Farmer!AW85="","",""&amp;Data_Farmer!AW85)</f>
        <v>46031</v>
      </c>
      <c r="B47" s="69" t="str">
        <f aca="false">IF(Data_Farmer!AW8="","",""&amp;Data_Farmer!AW8)</f>
        <v/>
      </c>
      <c r="C47" s="69" t="str">
        <f aca="false">IF(Data_Farmer!AW12="","",""&amp;Data_Farmer!AW12)</f>
        <v/>
      </c>
      <c r="D47" s="69" t="str">
        <f aca="false">IF(Data_Farmer!AW13="","",""&amp;Data_Farmer!AW13)</f>
        <v/>
      </c>
      <c r="E47" s="69" t="str">
        <f aca="false">IF(Data_Farmer!AW21="","",""&amp;Data_Farmer!AW21)</f>
        <v/>
      </c>
      <c r="F47" s="69" t="str">
        <f aca="false">IF(Data_Farmer!AW22="","",""&amp;Data_Farmer!AW22)</f>
        <v/>
      </c>
      <c r="G47" s="69" t="str">
        <f aca="false">IF(Data_Farmer!AW23="","",""&amp;Data_Farmer!AW23)</f>
        <v/>
      </c>
      <c r="H47" s="69" t="str">
        <f aca="false">IF(Data_Farmer!AW66="","",""&amp;Data_Farmer!AW66)</f>
        <v/>
      </c>
      <c r="I47" s="69" t="str">
        <f aca="false">IF(Data_Farmer!AW26="","",""&amp;Data_Farmer!AW26)</f>
        <v/>
      </c>
      <c r="J47" s="69" t="str">
        <f aca="false">IF(Data_Farmer!AW28="","",""&amp;Data_Farmer!AW28)</f>
        <v/>
      </c>
      <c r="K47" s="69" t="str">
        <f aca="false">IF(Data_Farmer!AW37="","",""&amp;Data_Farmer!AW37)</f>
        <v/>
      </c>
      <c r="L47" s="69" t="str">
        <f aca="false">IF(Data_Farmer!AW38="","",""&amp;Data_Farmer!AW38)</f>
        <v/>
      </c>
      <c r="M47" s="69" t="str">
        <f aca="false">IF(Data_Farmer!AW46="","",""&amp;Data_Farmer!AW46)</f>
        <v/>
      </c>
      <c r="N47" s="69" t="str">
        <f aca="false">IF(Data_Farmer!AW47="","",""&amp;Data_Farmer!AW47)</f>
        <v/>
      </c>
      <c r="O47" s="69" t="str">
        <f aca="false">IF(Data_Farmer!AW48="","",""&amp;Data_Farmer!AW48)</f>
        <v/>
      </c>
      <c r="P47" s="69" t="str">
        <f aca="false">IF(Data_Farmer!AW73="","",""&amp;Data_Farmer!AW73)</f>
        <v/>
      </c>
      <c r="Q47" s="69" t="str">
        <f aca="false">IF(Data_Farmer!AW51="","",""&amp;Data_Farmer!AW51)</f>
        <v/>
      </c>
      <c r="R47" s="69" t="str">
        <f aca="false">IF(Data_Farmer!AW53="","",""&amp;Data_Farmer!AW53)</f>
        <v/>
      </c>
    </row>
    <row r="48" customFormat="false" ht="15" hidden="false" customHeight="false" outlineLevel="0" collapsed="false">
      <c r="A48" s="69" t="str">
        <f aca="false">IF(Data_Farmer!AX85="","",""&amp;Data_Farmer!AX85)</f>
        <v>46032</v>
      </c>
      <c r="B48" s="69" t="str">
        <f aca="false">IF(Data_Farmer!AX8="","",""&amp;Data_Farmer!AX8)</f>
        <v/>
      </c>
      <c r="C48" s="69" t="str">
        <f aca="false">IF(Data_Farmer!AX12="","",""&amp;Data_Farmer!AX12)</f>
        <v/>
      </c>
      <c r="D48" s="69" t="str">
        <f aca="false">IF(Data_Farmer!AX13="","",""&amp;Data_Farmer!AX13)</f>
        <v/>
      </c>
      <c r="E48" s="69" t="str">
        <f aca="false">IF(Data_Farmer!AX21="","",""&amp;Data_Farmer!AX21)</f>
        <v/>
      </c>
      <c r="F48" s="69" t="str">
        <f aca="false">IF(Data_Farmer!AX22="","",""&amp;Data_Farmer!AX22)</f>
        <v/>
      </c>
      <c r="G48" s="69" t="str">
        <f aca="false">IF(Data_Farmer!AX23="","",""&amp;Data_Farmer!AX23)</f>
        <v/>
      </c>
      <c r="H48" s="69" t="str">
        <f aca="false">IF(Data_Farmer!AX66="","",""&amp;Data_Farmer!AX66)</f>
        <v/>
      </c>
      <c r="I48" s="69" t="str">
        <f aca="false">IF(Data_Farmer!AX26="","",""&amp;Data_Farmer!AX26)</f>
        <v/>
      </c>
      <c r="J48" s="69" t="str">
        <f aca="false">IF(Data_Farmer!AX28="","",""&amp;Data_Farmer!AX28)</f>
        <v/>
      </c>
      <c r="K48" s="69" t="str">
        <f aca="false">IF(Data_Farmer!AX37="","",""&amp;Data_Farmer!AX37)</f>
        <v/>
      </c>
      <c r="L48" s="69" t="str">
        <f aca="false">IF(Data_Farmer!AX38="","",""&amp;Data_Farmer!AX38)</f>
        <v/>
      </c>
      <c r="M48" s="69" t="str">
        <f aca="false">IF(Data_Farmer!AX46="","",""&amp;Data_Farmer!AX46)</f>
        <v/>
      </c>
      <c r="N48" s="69" t="str">
        <f aca="false">IF(Data_Farmer!AX47="","",""&amp;Data_Farmer!AX47)</f>
        <v/>
      </c>
      <c r="O48" s="69" t="str">
        <f aca="false">IF(Data_Farmer!AX48="","",""&amp;Data_Farmer!AX48)</f>
        <v/>
      </c>
      <c r="P48" s="69" t="str">
        <f aca="false">IF(Data_Farmer!AX73="","",""&amp;Data_Farmer!AX73)</f>
        <v/>
      </c>
      <c r="Q48" s="69" t="str">
        <f aca="false">IF(Data_Farmer!AX51="","",""&amp;Data_Farmer!AX51)</f>
        <v/>
      </c>
      <c r="R48" s="69" t="str">
        <f aca="false">IF(Data_Farmer!AX53="","",""&amp;Data_Farmer!AX53)</f>
        <v/>
      </c>
    </row>
    <row r="49" customFormat="false" ht="15" hidden="false" customHeight="false" outlineLevel="0" collapsed="false">
      <c r="A49" s="69" t="str">
        <f aca="false">IF(Data_Farmer!AY85="","",""&amp;Data_Farmer!AY85)</f>
        <v>46033</v>
      </c>
      <c r="B49" s="69" t="str">
        <f aca="false">IF(Data_Farmer!AY8="","",""&amp;Data_Farmer!AY8)</f>
        <v/>
      </c>
      <c r="C49" s="69" t="str">
        <f aca="false">IF(Data_Farmer!AY12="","",""&amp;Data_Farmer!AY12)</f>
        <v/>
      </c>
      <c r="D49" s="69" t="str">
        <f aca="false">IF(Data_Farmer!AY13="","",""&amp;Data_Farmer!AY13)</f>
        <v/>
      </c>
      <c r="E49" s="69" t="str">
        <f aca="false">IF(Data_Farmer!AY21="","",""&amp;Data_Farmer!AY21)</f>
        <v/>
      </c>
      <c r="F49" s="69" t="str">
        <f aca="false">IF(Data_Farmer!AY22="","",""&amp;Data_Farmer!AY22)</f>
        <v/>
      </c>
      <c r="G49" s="69" t="str">
        <f aca="false">IF(Data_Farmer!AY23="","",""&amp;Data_Farmer!AY23)</f>
        <v/>
      </c>
      <c r="H49" s="69" t="str">
        <f aca="false">IF(Data_Farmer!AY66="","",""&amp;Data_Farmer!AY66)</f>
        <v/>
      </c>
      <c r="I49" s="69" t="str">
        <f aca="false">IF(Data_Farmer!AY26="","",""&amp;Data_Farmer!AY26)</f>
        <v/>
      </c>
      <c r="J49" s="69" t="str">
        <f aca="false">IF(Data_Farmer!AY28="","",""&amp;Data_Farmer!AY28)</f>
        <v/>
      </c>
      <c r="K49" s="69" t="str">
        <f aca="false">IF(Data_Farmer!AY37="","",""&amp;Data_Farmer!AY37)</f>
        <v/>
      </c>
      <c r="L49" s="69" t="str">
        <f aca="false">IF(Data_Farmer!AY38="","",""&amp;Data_Farmer!AY38)</f>
        <v/>
      </c>
      <c r="M49" s="69" t="str">
        <f aca="false">IF(Data_Farmer!AY46="","",""&amp;Data_Farmer!AY46)</f>
        <v/>
      </c>
      <c r="N49" s="69" t="str">
        <f aca="false">IF(Data_Farmer!AY47="","",""&amp;Data_Farmer!AY47)</f>
        <v/>
      </c>
      <c r="O49" s="69" t="str">
        <f aca="false">IF(Data_Farmer!AY48="","",""&amp;Data_Farmer!AY48)</f>
        <v/>
      </c>
      <c r="P49" s="69" t="str">
        <f aca="false">IF(Data_Farmer!AY73="","",""&amp;Data_Farmer!AY73)</f>
        <v/>
      </c>
      <c r="Q49" s="69" t="str">
        <f aca="false">IF(Data_Farmer!AY51="","",""&amp;Data_Farmer!AY51)</f>
        <v/>
      </c>
      <c r="R49" s="69" t="str">
        <f aca="false">IF(Data_Farmer!AY53="","",""&amp;Data_Farmer!AY53)</f>
        <v/>
      </c>
    </row>
    <row r="50" customFormat="false" ht="15" hidden="false" customHeight="false" outlineLevel="0" collapsed="false">
      <c r="A50" s="69" t="str">
        <f aca="false">IF(Data_Farmer!AZ85="","",""&amp;Data_Farmer!AZ85)</f>
        <v>46034</v>
      </c>
      <c r="B50" s="69" t="str">
        <f aca="false">IF(Data_Farmer!AZ8="","",""&amp;Data_Farmer!AZ8)</f>
        <v/>
      </c>
      <c r="C50" s="69" t="str">
        <f aca="false">IF(Data_Farmer!AZ12="","",""&amp;Data_Farmer!AZ12)</f>
        <v/>
      </c>
      <c r="D50" s="69" t="str">
        <f aca="false">IF(Data_Farmer!AZ13="","",""&amp;Data_Farmer!AZ13)</f>
        <v/>
      </c>
      <c r="E50" s="69" t="str">
        <f aca="false">IF(Data_Farmer!AZ21="","",""&amp;Data_Farmer!AZ21)</f>
        <v/>
      </c>
      <c r="F50" s="69" t="str">
        <f aca="false">IF(Data_Farmer!AZ22="","",""&amp;Data_Farmer!AZ22)</f>
        <v/>
      </c>
      <c r="G50" s="69" t="str">
        <f aca="false">IF(Data_Farmer!AZ23="","",""&amp;Data_Farmer!AZ23)</f>
        <v/>
      </c>
      <c r="H50" s="69" t="str">
        <f aca="false">IF(Data_Farmer!AZ66="","",""&amp;Data_Farmer!AZ66)</f>
        <v/>
      </c>
      <c r="I50" s="69" t="str">
        <f aca="false">IF(Data_Farmer!AZ26="","",""&amp;Data_Farmer!AZ26)</f>
        <v/>
      </c>
      <c r="J50" s="69" t="str">
        <f aca="false">IF(Data_Farmer!AZ28="","",""&amp;Data_Farmer!AZ28)</f>
        <v/>
      </c>
      <c r="K50" s="69" t="str">
        <f aca="false">IF(Data_Farmer!AZ37="","",""&amp;Data_Farmer!AZ37)</f>
        <v/>
      </c>
      <c r="L50" s="69" t="str">
        <f aca="false">IF(Data_Farmer!AZ38="","",""&amp;Data_Farmer!AZ38)</f>
        <v/>
      </c>
      <c r="M50" s="69" t="str">
        <f aca="false">IF(Data_Farmer!AZ46="","",""&amp;Data_Farmer!AZ46)</f>
        <v/>
      </c>
      <c r="N50" s="69" t="str">
        <f aca="false">IF(Data_Farmer!AZ47="","",""&amp;Data_Farmer!AZ47)</f>
        <v/>
      </c>
      <c r="O50" s="69" t="str">
        <f aca="false">IF(Data_Farmer!AZ48="","",""&amp;Data_Farmer!AZ48)</f>
        <v/>
      </c>
      <c r="P50" s="69" t="str">
        <f aca="false">IF(Data_Farmer!AZ73="","",""&amp;Data_Farmer!AZ73)</f>
        <v/>
      </c>
      <c r="Q50" s="69" t="str">
        <f aca="false">IF(Data_Farmer!AZ51="","",""&amp;Data_Farmer!AZ51)</f>
        <v/>
      </c>
      <c r="R50" s="69" t="str">
        <f aca="false">IF(Data_Farmer!AZ53="","",""&amp;Data_Farmer!AZ53)</f>
        <v/>
      </c>
    </row>
    <row r="51" customFormat="false" ht="15" hidden="false" customHeight="false" outlineLevel="0" collapsed="false">
      <c r="A51" s="69" t="str">
        <f aca="false">IF(Data_Farmer!BA85="","",""&amp;Data_Farmer!BA85)</f>
        <v>46035</v>
      </c>
      <c r="B51" s="69" t="str">
        <f aca="false">IF(Data_Farmer!BA8="","",""&amp;Data_Farmer!BA8)</f>
        <v/>
      </c>
      <c r="C51" s="69" t="str">
        <f aca="false">IF(Data_Farmer!BA12="","",""&amp;Data_Farmer!BA12)</f>
        <v/>
      </c>
      <c r="D51" s="69" t="str">
        <f aca="false">IF(Data_Farmer!BA13="","",""&amp;Data_Farmer!BA13)</f>
        <v/>
      </c>
      <c r="E51" s="69" t="str">
        <f aca="false">IF(Data_Farmer!BA21="","",""&amp;Data_Farmer!BA21)</f>
        <v/>
      </c>
      <c r="F51" s="69" t="str">
        <f aca="false">IF(Data_Farmer!BA22="","",""&amp;Data_Farmer!BA22)</f>
        <v/>
      </c>
      <c r="G51" s="69" t="str">
        <f aca="false">IF(Data_Farmer!BA23="","",""&amp;Data_Farmer!BA23)</f>
        <v/>
      </c>
      <c r="H51" s="69" t="str">
        <f aca="false">IF(Data_Farmer!BA66="","",""&amp;Data_Farmer!BA66)</f>
        <v/>
      </c>
      <c r="I51" s="69" t="str">
        <f aca="false">IF(Data_Farmer!BA26="","",""&amp;Data_Farmer!BA26)</f>
        <v/>
      </c>
      <c r="J51" s="69" t="str">
        <f aca="false">IF(Data_Farmer!BA28="","",""&amp;Data_Farmer!BA28)</f>
        <v/>
      </c>
      <c r="K51" s="69" t="str">
        <f aca="false">IF(Data_Farmer!BA37="","",""&amp;Data_Farmer!BA37)</f>
        <v/>
      </c>
      <c r="L51" s="69" t="str">
        <f aca="false">IF(Data_Farmer!BA38="","",""&amp;Data_Farmer!BA38)</f>
        <v/>
      </c>
      <c r="M51" s="69" t="str">
        <f aca="false">IF(Data_Farmer!BA46="","",""&amp;Data_Farmer!BA46)</f>
        <v/>
      </c>
      <c r="N51" s="69" t="str">
        <f aca="false">IF(Data_Farmer!BA47="","",""&amp;Data_Farmer!BA47)</f>
        <v/>
      </c>
      <c r="O51" s="69" t="str">
        <f aca="false">IF(Data_Farmer!BA48="","",""&amp;Data_Farmer!BA48)</f>
        <v/>
      </c>
      <c r="P51" s="69" t="str">
        <f aca="false">IF(Data_Farmer!BA73="","",""&amp;Data_Farmer!BA73)</f>
        <v/>
      </c>
      <c r="Q51" s="69" t="str">
        <f aca="false">IF(Data_Farmer!BA51="","",""&amp;Data_Farmer!BA51)</f>
        <v/>
      </c>
      <c r="R51" s="69" t="str">
        <f aca="false">IF(Data_Farmer!BA53="","",""&amp;Data_Farmer!BA53)</f>
        <v/>
      </c>
    </row>
    <row r="52" customFormat="false" ht="15" hidden="false" customHeight="false" outlineLevel="0" collapsed="false">
      <c r="A52" s="69" t="str">
        <f aca="false">IF(Data_Farmer!BB85="","",""&amp;Data_Farmer!BB85)</f>
        <v>46036</v>
      </c>
      <c r="B52" s="69" t="str">
        <f aca="false">IF(Data_Farmer!BB8="","",""&amp;Data_Farmer!BB8)</f>
        <v/>
      </c>
      <c r="C52" s="69" t="str">
        <f aca="false">IF(Data_Farmer!BB12="","",""&amp;Data_Farmer!BB12)</f>
        <v/>
      </c>
      <c r="D52" s="69" t="str">
        <f aca="false">IF(Data_Farmer!BB13="","",""&amp;Data_Farmer!BB13)</f>
        <v/>
      </c>
      <c r="E52" s="69" t="str">
        <f aca="false">IF(Data_Farmer!BB21="","",""&amp;Data_Farmer!BB21)</f>
        <v/>
      </c>
      <c r="F52" s="69" t="str">
        <f aca="false">IF(Data_Farmer!BB22="","",""&amp;Data_Farmer!BB22)</f>
        <v/>
      </c>
      <c r="G52" s="69" t="str">
        <f aca="false">IF(Data_Farmer!BB23="","",""&amp;Data_Farmer!BB23)</f>
        <v/>
      </c>
      <c r="H52" s="69" t="str">
        <f aca="false">IF(Data_Farmer!BB66="","",""&amp;Data_Farmer!BB66)</f>
        <v/>
      </c>
      <c r="I52" s="69" t="str">
        <f aca="false">IF(Data_Farmer!BB26="","",""&amp;Data_Farmer!BB26)</f>
        <v/>
      </c>
      <c r="J52" s="69" t="str">
        <f aca="false">IF(Data_Farmer!BB28="","",""&amp;Data_Farmer!BB28)</f>
        <v/>
      </c>
      <c r="K52" s="69" t="str">
        <f aca="false">IF(Data_Farmer!BB37="","",""&amp;Data_Farmer!BB37)</f>
        <v/>
      </c>
      <c r="L52" s="69" t="str">
        <f aca="false">IF(Data_Farmer!BB38="","",""&amp;Data_Farmer!BB38)</f>
        <v/>
      </c>
      <c r="M52" s="69" t="str">
        <f aca="false">IF(Data_Farmer!BB46="","",""&amp;Data_Farmer!BB46)</f>
        <v/>
      </c>
      <c r="N52" s="69" t="str">
        <f aca="false">IF(Data_Farmer!BB47="","",""&amp;Data_Farmer!BB47)</f>
        <v/>
      </c>
      <c r="O52" s="69" t="str">
        <f aca="false">IF(Data_Farmer!BB48="","",""&amp;Data_Farmer!BB48)</f>
        <v/>
      </c>
      <c r="P52" s="69" t="str">
        <f aca="false">IF(Data_Farmer!BB73="","",""&amp;Data_Farmer!BB73)</f>
        <v/>
      </c>
      <c r="Q52" s="69" t="str">
        <f aca="false">IF(Data_Farmer!BB51="","",""&amp;Data_Farmer!BB51)</f>
        <v/>
      </c>
      <c r="R52" s="69" t="str">
        <f aca="false">IF(Data_Farmer!BB53="","",""&amp;Data_Farmer!BB53)</f>
        <v/>
      </c>
    </row>
    <row r="53" customFormat="false" ht="15" hidden="false" customHeight="false" outlineLevel="0" collapsed="false">
      <c r="A53" s="69" t="str">
        <f aca="false">IF(Data_Farmer!BC85="","",""&amp;Data_Farmer!BC85)</f>
        <v>46037</v>
      </c>
      <c r="B53" s="69" t="str">
        <f aca="false">IF(Data_Farmer!BC8="","",""&amp;Data_Farmer!BC8)</f>
        <v/>
      </c>
      <c r="C53" s="69" t="str">
        <f aca="false">IF(Data_Farmer!BC12="","",""&amp;Data_Farmer!BC12)</f>
        <v/>
      </c>
      <c r="D53" s="69" t="str">
        <f aca="false">IF(Data_Farmer!BC13="","",""&amp;Data_Farmer!BC13)</f>
        <v/>
      </c>
      <c r="E53" s="69" t="str">
        <f aca="false">IF(Data_Farmer!BC21="","",""&amp;Data_Farmer!BC21)</f>
        <v/>
      </c>
      <c r="F53" s="69" t="str">
        <f aca="false">IF(Data_Farmer!BC22="","",""&amp;Data_Farmer!BC22)</f>
        <v/>
      </c>
      <c r="G53" s="69" t="str">
        <f aca="false">IF(Data_Farmer!BC23="","",""&amp;Data_Farmer!BC23)</f>
        <v/>
      </c>
      <c r="H53" s="69" t="str">
        <f aca="false">IF(Data_Farmer!BC66="","",""&amp;Data_Farmer!BC66)</f>
        <v/>
      </c>
      <c r="I53" s="69" t="str">
        <f aca="false">IF(Data_Farmer!BC26="","",""&amp;Data_Farmer!BC26)</f>
        <v/>
      </c>
      <c r="J53" s="69" t="str">
        <f aca="false">IF(Data_Farmer!BC28="","",""&amp;Data_Farmer!BC28)</f>
        <v/>
      </c>
      <c r="K53" s="69" t="str">
        <f aca="false">IF(Data_Farmer!BC37="","",""&amp;Data_Farmer!BC37)</f>
        <v/>
      </c>
      <c r="L53" s="69" t="str">
        <f aca="false">IF(Data_Farmer!BC38="","",""&amp;Data_Farmer!BC38)</f>
        <v/>
      </c>
      <c r="M53" s="69" t="str">
        <f aca="false">IF(Data_Farmer!BC46="","",""&amp;Data_Farmer!BC46)</f>
        <v/>
      </c>
      <c r="N53" s="69" t="str">
        <f aca="false">IF(Data_Farmer!BC47="","",""&amp;Data_Farmer!BC47)</f>
        <v/>
      </c>
      <c r="O53" s="69" t="str">
        <f aca="false">IF(Data_Farmer!BC48="","",""&amp;Data_Farmer!BC48)</f>
        <v/>
      </c>
      <c r="P53" s="69" t="str">
        <f aca="false">IF(Data_Farmer!BC73="","",""&amp;Data_Farmer!BC73)</f>
        <v/>
      </c>
      <c r="Q53" s="69" t="str">
        <f aca="false">IF(Data_Farmer!BC51="","",""&amp;Data_Farmer!BC51)</f>
        <v/>
      </c>
      <c r="R53" s="69" t="str">
        <f aca="false">IF(Data_Farmer!BC53="","",""&amp;Data_Farmer!BC53)</f>
        <v/>
      </c>
    </row>
    <row r="54" customFormat="false" ht="15" hidden="false" customHeight="false" outlineLevel="0" collapsed="false">
      <c r="A54" s="69" t="str">
        <f aca="false">IF(Data_Farmer!BD85="","",""&amp;Data_Farmer!BD85)</f>
        <v>46038</v>
      </c>
      <c r="B54" s="69" t="str">
        <f aca="false">IF(Data_Farmer!BD8="","",""&amp;Data_Farmer!BD8)</f>
        <v/>
      </c>
      <c r="C54" s="69" t="str">
        <f aca="false">IF(Data_Farmer!BD12="","",""&amp;Data_Farmer!BD12)</f>
        <v>280</v>
      </c>
      <c r="D54" s="69" t="str">
        <f aca="false">IF(Data_Farmer!BD13="","",""&amp;Data_Farmer!BD13)</f>
        <v>1</v>
      </c>
      <c r="E54" s="69" t="str">
        <f aca="false">IF(Data_Farmer!BD21="","",""&amp;Data_Farmer!BD21)</f>
        <v/>
      </c>
      <c r="F54" s="69" t="str">
        <f aca="false">IF(Data_Farmer!BD22="","",""&amp;Data_Farmer!BD22)</f>
        <v>0</v>
      </c>
      <c r="G54" s="69" t="str">
        <f aca="false">IF(Data_Farmer!BD23="","",""&amp;Data_Farmer!BD23)</f>
        <v/>
      </c>
      <c r="H54" s="69" t="str">
        <f aca="false">IF(Data_Farmer!BD66="","",""&amp;Data_Farmer!BD66)</f>
        <v/>
      </c>
      <c r="I54" s="69" t="str">
        <f aca="false">IF(Data_Farmer!BD26="","",""&amp;Data_Farmer!BD26)</f>
        <v/>
      </c>
      <c r="J54" s="69" t="str">
        <f aca="false">IF(Data_Farmer!BD28="","",""&amp;Data_Farmer!BD28)</f>
        <v/>
      </c>
      <c r="K54" s="69" t="str">
        <f aca="false">IF(Data_Farmer!BD37="","",""&amp;Data_Farmer!BD37)</f>
        <v>400.3</v>
      </c>
      <c r="L54" s="69" t="str">
        <f aca="false">IF(Data_Farmer!BD38="","",""&amp;Data_Farmer!BD38)</f>
        <v>1.3</v>
      </c>
      <c r="M54" s="69" t="str">
        <f aca="false">IF(Data_Farmer!BD46="","",""&amp;Data_Farmer!BD46)</f>
        <v/>
      </c>
      <c r="N54" s="69" t="str">
        <f aca="false">IF(Data_Farmer!BD47="","",""&amp;Data_Farmer!BD47)</f>
        <v>0</v>
      </c>
      <c r="O54" s="69" t="str">
        <f aca="false">IF(Data_Farmer!BD48="","",""&amp;Data_Farmer!BD48)</f>
        <v/>
      </c>
      <c r="P54" s="69" t="str">
        <f aca="false">IF(Data_Farmer!BD73="","",""&amp;Data_Farmer!BD73)</f>
        <v/>
      </c>
      <c r="Q54" s="69" t="str">
        <f aca="false">IF(Data_Farmer!BD51="","",""&amp;Data_Farmer!BD51)</f>
        <v/>
      </c>
      <c r="R54" s="69" t="str">
        <f aca="false">IF(Data_Farmer!BD53="","",""&amp;Data_Farmer!BD53)</f>
        <v/>
      </c>
    </row>
    <row r="55" customFormat="false" ht="15" hidden="false" customHeight="false" outlineLevel="0" collapsed="false">
      <c r="A55" s="69" t="str">
        <f aca="false">IF(Data_Farmer!BE85="","",""&amp;Data_Farmer!BE85)</f>
        <v>46039</v>
      </c>
      <c r="B55" s="69" t="str">
        <f aca="false">IF(Data_Farmer!BE8="","",""&amp;Data_Farmer!BE8)</f>
        <v/>
      </c>
      <c r="C55" s="69" t="str">
        <f aca="false">IF(Data_Farmer!BE12="","",""&amp;Data_Farmer!BE12)</f>
        <v>279.9</v>
      </c>
      <c r="D55" s="69" t="str">
        <f aca="false">IF(Data_Farmer!BE13="","",""&amp;Data_Farmer!BE13)</f>
        <v>0.9</v>
      </c>
      <c r="E55" s="69" t="str">
        <f aca="false">IF(Data_Farmer!BE21="","",""&amp;Data_Farmer!BE21)</f>
        <v>7</v>
      </c>
      <c r="F55" s="69" t="str">
        <f aca="false">IF(Data_Farmer!BE22="","",""&amp;Data_Farmer!BE22)</f>
        <v>7</v>
      </c>
      <c r="G55" s="69" t="str">
        <f aca="false">IF(Data_Farmer!BE23="","",""&amp;Data_Farmer!BE23)</f>
        <v>1</v>
      </c>
      <c r="H55" s="69" t="str">
        <f aca="false">IF(Data_Farmer!BE66="","",""&amp;Data_Farmer!BE66)</f>
        <v/>
      </c>
      <c r="I55" s="69" t="str">
        <f aca="false">IF(Data_Farmer!BE26="","",""&amp;Data_Farmer!BE26)</f>
        <v>20</v>
      </c>
      <c r="J55" s="69" t="str">
        <f aca="false">IF(Data_Farmer!BE28="","",""&amp;Data_Farmer!BE28)</f>
        <v/>
      </c>
      <c r="K55" s="69" t="str">
        <f aca="false">IF(Data_Farmer!BE37="","",""&amp;Data_Farmer!BE37)</f>
        <v>400</v>
      </c>
      <c r="L55" s="69" t="str">
        <f aca="false">IF(Data_Farmer!BE38="","",""&amp;Data_Farmer!BE38)</f>
        <v>1</v>
      </c>
      <c r="M55" s="69" t="str">
        <f aca="false">IF(Data_Farmer!BE46="","",""&amp;Data_Farmer!BE46)</f>
        <v>5</v>
      </c>
      <c r="N55" s="69" t="str">
        <f aca="false">IF(Data_Farmer!BE47="","",""&amp;Data_Farmer!BE47)</f>
        <v>5</v>
      </c>
      <c r="O55" s="69" t="str">
        <f aca="false">IF(Data_Farmer!BE48="","",""&amp;Data_Farmer!BE48)</f>
        <v>3</v>
      </c>
      <c r="P55" s="69" t="str">
        <f aca="false">IF(Data_Farmer!BE73="","",""&amp;Data_Farmer!BE73)</f>
        <v/>
      </c>
      <c r="Q55" s="69" t="str">
        <f aca="false">IF(Data_Farmer!BE51="","",""&amp;Data_Farmer!BE51)</f>
        <v>20</v>
      </c>
      <c r="R55" s="69" t="str">
        <f aca="false">IF(Data_Farmer!BE53="","",""&amp;Data_Farmer!BE53)</f>
        <v/>
      </c>
    </row>
    <row r="56" customFormat="false" ht="15" hidden="false" customHeight="false" outlineLevel="0" collapsed="false">
      <c r="A56" s="69" t="str">
        <f aca="false">IF(Data_Farmer!BF85="","",""&amp;Data_Farmer!BF85)</f>
        <v>46040</v>
      </c>
      <c r="B56" s="69" t="str">
        <f aca="false">IF(Data_Farmer!BF8="","",""&amp;Data_Farmer!BF8)</f>
        <v/>
      </c>
      <c r="C56" s="69" t="str">
        <f aca="false">IF(Data_Farmer!BF12="","",""&amp;Data_Farmer!BF12)</f>
        <v>280.5</v>
      </c>
      <c r="D56" s="69" t="str">
        <f aca="false">IF(Data_Farmer!BF13="","",""&amp;Data_Farmer!BF13)</f>
        <v>1.5</v>
      </c>
      <c r="E56" s="69" t="str">
        <f aca="false">IF(Data_Farmer!BF21="","",""&amp;Data_Farmer!BF21)</f>
        <v/>
      </c>
      <c r="F56" s="69" t="str">
        <f aca="false">IF(Data_Farmer!BF22="","",""&amp;Data_Farmer!BF22)</f>
        <v>7</v>
      </c>
      <c r="G56" s="69" t="str">
        <f aca="false">IF(Data_Farmer!BF23="","",""&amp;Data_Farmer!BF23)</f>
        <v>1</v>
      </c>
      <c r="H56" s="69" t="str">
        <f aca="false">IF(Data_Farmer!BF66="","",""&amp;Data_Farmer!BF66)</f>
        <v/>
      </c>
      <c r="I56" s="69" t="str">
        <f aca="false">IF(Data_Farmer!BF26="","",""&amp;Data_Farmer!BF26)</f>
        <v/>
      </c>
      <c r="J56" s="69" t="str">
        <f aca="false">IF(Data_Farmer!BF28="","",""&amp;Data_Farmer!BF28)</f>
        <v/>
      </c>
      <c r="K56" s="69" t="str">
        <f aca="false">IF(Data_Farmer!BF37="","",""&amp;Data_Farmer!BF37)</f>
        <v>400.3</v>
      </c>
      <c r="L56" s="69" t="str">
        <f aca="false">IF(Data_Farmer!BF38="","",""&amp;Data_Farmer!BF38)</f>
        <v>1.3</v>
      </c>
      <c r="M56" s="69" t="str">
        <f aca="false">IF(Data_Farmer!BF46="","",""&amp;Data_Farmer!BF46)</f>
        <v/>
      </c>
      <c r="N56" s="69" t="str">
        <f aca="false">IF(Data_Farmer!BF47="","",""&amp;Data_Farmer!BF47)</f>
        <v>5</v>
      </c>
      <c r="O56" s="69" t="str">
        <f aca="false">IF(Data_Farmer!BF48="","",""&amp;Data_Farmer!BF48)</f>
        <v>2</v>
      </c>
      <c r="P56" s="69" t="str">
        <f aca="false">IF(Data_Farmer!BF73="","",""&amp;Data_Farmer!BF73)</f>
        <v/>
      </c>
      <c r="Q56" s="69" t="str">
        <f aca="false">IF(Data_Farmer!BF51="","",""&amp;Data_Farmer!BF51)</f>
        <v/>
      </c>
      <c r="R56" s="69" t="str">
        <f aca="false">IF(Data_Farmer!BF53="","",""&amp;Data_Farmer!BF53)</f>
        <v/>
      </c>
    </row>
    <row r="57" customFormat="false" ht="15" hidden="false" customHeight="false" outlineLevel="0" collapsed="false">
      <c r="A57" s="69" t="str">
        <f aca="false">IF(Data_Farmer!BG85="","",""&amp;Data_Farmer!BG85)</f>
        <v>46041</v>
      </c>
      <c r="B57" s="69" t="str">
        <f aca="false">IF(Data_Farmer!BG8="","",""&amp;Data_Farmer!BG8)</f>
        <v/>
      </c>
      <c r="C57" s="69" t="str">
        <f aca="false">IF(Data_Farmer!BG12="","",""&amp;Data_Farmer!BG12)</f>
        <v>280</v>
      </c>
      <c r="D57" s="69" t="str">
        <f aca="false">IF(Data_Farmer!BG13="","",""&amp;Data_Farmer!BG13)</f>
        <v>1</v>
      </c>
      <c r="E57" s="69" t="str">
        <f aca="false">IF(Data_Farmer!BG21="","",""&amp;Data_Farmer!BG21)</f>
        <v>24</v>
      </c>
      <c r="F57" s="69" t="str">
        <f aca="false">IF(Data_Farmer!BG22="","",""&amp;Data_Farmer!BG22)</f>
        <v>31</v>
      </c>
      <c r="G57" s="69" t="str">
        <f aca="false">IF(Data_Farmer!BG23="","",""&amp;Data_Farmer!BG23)</f>
        <v>5</v>
      </c>
      <c r="H57" s="69" t="str">
        <f aca="false">IF(Data_Farmer!BG66="","",""&amp;Data_Farmer!BG66)</f>
        <v/>
      </c>
      <c r="I57" s="69" t="str">
        <f aca="false">IF(Data_Farmer!BG26="","",""&amp;Data_Farmer!BG26)</f>
        <v>20</v>
      </c>
      <c r="J57" s="69" t="str">
        <f aca="false">IF(Data_Farmer!BG28="","",""&amp;Data_Farmer!BG28)</f>
        <v/>
      </c>
      <c r="K57" s="69" t="str">
        <f aca="false">IF(Data_Farmer!BG37="","",""&amp;Data_Farmer!BG37)</f>
        <v>400</v>
      </c>
      <c r="L57" s="69" t="str">
        <f aca="false">IF(Data_Farmer!BG38="","",""&amp;Data_Farmer!BG38)</f>
        <v>1</v>
      </c>
      <c r="M57" s="69" t="str">
        <f aca="false">IF(Data_Farmer!BG46="","",""&amp;Data_Farmer!BG46)</f>
        <v>24</v>
      </c>
      <c r="N57" s="69" t="str">
        <f aca="false">IF(Data_Farmer!BG47="","",""&amp;Data_Farmer!BG47)</f>
        <v>29</v>
      </c>
      <c r="O57" s="69" t="str">
        <f aca="false">IF(Data_Farmer!BG48="","",""&amp;Data_Farmer!BG48)</f>
        <v>3</v>
      </c>
      <c r="P57" s="69" t="str">
        <f aca="false">IF(Data_Farmer!BG73="","",""&amp;Data_Farmer!BG73)</f>
        <v/>
      </c>
      <c r="Q57" s="69" t="str">
        <f aca="false">IF(Data_Farmer!BG51="","",""&amp;Data_Farmer!BG51)</f>
        <v>20</v>
      </c>
      <c r="R57" s="69" t="str">
        <f aca="false">IF(Data_Farmer!BG53="","",""&amp;Data_Farmer!BG53)</f>
        <v/>
      </c>
    </row>
    <row r="58" customFormat="false" ht="15" hidden="false" customHeight="false" outlineLevel="0" collapsed="false">
      <c r="A58" s="69" t="str">
        <f aca="false">IF(Data_Farmer!BH85="","",""&amp;Data_Farmer!BH85)</f>
        <v>46042</v>
      </c>
      <c r="B58" s="69" t="str">
        <f aca="false">IF(Data_Farmer!BH8="","",""&amp;Data_Farmer!BH8)</f>
        <v/>
      </c>
      <c r="C58" s="69" t="str">
        <f aca="false">IF(Data_Farmer!BH12="","",""&amp;Data_Farmer!BH12)</f>
        <v>282.1</v>
      </c>
      <c r="D58" s="69" t="str">
        <f aca="false">IF(Data_Farmer!BH13="","",""&amp;Data_Farmer!BH13)</f>
        <v>3.1</v>
      </c>
      <c r="E58" s="69" t="str">
        <f aca="false">IF(Data_Farmer!BH21="","",""&amp;Data_Farmer!BH21)</f>
        <v/>
      </c>
      <c r="F58" s="69" t="str">
        <f aca="false">IF(Data_Farmer!BH22="","",""&amp;Data_Farmer!BH22)</f>
        <v>31</v>
      </c>
      <c r="G58" s="69" t="str">
        <f aca="false">IF(Data_Farmer!BH23="","",""&amp;Data_Farmer!BH23)</f>
        <v>3</v>
      </c>
      <c r="H58" s="69" t="str">
        <f aca="false">IF(Data_Farmer!BH66="","",""&amp;Data_Farmer!BH66)</f>
        <v/>
      </c>
      <c r="I58" s="69" t="str">
        <f aca="false">IF(Data_Farmer!BH26="","",""&amp;Data_Farmer!BH26)</f>
        <v/>
      </c>
      <c r="J58" s="69" t="str">
        <f aca="false">IF(Data_Farmer!BH28="","",""&amp;Data_Farmer!BH28)</f>
        <v/>
      </c>
      <c r="K58" s="69" t="str">
        <f aca="false">IF(Data_Farmer!BH37="","",""&amp;Data_Farmer!BH37)</f>
        <v>402.2</v>
      </c>
      <c r="L58" s="69" t="str">
        <f aca="false">IF(Data_Farmer!BH38="","",""&amp;Data_Farmer!BH38)</f>
        <v>3.2</v>
      </c>
      <c r="M58" s="69" t="str">
        <f aca="false">IF(Data_Farmer!BH46="","",""&amp;Data_Farmer!BH46)</f>
        <v/>
      </c>
      <c r="N58" s="69" t="str">
        <f aca="false">IF(Data_Farmer!BH47="","",""&amp;Data_Farmer!BH47)</f>
        <v>29</v>
      </c>
      <c r="O58" s="69" t="str">
        <f aca="false">IF(Data_Farmer!BH48="","",""&amp;Data_Farmer!BH48)</f>
        <v>2</v>
      </c>
      <c r="P58" s="69" t="str">
        <f aca="false">IF(Data_Farmer!BH73="","",""&amp;Data_Farmer!BH73)</f>
        <v/>
      </c>
      <c r="Q58" s="69" t="str">
        <f aca="false">IF(Data_Farmer!BH51="","",""&amp;Data_Farmer!BH51)</f>
        <v/>
      </c>
      <c r="R58" s="69" t="str">
        <f aca="false">IF(Data_Farmer!BH53="","",""&amp;Data_Farmer!BH53)</f>
        <v/>
      </c>
    </row>
    <row r="59" customFormat="false" ht="15" hidden="false" customHeight="false" outlineLevel="0" collapsed="false">
      <c r="A59" s="69" t="str">
        <f aca="false">IF(Data_Farmer!BI85="","",""&amp;Data_Farmer!BI85)</f>
        <v>46043</v>
      </c>
      <c r="B59" s="69" t="str">
        <f aca="false">IF(Data_Farmer!BI8="","",""&amp;Data_Farmer!BI8)</f>
        <v/>
      </c>
      <c r="C59" s="69" t="str">
        <f aca="false">IF(Data_Farmer!BI12="","",""&amp;Data_Farmer!BI12)</f>
        <v>281.4</v>
      </c>
      <c r="D59" s="69" t="str">
        <f aca="false">IF(Data_Farmer!BI13="","",""&amp;Data_Farmer!BI13)</f>
        <v>2.4</v>
      </c>
      <c r="E59" s="69" t="str">
        <f aca="false">IF(Data_Farmer!BI21="","",""&amp;Data_Farmer!BI21)</f>
        <v/>
      </c>
      <c r="F59" s="69" t="str">
        <f aca="false">IF(Data_Farmer!BI22="","",""&amp;Data_Farmer!BI22)</f>
        <v>31</v>
      </c>
      <c r="G59" s="69" t="str">
        <f aca="false">IF(Data_Farmer!BI23="","",""&amp;Data_Farmer!BI23)</f>
        <v>7</v>
      </c>
      <c r="H59" s="69" t="str">
        <f aca="false">IF(Data_Farmer!BI66="","",""&amp;Data_Farmer!BI66)</f>
        <v/>
      </c>
      <c r="I59" s="69" t="str">
        <f aca="false">IF(Data_Farmer!BI26="","",""&amp;Data_Farmer!BI26)</f>
        <v/>
      </c>
      <c r="J59" s="69" t="str">
        <f aca="false">IF(Data_Farmer!BI28="","",""&amp;Data_Farmer!BI28)</f>
        <v/>
      </c>
      <c r="K59" s="69" t="str">
        <f aca="false">IF(Data_Farmer!BI37="","",""&amp;Data_Farmer!BI37)</f>
        <v>401.3</v>
      </c>
      <c r="L59" s="69" t="str">
        <f aca="false">IF(Data_Farmer!BI38="","",""&amp;Data_Farmer!BI38)</f>
        <v>2.3</v>
      </c>
      <c r="M59" s="69" t="str">
        <f aca="false">IF(Data_Farmer!BI46="","",""&amp;Data_Farmer!BI46)</f>
        <v/>
      </c>
      <c r="N59" s="69" t="str">
        <f aca="false">IF(Data_Farmer!BI47="","",""&amp;Data_Farmer!BI47)</f>
        <v>29</v>
      </c>
      <c r="O59" s="69" t="str">
        <f aca="false">IF(Data_Farmer!BI48="","",""&amp;Data_Farmer!BI48)</f>
        <v>9</v>
      </c>
      <c r="P59" s="69" t="str">
        <f aca="false">IF(Data_Farmer!BI73="","",""&amp;Data_Farmer!BI73)</f>
        <v/>
      </c>
      <c r="Q59" s="69" t="str">
        <f aca="false">IF(Data_Farmer!BI51="","",""&amp;Data_Farmer!BI51)</f>
        <v/>
      </c>
      <c r="R59" s="69" t="str">
        <f aca="false">IF(Data_Farmer!BI53="","",""&amp;Data_Farmer!BI53)</f>
        <v/>
      </c>
    </row>
    <row r="60" customFormat="false" ht="15" hidden="false" customHeight="false" outlineLevel="0" collapsed="false">
      <c r="A60" s="69" t="str">
        <f aca="false">IF(Data_Farmer!BJ85="","",""&amp;Data_Farmer!BJ85)</f>
        <v>46044</v>
      </c>
      <c r="B60" s="69" t="str">
        <f aca="false">IF(Data_Farmer!BJ8="","",""&amp;Data_Farmer!BJ8)</f>
        <v/>
      </c>
      <c r="C60" s="69" t="str">
        <f aca="false">IF(Data_Farmer!BJ12="","",""&amp;Data_Farmer!BJ12)</f>
        <v>281.2</v>
      </c>
      <c r="D60" s="69" t="str">
        <f aca="false">IF(Data_Farmer!BJ13="","",""&amp;Data_Farmer!BJ13)</f>
        <v>2.2</v>
      </c>
      <c r="E60" s="69" t="str">
        <f aca="false">IF(Data_Farmer!BJ21="","",""&amp;Data_Farmer!BJ21)</f>
        <v/>
      </c>
      <c r="F60" s="69" t="str">
        <f aca="false">IF(Data_Farmer!BJ22="","",""&amp;Data_Farmer!BJ22)</f>
        <v>31</v>
      </c>
      <c r="G60" s="69" t="str">
        <f aca="false">IF(Data_Farmer!BJ23="","",""&amp;Data_Farmer!BJ23)</f>
        <v>2</v>
      </c>
      <c r="H60" s="69" t="str">
        <f aca="false">IF(Data_Farmer!BJ66="","",""&amp;Data_Farmer!BJ66)</f>
        <v/>
      </c>
      <c r="I60" s="69" t="str">
        <f aca="false">IF(Data_Farmer!BJ26="","",""&amp;Data_Farmer!BJ26)</f>
        <v/>
      </c>
      <c r="J60" s="69" t="str">
        <f aca="false">IF(Data_Farmer!BJ28="","",""&amp;Data_Farmer!BJ28)</f>
        <v/>
      </c>
      <c r="K60" s="69" t="str">
        <f aca="false">IF(Data_Farmer!BJ37="","",""&amp;Data_Farmer!BJ37)</f>
        <v>401.1</v>
      </c>
      <c r="L60" s="69" t="str">
        <f aca="false">IF(Data_Farmer!BJ38="","",""&amp;Data_Farmer!BJ38)</f>
        <v>2.1</v>
      </c>
      <c r="M60" s="69" t="str">
        <f aca="false">IF(Data_Farmer!BJ46="","",""&amp;Data_Farmer!BJ46)</f>
        <v/>
      </c>
      <c r="N60" s="69" t="str">
        <f aca="false">IF(Data_Farmer!BJ47="","",""&amp;Data_Farmer!BJ47)</f>
        <v>29</v>
      </c>
      <c r="O60" s="69" t="str">
        <f aca="false">IF(Data_Farmer!BJ48="","",""&amp;Data_Farmer!BJ48)</f>
        <v>2</v>
      </c>
      <c r="P60" s="69" t="str">
        <f aca="false">IF(Data_Farmer!BJ73="","",""&amp;Data_Farmer!BJ73)</f>
        <v/>
      </c>
      <c r="Q60" s="69" t="str">
        <f aca="false">IF(Data_Farmer!BJ51="","",""&amp;Data_Farmer!BJ51)</f>
        <v/>
      </c>
      <c r="R60" s="69" t="str">
        <f aca="false">IF(Data_Farmer!BJ53="","",""&amp;Data_Farmer!BJ53)</f>
        <v/>
      </c>
    </row>
    <row r="61" customFormat="false" ht="15" hidden="false" customHeight="false" outlineLevel="0" collapsed="false">
      <c r="A61" s="69" t="str">
        <f aca="false">IF(Data_Farmer!BK85="","",""&amp;Data_Farmer!BK85)</f>
        <v>46045</v>
      </c>
      <c r="B61" s="69" t="str">
        <f aca="false">IF(Data_Farmer!BK8="","",""&amp;Data_Farmer!BK8)</f>
        <v/>
      </c>
      <c r="C61" s="69" t="str">
        <f aca="false">IF(Data_Farmer!BK12="","",""&amp;Data_Farmer!BK12)</f>
        <v>280.5</v>
      </c>
      <c r="D61" s="69" t="str">
        <f aca="false">IF(Data_Farmer!BK13="","",""&amp;Data_Farmer!BK13)</f>
        <v>1.5</v>
      </c>
      <c r="E61" s="69" t="str">
        <f aca="false">IF(Data_Farmer!BK21="","",""&amp;Data_Farmer!BK21)</f>
        <v>18</v>
      </c>
      <c r="F61" s="69" t="str">
        <f aca="false">IF(Data_Farmer!BK22="","",""&amp;Data_Farmer!BK22)</f>
        <v>49</v>
      </c>
      <c r="G61" s="69" t="str">
        <f aca="false">IF(Data_Farmer!BK23="","",""&amp;Data_Farmer!BK23)</f>
        <v>7</v>
      </c>
      <c r="H61" s="69" t="str">
        <f aca="false">IF(Data_Farmer!BK66="","",""&amp;Data_Farmer!BK66)</f>
        <v/>
      </c>
      <c r="I61" s="69" t="str">
        <f aca="false">IF(Data_Farmer!BK26="","",""&amp;Data_Farmer!BK26)</f>
        <v>20</v>
      </c>
      <c r="J61" s="69" t="str">
        <f aca="false">IF(Data_Farmer!BK28="","",""&amp;Data_Farmer!BK28)</f>
        <v/>
      </c>
      <c r="K61" s="69" t="str">
        <f aca="false">IF(Data_Farmer!BK37="","",""&amp;Data_Farmer!BK37)</f>
        <v>400.5</v>
      </c>
      <c r="L61" s="69" t="str">
        <f aca="false">IF(Data_Farmer!BK38="","",""&amp;Data_Farmer!BK38)</f>
        <v>1.5</v>
      </c>
      <c r="M61" s="69" t="str">
        <f aca="false">IF(Data_Farmer!BK46="","",""&amp;Data_Farmer!BK46)</f>
        <v>18</v>
      </c>
      <c r="N61" s="69" t="str">
        <f aca="false">IF(Data_Farmer!BK47="","",""&amp;Data_Farmer!BK47)</f>
        <v>47</v>
      </c>
      <c r="O61" s="69" t="str">
        <f aca="false">IF(Data_Farmer!BK48="","",""&amp;Data_Farmer!BK48)</f>
        <v>6</v>
      </c>
      <c r="P61" s="69" t="str">
        <f aca="false">IF(Data_Farmer!BK73="","",""&amp;Data_Farmer!BK73)</f>
        <v/>
      </c>
      <c r="Q61" s="69" t="str">
        <f aca="false">IF(Data_Farmer!BK51="","",""&amp;Data_Farmer!BK51)</f>
        <v>20</v>
      </c>
      <c r="R61" s="69" t="str">
        <f aca="false">IF(Data_Farmer!BK53="","",""&amp;Data_Farmer!BK53)</f>
        <v/>
      </c>
    </row>
    <row r="62" customFormat="false" ht="15" hidden="false" customHeight="false" outlineLevel="0" collapsed="false">
      <c r="A62" s="69" t="str">
        <f aca="false">IF(Data_Farmer!BL85="","",""&amp;Data_Farmer!BL85)</f>
        <v>46046</v>
      </c>
      <c r="B62" s="69" t="str">
        <f aca="false">IF(Data_Farmer!BL8="","",""&amp;Data_Farmer!BL8)</f>
        <v/>
      </c>
      <c r="C62" s="69" t="str">
        <f aca="false">IF(Data_Farmer!BL12="","",""&amp;Data_Farmer!BL12)</f>
        <v>281.8</v>
      </c>
      <c r="D62" s="69" t="str">
        <f aca="false">IF(Data_Farmer!BL13="","",""&amp;Data_Farmer!BL13)</f>
        <v>2.8</v>
      </c>
      <c r="E62" s="69" t="str">
        <f aca="false">IF(Data_Farmer!BL21="","",""&amp;Data_Farmer!BL21)</f>
        <v/>
      </c>
      <c r="F62" s="69" t="str">
        <f aca="false">IF(Data_Farmer!BL22="","",""&amp;Data_Farmer!BL22)</f>
        <v>49</v>
      </c>
      <c r="G62" s="69" t="str">
        <f aca="false">IF(Data_Farmer!BL23="","",""&amp;Data_Farmer!BL23)</f>
        <v>5</v>
      </c>
      <c r="H62" s="69" t="str">
        <f aca="false">IF(Data_Farmer!BL66="","",""&amp;Data_Farmer!BL66)</f>
        <v/>
      </c>
      <c r="I62" s="69" t="str">
        <f aca="false">IF(Data_Farmer!BL26="","",""&amp;Data_Farmer!BL26)</f>
        <v/>
      </c>
      <c r="J62" s="69" t="str">
        <f aca="false">IF(Data_Farmer!BL28="","",""&amp;Data_Farmer!BL28)</f>
        <v/>
      </c>
      <c r="K62" s="69" t="str">
        <f aca="false">IF(Data_Farmer!BL37="","",""&amp;Data_Farmer!BL37)</f>
        <v>402</v>
      </c>
      <c r="L62" s="69" t="str">
        <f aca="false">IF(Data_Farmer!BL38="","",""&amp;Data_Farmer!BL38)</f>
        <v>3</v>
      </c>
      <c r="M62" s="69" t="str">
        <f aca="false">IF(Data_Farmer!BL46="","",""&amp;Data_Farmer!BL46)</f>
        <v/>
      </c>
      <c r="N62" s="69" t="str">
        <f aca="false">IF(Data_Farmer!BL47="","",""&amp;Data_Farmer!BL47)</f>
        <v>47</v>
      </c>
      <c r="O62" s="69" t="str">
        <f aca="false">IF(Data_Farmer!BL48="","",""&amp;Data_Farmer!BL48)</f>
        <v>3</v>
      </c>
      <c r="P62" s="69" t="str">
        <f aca="false">IF(Data_Farmer!BL73="","",""&amp;Data_Farmer!BL73)</f>
        <v/>
      </c>
      <c r="Q62" s="69" t="str">
        <f aca="false">IF(Data_Farmer!BL51="","",""&amp;Data_Farmer!BL51)</f>
        <v/>
      </c>
      <c r="R62" s="69" t="str">
        <f aca="false">IF(Data_Farmer!BL53="","",""&amp;Data_Farmer!BL53)</f>
        <v/>
      </c>
    </row>
    <row r="63" customFormat="false" ht="15" hidden="false" customHeight="false" outlineLevel="0" collapsed="false">
      <c r="A63" s="69" t="str">
        <f aca="false">IF(Data_Farmer!BM85="","",""&amp;Data_Farmer!BM85)</f>
        <v>46047</v>
      </c>
      <c r="B63" s="69" t="str">
        <f aca="false">IF(Data_Farmer!BM8="","",""&amp;Data_Farmer!BM8)</f>
        <v/>
      </c>
      <c r="C63" s="69" t="str">
        <f aca="false">IF(Data_Farmer!BM12="","",""&amp;Data_Farmer!BM12)</f>
        <v>281.5</v>
      </c>
      <c r="D63" s="69" t="str">
        <f aca="false">IF(Data_Farmer!BM13="","",""&amp;Data_Farmer!BM13)</f>
        <v>2.5</v>
      </c>
      <c r="E63" s="69" t="str">
        <f aca="false">IF(Data_Farmer!BM21="","",""&amp;Data_Farmer!BM21)</f>
        <v/>
      </c>
      <c r="F63" s="69" t="str">
        <f aca="false">IF(Data_Farmer!BM22="","",""&amp;Data_Farmer!BM22)</f>
        <v>49</v>
      </c>
      <c r="G63" s="69" t="str">
        <f aca="false">IF(Data_Farmer!BM23="","",""&amp;Data_Farmer!BM23)</f>
        <v>3</v>
      </c>
      <c r="H63" s="69" t="str">
        <f aca="false">IF(Data_Farmer!BM66="","",""&amp;Data_Farmer!BM66)</f>
        <v/>
      </c>
      <c r="I63" s="69" t="str">
        <f aca="false">IF(Data_Farmer!BM26="","",""&amp;Data_Farmer!BM26)</f>
        <v/>
      </c>
      <c r="J63" s="69" t="str">
        <f aca="false">IF(Data_Farmer!BM28="","",""&amp;Data_Farmer!BM28)</f>
        <v/>
      </c>
      <c r="K63" s="69" t="str">
        <f aca="false">IF(Data_Farmer!BM37="","",""&amp;Data_Farmer!BM37)</f>
        <v>401.5</v>
      </c>
      <c r="L63" s="69" t="str">
        <f aca="false">IF(Data_Farmer!BM38="","",""&amp;Data_Farmer!BM38)</f>
        <v>2.5</v>
      </c>
      <c r="M63" s="69" t="str">
        <f aca="false">IF(Data_Farmer!BM46="","",""&amp;Data_Farmer!BM46)</f>
        <v/>
      </c>
      <c r="N63" s="69" t="str">
        <f aca="false">IF(Data_Farmer!BM47="","",""&amp;Data_Farmer!BM47)</f>
        <v>47</v>
      </c>
      <c r="O63" s="69" t="str">
        <f aca="false">IF(Data_Farmer!BM48="","",""&amp;Data_Farmer!BM48)</f>
        <v>5</v>
      </c>
      <c r="P63" s="69" t="str">
        <f aca="false">IF(Data_Farmer!BM73="","",""&amp;Data_Farmer!BM73)</f>
        <v/>
      </c>
      <c r="Q63" s="69" t="str">
        <f aca="false">IF(Data_Farmer!BM51="","",""&amp;Data_Farmer!BM51)</f>
        <v/>
      </c>
      <c r="R63" s="69" t="str">
        <f aca="false">IF(Data_Farmer!BM53="","",""&amp;Data_Farmer!BM53)</f>
        <v/>
      </c>
    </row>
    <row r="64" customFormat="false" ht="15" hidden="false" customHeight="false" outlineLevel="0" collapsed="false">
      <c r="A64" s="69" t="str">
        <f aca="false">IF(Data_Farmer!BN85="","",""&amp;Data_Farmer!BN85)</f>
        <v>46048</v>
      </c>
      <c r="B64" s="69" t="str">
        <f aca="false">IF(Data_Farmer!BN8="","",""&amp;Data_Farmer!BN8)</f>
        <v/>
      </c>
      <c r="C64" s="69" t="str">
        <f aca="false">IF(Data_Farmer!BN12="","",""&amp;Data_Farmer!BN12)</f>
        <v>281.1</v>
      </c>
      <c r="D64" s="69" t="str">
        <f aca="false">IF(Data_Farmer!BN13="","",""&amp;Data_Farmer!BN13)</f>
        <v>2.1</v>
      </c>
      <c r="E64" s="69" t="str">
        <f aca="false">IF(Data_Farmer!BN21="","",""&amp;Data_Farmer!BN21)</f>
        <v/>
      </c>
      <c r="F64" s="69" t="str">
        <f aca="false">IF(Data_Farmer!BN22="","",""&amp;Data_Farmer!BN22)</f>
        <v>49</v>
      </c>
      <c r="G64" s="69" t="str">
        <f aca="false">IF(Data_Farmer!BN23="","",""&amp;Data_Farmer!BN23)</f>
        <v>4</v>
      </c>
      <c r="H64" s="69" t="str">
        <f aca="false">IF(Data_Farmer!BN66="","",""&amp;Data_Farmer!BN66)</f>
        <v/>
      </c>
      <c r="I64" s="69" t="str">
        <f aca="false">IF(Data_Farmer!BN26="","",""&amp;Data_Farmer!BN26)</f>
        <v/>
      </c>
      <c r="J64" s="69" t="str">
        <f aca="false">IF(Data_Farmer!BN28="","",""&amp;Data_Farmer!BN28)</f>
        <v/>
      </c>
      <c r="K64" s="69" t="str">
        <f aca="false">IF(Data_Farmer!BN37="","",""&amp;Data_Farmer!BN37)</f>
        <v>401</v>
      </c>
      <c r="L64" s="69" t="str">
        <f aca="false">IF(Data_Farmer!BN38="","",""&amp;Data_Farmer!BN38)</f>
        <v>2</v>
      </c>
      <c r="M64" s="69" t="str">
        <f aca="false">IF(Data_Farmer!BN46="","",""&amp;Data_Farmer!BN46)</f>
        <v/>
      </c>
      <c r="N64" s="69" t="str">
        <f aca="false">IF(Data_Farmer!BN47="","",""&amp;Data_Farmer!BN47)</f>
        <v>47</v>
      </c>
      <c r="O64" s="69" t="str">
        <f aca="false">IF(Data_Farmer!BN48="","",""&amp;Data_Farmer!BN48)</f>
        <v>5</v>
      </c>
      <c r="P64" s="69" t="str">
        <f aca="false">IF(Data_Farmer!BN73="","",""&amp;Data_Farmer!BN73)</f>
        <v/>
      </c>
      <c r="Q64" s="69" t="str">
        <f aca="false">IF(Data_Farmer!BN51="","",""&amp;Data_Farmer!BN51)</f>
        <v/>
      </c>
      <c r="R64" s="69" t="str">
        <f aca="false">IF(Data_Farmer!BN53="","",""&amp;Data_Farmer!BN53)</f>
        <v/>
      </c>
    </row>
    <row r="65" customFormat="false" ht="15" hidden="false" customHeight="false" outlineLevel="0" collapsed="false">
      <c r="A65" s="69" t="str">
        <f aca="false">IF(Data_Farmer!BO85="","",""&amp;Data_Farmer!BO85)</f>
        <v>46049</v>
      </c>
      <c r="B65" s="69" t="str">
        <f aca="false">IF(Data_Farmer!BO8="","",""&amp;Data_Farmer!BO8)</f>
        <v/>
      </c>
      <c r="C65" s="69" t="str">
        <f aca="false">IF(Data_Farmer!BO12="","",""&amp;Data_Farmer!BO12)</f>
        <v>280.5</v>
      </c>
      <c r="D65" s="69" t="str">
        <f aca="false">IF(Data_Farmer!BO13="","",""&amp;Data_Farmer!BO13)</f>
        <v>1.5</v>
      </c>
      <c r="E65" s="69" t="str">
        <f aca="false">IF(Data_Farmer!BO21="","",""&amp;Data_Farmer!BO21)</f>
        <v/>
      </c>
      <c r="F65" s="69" t="str">
        <f aca="false">IF(Data_Farmer!BO22="","",""&amp;Data_Farmer!BO22)</f>
        <v>49</v>
      </c>
      <c r="G65" s="69" t="str">
        <f aca="false">IF(Data_Farmer!BO23="","",""&amp;Data_Farmer!BO23)</f>
        <v>6</v>
      </c>
      <c r="H65" s="69" t="str">
        <f aca="false">IF(Data_Farmer!BO66="","",""&amp;Data_Farmer!BO66)</f>
        <v/>
      </c>
      <c r="I65" s="69" t="str">
        <f aca="false">IF(Data_Farmer!BO26="","",""&amp;Data_Farmer!BO26)</f>
        <v/>
      </c>
      <c r="J65" s="69" t="str">
        <f aca="false">IF(Data_Farmer!BO28="","",""&amp;Data_Farmer!BO28)</f>
        <v/>
      </c>
      <c r="K65" s="69" t="str">
        <f aca="false">IF(Data_Farmer!BO37="","",""&amp;Data_Farmer!BO37)</f>
        <v>400.5</v>
      </c>
      <c r="L65" s="69" t="str">
        <f aca="false">IF(Data_Farmer!BO38="","",""&amp;Data_Farmer!BO38)</f>
        <v>1.5</v>
      </c>
      <c r="M65" s="69" t="str">
        <f aca="false">IF(Data_Farmer!BO46="","",""&amp;Data_Farmer!BO46)</f>
        <v/>
      </c>
      <c r="N65" s="69" t="str">
        <f aca="false">IF(Data_Farmer!BO47="","",""&amp;Data_Farmer!BO47)</f>
        <v>47</v>
      </c>
      <c r="O65" s="69" t="str">
        <f aca="false">IF(Data_Farmer!BO48="","",""&amp;Data_Farmer!BO48)</f>
        <v>5</v>
      </c>
      <c r="P65" s="69" t="str">
        <f aca="false">IF(Data_Farmer!BO73="","",""&amp;Data_Farmer!BO73)</f>
        <v/>
      </c>
      <c r="Q65" s="69" t="str">
        <f aca="false">IF(Data_Farmer!BO51="","",""&amp;Data_Farmer!BO51)</f>
        <v/>
      </c>
      <c r="R65" s="69" t="str">
        <f aca="false">IF(Data_Farmer!BO53="","",""&amp;Data_Farmer!BO53)</f>
        <v/>
      </c>
    </row>
    <row r="66" customFormat="false" ht="15" hidden="false" customHeight="false" outlineLevel="0" collapsed="false">
      <c r="A66" s="69" t="str">
        <f aca="false">IF(Data_Farmer!BP85="","",""&amp;Data_Farmer!BP85)</f>
        <v>46050</v>
      </c>
      <c r="B66" s="69" t="str">
        <f aca="false">IF(Data_Farmer!BP8="","",""&amp;Data_Farmer!BP8)</f>
        <v/>
      </c>
      <c r="C66" s="69" t="str">
        <f aca="false">IF(Data_Farmer!BP12="","",""&amp;Data_Farmer!BP12)</f>
        <v>280.3</v>
      </c>
      <c r="D66" s="69" t="str">
        <f aca="false">IF(Data_Farmer!BP13="","",""&amp;Data_Farmer!BP13)</f>
        <v>1.3</v>
      </c>
      <c r="E66" s="69" t="str">
        <f aca="false">IF(Data_Farmer!BP21="","",""&amp;Data_Farmer!BP21)</f>
        <v>16</v>
      </c>
      <c r="F66" s="69" t="str">
        <f aca="false">IF(Data_Farmer!BP22="","",""&amp;Data_Farmer!BP22)</f>
        <v>65</v>
      </c>
      <c r="G66" s="69" t="str">
        <f aca="false">IF(Data_Farmer!BP23="","",""&amp;Data_Farmer!BP23)</f>
        <v>2</v>
      </c>
      <c r="H66" s="69" t="str">
        <f aca="false">IF(Data_Farmer!BP66="","",""&amp;Data_Farmer!BP66)</f>
        <v/>
      </c>
      <c r="I66" s="69" t="str">
        <f aca="false">IF(Data_Farmer!BP26="","",""&amp;Data_Farmer!BP26)</f>
        <v>20</v>
      </c>
      <c r="J66" s="69" t="str">
        <f aca="false">IF(Data_Farmer!BP28="","",""&amp;Data_Farmer!BP28)</f>
        <v/>
      </c>
      <c r="K66" s="69" t="str">
        <f aca="false">IF(Data_Farmer!BP37="","",""&amp;Data_Farmer!BP37)</f>
        <v>400.3</v>
      </c>
      <c r="L66" s="69" t="str">
        <f aca="false">IF(Data_Farmer!BP38="","",""&amp;Data_Farmer!BP38)</f>
        <v>1.3</v>
      </c>
      <c r="M66" s="69" t="str">
        <f aca="false">IF(Data_Farmer!BP46="","",""&amp;Data_Farmer!BP46)</f>
        <v>16</v>
      </c>
      <c r="N66" s="69" t="str">
        <f aca="false">IF(Data_Farmer!BP47="","",""&amp;Data_Farmer!BP47)</f>
        <v>63</v>
      </c>
      <c r="O66" s="69" t="str">
        <f aca="false">IF(Data_Farmer!BP48="","",""&amp;Data_Farmer!BP48)</f>
        <v>2</v>
      </c>
      <c r="P66" s="69" t="str">
        <f aca="false">IF(Data_Farmer!BP73="","",""&amp;Data_Farmer!BP73)</f>
        <v/>
      </c>
      <c r="Q66" s="69" t="str">
        <f aca="false">IF(Data_Farmer!BP51="","",""&amp;Data_Farmer!BP51)</f>
        <v>20</v>
      </c>
      <c r="R66" s="69" t="str">
        <f aca="false">IF(Data_Farmer!BP53="","",""&amp;Data_Farmer!BP53)</f>
        <v/>
      </c>
    </row>
    <row r="67" customFormat="false" ht="15" hidden="false" customHeight="false" outlineLevel="0" collapsed="false">
      <c r="A67" s="69" t="str">
        <f aca="false">IF(Data_Farmer!BQ85="","",""&amp;Data_Farmer!BQ85)</f>
        <v>46051</v>
      </c>
      <c r="B67" s="69" t="str">
        <f aca="false">IF(Data_Farmer!BQ8="","",""&amp;Data_Farmer!BQ8)</f>
        <v/>
      </c>
      <c r="C67" s="69" t="str">
        <f aca="false">IF(Data_Farmer!BQ12="","",""&amp;Data_Farmer!BQ12)</f>
        <v>281.5</v>
      </c>
      <c r="D67" s="69" t="str">
        <f aca="false">IF(Data_Farmer!BQ13="","",""&amp;Data_Farmer!BQ13)</f>
        <v>2.5</v>
      </c>
      <c r="E67" s="69" t="str">
        <f aca="false">IF(Data_Farmer!BQ21="","",""&amp;Data_Farmer!BQ21)</f>
        <v/>
      </c>
      <c r="F67" s="69" t="str">
        <f aca="false">IF(Data_Farmer!BQ22="","",""&amp;Data_Farmer!BQ22)</f>
        <v>65</v>
      </c>
      <c r="G67" s="69" t="str">
        <f aca="false">IF(Data_Farmer!BQ23="","",""&amp;Data_Farmer!BQ23)</f>
        <v>4</v>
      </c>
      <c r="H67" s="69" t="str">
        <f aca="false">IF(Data_Farmer!BQ66="","",""&amp;Data_Farmer!BQ66)</f>
        <v/>
      </c>
      <c r="I67" s="69" t="str">
        <f aca="false">IF(Data_Farmer!BQ26="","",""&amp;Data_Farmer!BQ26)</f>
        <v/>
      </c>
      <c r="J67" s="69" t="str">
        <f aca="false">IF(Data_Farmer!BQ28="","",""&amp;Data_Farmer!BQ28)</f>
        <v/>
      </c>
      <c r="K67" s="69" t="str">
        <f aca="false">IF(Data_Farmer!BQ37="","",""&amp;Data_Farmer!BQ37)</f>
        <v>401.5</v>
      </c>
      <c r="L67" s="69" t="str">
        <f aca="false">IF(Data_Farmer!BQ38="","",""&amp;Data_Farmer!BQ38)</f>
        <v>2.5</v>
      </c>
      <c r="M67" s="69" t="str">
        <f aca="false">IF(Data_Farmer!BQ46="","",""&amp;Data_Farmer!BQ46)</f>
        <v/>
      </c>
      <c r="N67" s="69" t="str">
        <f aca="false">IF(Data_Farmer!BQ47="","",""&amp;Data_Farmer!BQ47)</f>
        <v>63</v>
      </c>
      <c r="O67" s="69" t="str">
        <f aca="false">IF(Data_Farmer!BQ48="","",""&amp;Data_Farmer!BQ48)</f>
        <v>4</v>
      </c>
      <c r="P67" s="69" t="str">
        <f aca="false">IF(Data_Farmer!BQ73="","",""&amp;Data_Farmer!BQ73)</f>
        <v/>
      </c>
      <c r="Q67" s="69" t="str">
        <f aca="false">IF(Data_Farmer!BQ51="","",""&amp;Data_Farmer!BQ51)</f>
        <v/>
      </c>
      <c r="R67" s="69" t="str">
        <f aca="false">IF(Data_Farmer!BQ53="","",""&amp;Data_Farmer!BQ53)</f>
        <v/>
      </c>
    </row>
    <row r="68" customFormat="false" ht="15" hidden="false" customHeight="false" outlineLevel="0" collapsed="false">
      <c r="A68" s="69" t="str">
        <f aca="false">IF(Data_Farmer!BR85="","",""&amp;Data_Farmer!BR85)</f>
        <v>46052</v>
      </c>
      <c r="B68" s="69" t="str">
        <f aca="false">IF(Data_Farmer!BR8="","",""&amp;Data_Farmer!BR8)</f>
        <v/>
      </c>
      <c r="C68" s="69" t="str">
        <f aca="false">IF(Data_Farmer!BR12="","",""&amp;Data_Farmer!BR12)</f>
        <v>281.1</v>
      </c>
      <c r="D68" s="69" t="str">
        <f aca="false">IF(Data_Farmer!BR13="","",""&amp;Data_Farmer!BR13)</f>
        <v>2.1</v>
      </c>
      <c r="E68" s="69" t="str">
        <f aca="false">IF(Data_Farmer!BR21="","",""&amp;Data_Farmer!BR21)</f>
        <v/>
      </c>
      <c r="F68" s="69" t="str">
        <f aca="false">IF(Data_Farmer!BR22="","",""&amp;Data_Farmer!BR22)</f>
        <v>65</v>
      </c>
      <c r="G68" s="69" t="str">
        <f aca="false">IF(Data_Farmer!BR23="","",""&amp;Data_Farmer!BR23)</f>
        <v>4</v>
      </c>
      <c r="H68" s="69" t="str">
        <f aca="false">IF(Data_Farmer!BR66="","",""&amp;Data_Farmer!BR66)</f>
        <v/>
      </c>
      <c r="I68" s="69" t="str">
        <f aca="false">IF(Data_Farmer!BR26="","",""&amp;Data_Farmer!BR26)</f>
        <v/>
      </c>
      <c r="J68" s="69" t="str">
        <f aca="false">IF(Data_Farmer!BR28="","",""&amp;Data_Farmer!BR28)</f>
        <v/>
      </c>
      <c r="K68" s="69" t="str">
        <f aca="false">IF(Data_Farmer!BR37="","",""&amp;Data_Farmer!BR37)</f>
        <v>401</v>
      </c>
      <c r="L68" s="69" t="str">
        <f aca="false">IF(Data_Farmer!BR38="","",""&amp;Data_Farmer!BR38)</f>
        <v>2</v>
      </c>
      <c r="M68" s="69" t="str">
        <f aca="false">IF(Data_Farmer!BR46="","",""&amp;Data_Farmer!BR46)</f>
        <v/>
      </c>
      <c r="N68" s="69" t="str">
        <f aca="false">IF(Data_Farmer!BR47="","",""&amp;Data_Farmer!BR47)</f>
        <v>63</v>
      </c>
      <c r="O68" s="69" t="str">
        <f aca="false">IF(Data_Farmer!BR48="","",""&amp;Data_Farmer!BR48)</f>
        <v>5</v>
      </c>
      <c r="P68" s="69" t="str">
        <f aca="false">IF(Data_Farmer!BR73="","",""&amp;Data_Farmer!BR73)</f>
        <v/>
      </c>
      <c r="Q68" s="69" t="str">
        <f aca="false">IF(Data_Farmer!BR51="","",""&amp;Data_Farmer!BR51)</f>
        <v/>
      </c>
      <c r="R68" s="69" t="str">
        <f aca="false">IF(Data_Farmer!BR53="","",""&amp;Data_Farmer!BR53)</f>
        <v/>
      </c>
    </row>
    <row r="69" customFormat="false" ht="15" hidden="false" customHeight="false" outlineLevel="0" collapsed="false">
      <c r="A69" s="69" t="str">
        <f aca="false">IF(Data_Farmer!BS85="","",""&amp;Data_Farmer!BS85)</f>
        <v>46053</v>
      </c>
      <c r="B69" s="69" t="str">
        <f aca="false">IF(Data_Farmer!BS8="","",""&amp;Data_Farmer!BS8)</f>
        <v/>
      </c>
      <c r="C69" s="69" t="str">
        <f aca="false">IF(Data_Farmer!BS12="","",""&amp;Data_Farmer!BS12)</f>
        <v>280.4</v>
      </c>
      <c r="D69" s="69" t="str">
        <f aca="false">IF(Data_Farmer!BS13="","",""&amp;Data_Farmer!BS13)</f>
        <v>1.4</v>
      </c>
      <c r="E69" s="69" t="str">
        <f aca="false">IF(Data_Farmer!BS21="","",""&amp;Data_Farmer!BS21)</f>
        <v/>
      </c>
      <c r="F69" s="69" t="str">
        <f aca="false">IF(Data_Farmer!BS22="","",""&amp;Data_Farmer!BS22)</f>
        <v>65</v>
      </c>
      <c r="G69" s="69" t="str">
        <f aca="false">IF(Data_Farmer!BS23="","",""&amp;Data_Farmer!BS23)</f>
        <v>7</v>
      </c>
      <c r="H69" s="69" t="str">
        <f aca="false">IF(Data_Farmer!BS66="","",""&amp;Data_Farmer!BS66)</f>
        <v/>
      </c>
      <c r="I69" s="69" t="str">
        <f aca="false">IF(Data_Farmer!BS26="","",""&amp;Data_Farmer!BS26)</f>
        <v/>
      </c>
      <c r="J69" s="69" t="str">
        <f aca="false">IF(Data_Farmer!BS28="","",""&amp;Data_Farmer!BS28)</f>
        <v/>
      </c>
      <c r="K69" s="69" t="str">
        <f aca="false">IF(Data_Farmer!BS37="","",""&amp;Data_Farmer!BS37)</f>
        <v>400.5</v>
      </c>
      <c r="L69" s="69" t="str">
        <f aca="false">IF(Data_Farmer!BS38="","",""&amp;Data_Farmer!BS38)</f>
        <v>1.5</v>
      </c>
      <c r="M69" s="69" t="str">
        <f aca="false">IF(Data_Farmer!BS46="","",""&amp;Data_Farmer!BS46)</f>
        <v/>
      </c>
      <c r="N69" s="69" t="str">
        <f aca="false">IF(Data_Farmer!BS47="","",""&amp;Data_Farmer!BS47)</f>
        <v>63</v>
      </c>
      <c r="O69" s="69" t="str">
        <f aca="false">IF(Data_Farmer!BS48="","",""&amp;Data_Farmer!BS48)</f>
        <v>5</v>
      </c>
      <c r="P69" s="69" t="str">
        <f aca="false">IF(Data_Farmer!BS73="","",""&amp;Data_Farmer!BS73)</f>
        <v/>
      </c>
      <c r="Q69" s="69" t="str">
        <f aca="false">IF(Data_Farmer!BS51="","",""&amp;Data_Farmer!BS51)</f>
        <v/>
      </c>
      <c r="R69" s="69" t="str">
        <f aca="false">IF(Data_Farmer!BS53="","",""&amp;Data_Farmer!BS53)</f>
        <v/>
      </c>
    </row>
    <row r="70" customFormat="false" ht="15" hidden="false" customHeight="false" outlineLevel="0" collapsed="false">
      <c r="A70" s="69" t="str">
        <f aca="false">IF(Data_Farmer!BT85="","",""&amp;Data_Farmer!BT85)</f>
        <v>46054</v>
      </c>
      <c r="B70" s="69" t="str">
        <f aca="false">IF(Data_Farmer!BT8="","",""&amp;Data_Farmer!BT8)</f>
        <v/>
      </c>
      <c r="C70" s="69" t="str">
        <f aca="false">IF(Data_Farmer!BT12="","",""&amp;Data_Farmer!BT12)</f>
        <v>280.2</v>
      </c>
      <c r="D70" s="69" t="str">
        <f aca="false">IF(Data_Farmer!BT13="","",""&amp;Data_Farmer!BT13)</f>
        <v>1.2</v>
      </c>
      <c r="E70" s="69" t="str">
        <f aca="false">IF(Data_Farmer!BT21="","",""&amp;Data_Farmer!BT21)</f>
        <v/>
      </c>
      <c r="F70" s="69" t="str">
        <f aca="false">IF(Data_Farmer!BT22="","",""&amp;Data_Farmer!BT22)</f>
        <v>65</v>
      </c>
      <c r="G70" s="69" t="str">
        <f aca="false">IF(Data_Farmer!BT23="","",""&amp;Data_Farmer!BT23)</f>
        <v>2</v>
      </c>
      <c r="H70" s="69" t="str">
        <f aca="false">IF(Data_Farmer!BT66="","",""&amp;Data_Farmer!BT66)</f>
        <v/>
      </c>
      <c r="I70" s="69" t="str">
        <f aca="false">IF(Data_Farmer!BT26="","",""&amp;Data_Farmer!BT26)</f>
        <v/>
      </c>
      <c r="J70" s="69" t="str">
        <f aca="false">IF(Data_Farmer!BT28="","",""&amp;Data_Farmer!BT28)</f>
        <v/>
      </c>
      <c r="K70" s="69" t="str">
        <f aca="false">IF(Data_Farmer!BT37="","",""&amp;Data_Farmer!BT37)</f>
        <v>400.3</v>
      </c>
      <c r="L70" s="69" t="str">
        <f aca="false">IF(Data_Farmer!BT38="","",""&amp;Data_Farmer!BT38)</f>
        <v>1.3</v>
      </c>
      <c r="M70" s="69" t="str">
        <f aca="false">IF(Data_Farmer!BT46="","",""&amp;Data_Farmer!BT46)</f>
        <v/>
      </c>
      <c r="N70" s="69" t="str">
        <f aca="false">IF(Data_Farmer!BT47="","",""&amp;Data_Farmer!BT47)</f>
        <v>63</v>
      </c>
      <c r="O70" s="69" t="str">
        <f aca="false">IF(Data_Farmer!BT48="","",""&amp;Data_Farmer!BT48)</f>
        <v>2</v>
      </c>
      <c r="P70" s="69" t="str">
        <f aca="false">IF(Data_Farmer!BT73="","",""&amp;Data_Farmer!BT73)</f>
        <v/>
      </c>
      <c r="Q70" s="69" t="str">
        <f aca="false">IF(Data_Farmer!BT51="","",""&amp;Data_Farmer!BT51)</f>
        <v/>
      </c>
      <c r="R70" s="69" t="str">
        <f aca="false">IF(Data_Farmer!BT53="","",""&amp;Data_Farmer!BT53)</f>
        <v/>
      </c>
    </row>
    <row r="71" customFormat="false" ht="15" hidden="false" customHeight="false" outlineLevel="0" collapsed="false">
      <c r="A71" s="69" t="str">
        <f aca="false">IF(Data_Farmer!BU85="","",""&amp;Data_Farmer!BU85)</f>
        <v>46055</v>
      </c>
      <c r="B71" s="69" t="str">
        <f aca="false">IF(Data_Farmer!BU8="","",""&amp;Data_Farmer!BU8)</f>
        <v/>
      </c>
      <c r="C71" s="69" t="str">
        <f aca="false">IF(Data_Farmer!BU12="","",""&amp;Data_Farmer!BU12)</f>
        <v>280</v>
      </c>
      <c r="D71" s="69" t="str">
        <f aca="false">IF(Data_Farmer!BU13="","",""&amp;Data_Farmer!BU13)</f>
        <v>1</v>
      </c>
      <c r="E71" s="69" t="str">
        <f aca="false">IF(Data_Farmer!BU21="","",""&amp;Data_Farmer!BU21)</f>
        <v/>
      </c>
      <c r="F71" s="69" t="str">
        <f aca="false">IF(Data_Farmer!BU22="","",""&amp;Data_Farmer!BU22)</f>
        <v>65</v>
      </c>
      <c r="G71" s="69" t="str">
        <f aca="false">IF(Data_Farmer!BU23="","",""&amp;Data_Farmer!BU23)</f>
        <v>2</v>
      </c>
      <c r="H71" s="69" t="str">
        <f aca="false">IF(Data_Farmer!BU66="","",""&amp;Data_Farmer!BU66)</f>
        <v/>
      </c>
      <c r="I71" s="69" t="str">
        <f aca="false">IF(Data_Farmer!BU26="","",""&amp;Data_Farmer!BU26)</f>
        <v/>
      </c>
      <c r="J71" s="69" t="str">
        <f aca="false">IF(Data_Farmer!BU28="","",""&amp;Data_Farmer!BU28)</f>
        <v/>
      </c>
      <c r="K71" s="69" t="str">
        <f aca="false">IF(Data_Farmer!BU37="","",""&amp;Data_Farmer!BU37)</f>
        <v>400.1</v>
      </c>
      <c r="L71" s="69" t="str">
        <f aca="false">IF(Data_Farmer!BU38="","",""&amp;Data_Farmer!BU38)</f>
        <v>1.1</v>
      </c>
      <c r="M71" s="69" t="str">
        <f aca="false">IF(Data_Farmer!BU46="","",""&amp;Data_Farmer!BU46)</f>
        <v/>
      </c>
      <c r="N71" s="69" t="str">
        <f aca="false">IF(Data_Farmer!BU47="","",""&amp;Data_Farmer!BU47)</f>
        <v>63</v>
      </c>
      <c r="O71" s="69" t="str">
        <f aca="false">IF(Data_Farmer!BU48="","",""&amp;Data_Farmer!BU48)</f>
        <v>2</v>
      </c>
      <c r="P71" s="69" t="str">
        <f aca="false">IF(Data_Farmer!BU73="","",""&amp;Data_Farmer!BU73)</f>
        <v/>
      </c>
      <c r="Q71" s="69" t="str">
        <f aca="false">IF(Data_Farmer!BU51="","",""&amp;Data_Farmer!BU51)</f>
        <v/>
      </c>
      <c r="R71" s="69" t="str">
        <f aca="false">IF(Data_Farmer!BU53="","",""&amp;Data_Farmer!BU53)</f>
        <v/>
      </c>
    </row>
    <row r="72" customFormat="false" ht="15" hidden="false" customHeight="false" outlineLevel="0" collapsed="false">
      <c r="A72" s="69" t="str">
        <f aca="false">IF(Data_Farmer!BV85="","",""&amp;Data_Farmer!BV85)</f>
        <v>46056</v>
      </c>
      <c r="B72" s="69" t="str">
        <f aca="false">IF(Data_Farmer!BV8="","",""&amp;Data_Farmer!BV8)</f>
        <v/>
      </c>
      <c r="C72" s="69" t="str">
        <f aca="false">IF(Data_Farmer!BV12="","",""&amp;Data_Farmer!BV12)</f>
        <v>279.9</v>
      </c>
      <c r="D72" s="69" t="str">
        <f aca="false">IF(Data_Farmer!BV13="","",""&amp;Data_Farmer!BV13)</f>
        <v>0.9</v>
      </c>
      <c r="E72" s="69" t="str">
        <f aca="false">IF(Data_Farmer!BV21="","",""&amp;Data_Farmer!BV21)</f>
        <v/>
      </c>
      <c r="F72" s="69" t="str">
        <f aca="false">IF(Data_Farmer!BV22="","",""&amp;Data_Farmer!BV22)</f>
        <v>65</v>
      </c>
      <c r="G72" s="69" t="str">
        <f aca="false">IF(Data_Farmer!BV23="","",""&amp;Data_Farmer!BV23)</f>
        <v>1</v>
      </c>
      <c r="H72" s="69" t="str">
        <f aca="false">IF(Data_Farmer!BV66="","",""&amp;Data_Farmer!BV66)</f>
        <v/>
      </c>
      <c r="I72" s="69" t="str">
        <f aca="false">IF(Data_Farmer!BV26="","",""&amp;Data_Farmer!BV26)</f>
        <v/>
      </c>
      <c r="J72" s="69" t="str">
        <f aca="false">IF(Data_Farmer!BV28="","",""&amp;Data_Farmer!BV28)</f>
        <v/>
      </c>
      <c r="K72" s="69" t="str">
        <f aca="false">IF(Data_Farmer!BV37="","",""&amp;Data_Farmer!BV37)</f>
        <v>400</v>
      </c>
      <c r="L72" s="69" t="str">
        <f aca="false">IF(Data_Farmer!BV38="","",""&amp;Data_Farmer!BV38)</f>
        <v>1</v>
      </c>
      <c r="M72" s="69" t="str">
        <f aca="false">IF(Data_Farmer!BV46="","",""&amp;Data_Farmer!BV46)</f>
        <v/>
      </c>
      <c r="N72" s="69" t="str">
        <f aca="false">IF(Data_Farmer!BV47="","",""&amp;Data_Farmer!BV47)</f>
        <v>63</v>
      </c>
      <c r="O72" s="69" t="str">
        <f aca="false">IF(Data_Farmer!BV48="","",""&amp;Data_Farmer!BV48)</f>
        <v>1</v>
      </c>
      <c r="P72" s="69" t="str">
        <f aca="false">IF(Data_Farmer!BV73="","",""&amp;Data_Farmer!BV73)</f>
        <v/>
      </c>
      <c r="Q72" s="69" t="str">
        <f aca="false">IF(Data_Farmer!BV51="","",""&amp;Data_Farmer!BV51)</f>
        <v/>
      </c>
      <c r="R72" s="69" t="str">
        <f aca="false">IF(Data_Farmer!BV53="","",""&amp;Data_Farmer!BV53)</f>
        <v/>
      </c>
    </row>
    <row r="73" customFormat="false" ht="15" hidden="false" customHeight="false" outlineLevel="0" collapsed="false">
      <c r="A73" s="69" t="str">
        <f aca="false">IF(Data_Farmer!BW85="","",""&amp;Data_Farmer!BW85)</f>
        <v>46057</v>
      </c>
      <c r="B73" s="69" t="str">
        <f aca="false">IF(Data_Farmer!BW8="","",""&amp;Data_Farmer!BW8)</f>
        <v/>
      </c>
      <c r="C73" s="69" t="str">
        <f aca="false">IF(Data_Farmer!BW12="","",""&amp;Data_Farmer!BW12)</f>
        <v>279.7</v>
      </c>
      <c r="D73" s="69" t="str">
        <f aca="false">IF(Data_Farmer!BW13="","",""&amp;Data_Farmer!BW13)</f>
        <v>0.7</v>
      </c>
      <c r="E73" s="69" t="str">
        <f aca="false">IF(Data_Farmer!BW21="","",""&amp;Data_Farmer!BW21)</f>
        <v>27</v>
      </c>
      <c r="F73" s="69" t="str">
        <f aca="false">IF(Data_Farmer!BW22="","",""&amp;Data_Farmer!BW22)</f>
        <v>92</v>
      </c>
      <c r="G73" s="69" t="str">
        <f aca="false">IF(Data_Farmer!BW23="","",""&amp;Data_Farmer!BW23)</f>
        <v>2</v>
      </c>
      <c r="H73" s="69" t="str">
        <f aca="false">IF(Data_Farmer!BW66="","",""&amp;Data_Farmer!BW66)</f>
        <v/>
      </c>
      <c r="I73" s="69" t="str">
        <f aca="false">IF(Data_Farmer!BW26="","",""&amp;Data_Farmer!BW26)</f>
        <v>20</v>
      </c>
      <c r="J73" s="69" t="str">
        <f aca="false">IF(Data_Farmer!BW28="","",""&amp;Data_Farmer!BW28)</f>
        <v/>
      </c>
      <c r="K73" s="69" t="str">
        <f aca="false">IF(Data_Farmer!BW37="","",""&amp;Data_Farmer!BW37)</f>
        <v>399.5</v>
      </c>
      <c r="L73" s="69" t="str">
        <f aca="false">IF(Data_Farmer!BW38="","",""&amp;Data_Farmer!BW38)</f>
        <v>0.5</v>
      </c>
      <c r="M73" s="69" t="str">
        <f aca="false">IF(Data_Farmer!BW46="","",""&amp;Data_Farmer!BW46)</f>
        <v>19</v>
      </c>
      <c r="N73" s="69" t="str">
        <f aca="false">IF(Data_Farmer!BW47="","",""&amp;Data_Farmer!BW47)</f>
        <v>82</v>
      </c>
      <c r="O73" s="69" t="str">
        <f aca="false">IF(Data_Farmer!BW48="","",""&amp;Data_Farmer!BW48)</f>
        <v>5</v>
      </c>
      <c r="P73" s="69" t="str">
        <f aca="false">IF(Data_Farmer!BW73="","",""&amp;Data_Farmer!BW73)</f>
        <v/>
      </c>
      <c r="Q73" s="69" t="str">
        <f aca="false">IF(Data_Farmer!BW51="","",""&amp;Data_Farmer!BW51)</f>
        <v>20</v>
      </c>
      <c r="R73" s="69" t="str">
        <f aca="false">IF(Data_Farmer!BW53="","",""&amp;Data_Farmer!BW53)</f>
        <v/>
      </c>
    </row>
    <row r="74" customFormat="false" ht="15" hidden="false" customHeight="false" outlineLevel="0" collapsed="false">
      <c r="A74" s="69" t="str">
        <f aca="false">IF(Data_Farmer!BX85="","",""&amp;Data_Farmer!BX85)</f>
        <v>46058</v>
      </c>
      <c r="B74" s="69" t="str">
        <f aca="false">IF(Data_Farmer!BX8="","",""&amp;Data_Farmer!BX8)</f>
        <v/>
      </c>
      <c r="C74" s="69" t="str">
        <f aca="false">IF(Data_Farmer!BX12="","",""&amp;Data_Farmer!BX12)</f>
        <v>281.6</v>
      </c>
      <c r="D74" s="69" t="str">
        <f aca="false">IF(Data_Farmer!BX13="","",""&amp;Data_Farmer!BX13)</f>
        <v>2.6</v>
      </c>
      <c r="E74" s="69" t="str">
        <f aca="false">IF(Data_Farmer!BX21="","",""&amp;Data_Farmer!BX21)</f>
        <v/>
      </c>
      <c r="F74" s="69" t="str">
        <f aca="false">IF(Data_Farmer!BX22="","",""&amp;Data_Farmer!BX22)</f>
        <v>92</v>
      </c>
      <c r="G74" s="69" t="str">
        <f aca="false">IF(Data_Farmer!BX23="","",""&amp;Data_Farmer!BX23)</f>
        <v>8</v>
      </c>
      <c r="H74" s="69" t="str">
        <f aca="false">IF(Data_Farmer!BX66="","",""&amp;Data_Farmer!BX66)</f>
        <v/>
      </c>
      <c r="I74" s="69" t="str">
        <f aca="false">IF(Data_Farmer!BX26="","",""&amp;Data_Farmer!BX26)</f>
        <v/>
      </c>
      <c r="J74" s="69" t="str">
        <f aca="false">IF(Data_Farmer!BX28="","",""&amp;Data_Farmer!BX28)</f>
        <v/>
      </c>
      <c r="K74" s="69" t="str">
        <f aca="false">IF(Data_Farmer!BX37="","",""&amp;Data_Farmer!BX37)</f>
        <v>401.3</v>
      </c>
      <c r="L74" s="69" t="str">
        <f aca="false">IF(Data_Farmer!BX38="","",""&amp;Data_Farmer!BX38)</f>
        <v>2.3</v>
      </c>
      <c r="M74" s="69" t="str">
        <f aca="false">IF(Data_Farmer!BX46="","",""&amp;Data_Farmer!BX46)</f>
        <v/>
      </c>
      <c r="N74" s="69" t="str">
        <f aca="false">IF(Data_Farmer!BX47="","",""&amp;Data_Farmer!BX47)</f>
        <v>82</v>
      </c>
      <c r="O74" s="69" t="str">
        <f aca="false">IF(Data_Farmer!BX48="","",""&amp;Data_Farmer!BX48)</f>
        <v>1</v>
      </c>
      <c r="P74" s="69" t="str">
        <f aca="false">IF(Data_Farmer!BX73="","",""&amp;Data_Farmer!BX73)</f>
        <v/>
      </c>
      <c r="Q74" s="69" t="str">
        <f aca="false">IF(Data_Farmer!BX51="","",""&amp;Data_Farmer!BX51)</f>
        <v/>
      </c>
      <c r="R74" s="69" t="str">
        <f aca="false">IF(Data_Farmer!BX53="","",""&amp;Data_Farmer!BX53)</f>
        <v/>
      </c>
    </row>
    <row r="75" customFormat="false" ht="15" hidden="false" customHeight="false" outlineLevel="0" collapsed="false">
      <c r="A75" s="69" t="str">
        <f aca="false">IF(Data_Farmer!BY85="","",""&amp;Data_Farmer!BY85)</f>
        <v>46059</v>
      </c>
      <c r="B75" s="69" t="str">
        <f aca="false">IF(Data_Farmer!BY8="","",""&amp;Data_Farmer!BY8)</f>
        <v/>
      </c>
      <c r="C75" s="69" t="str">
        <f aca="false">IF(Data_Farmer!BY12="","",""&amp;Data_Farmer!BY12)</f>
        <v>281.4</v>
      </c>
      <c r="D75" s="69" t="str">
        <f aca="false">IF(Data_Farmer!BY13="","",""&amp;Data_Farmer!BY13)</f>
        <v>2.4</v>
      </c>
      <c r="E75" s="69" t="str">
        <f aca="false">IF(Data_Farmer!BY21="","",""&amp;Data_Farmer!BY21)</f>
        <v/>
      </c>
      <c r="F75" s="69" t="str">
        <f aca="false">IF(Data_Farmer!BY22="","",""&amp;Data_Farmer!BY22)</f>
        <v>92</v>
      </c>
      <c r="G75" s="69" t="str">
        <f aca="false">IF(Data_Farmer!BY23="","",""&amp;Data_Farmer!BY23)</f>
        <v>2</v>
      </c>
      <c r="H75" s="69" t="str">
        <f aca="false">IF(Data_Farmer!BY66="","",""&amp;Data_Farmer!BY66)</f>
        <v>8.3</v>
      </c>
      <c r="I75" s="69" t="str">
        <f aca="false">IF(Data_Farmer!BY26="","",""&amp;Data_Farmer!BY26)</f>
        <v/>
      </c>
      <c r="J75" s="69" t="str">
        <f aca="false">IF(Data_Farmer!BY28="","",""&amp;Data_Farmer!BY28)</f>
        <v/>
      </c>
      <c r="K75" s="69" t="str">
        <f aca="false">IF(Data_Farmer!BY37="","",""&amp;Data_Farmer!BY37)</f>
        <v>401</v>
      </c>
      <c r="L75" s="69" t="str">
        <f aca="false">IF(Data_Farmer!BY38="","",""&amp;Data_Farmer!BY38)</f>
        <v>2</v>
      </c>
      <c r="M75" s="69" t="str">
        <f aca="false">IF(Data_Farmer!BY46="","",""&amp;Data_Farmer!BY46)</f>
        <v/>
      </c>
      <c r="N75" s="69" t="str">
        <f aca="false">IF(Data_Farmer!BY47="","",""&amp;Data_Farmer!BY47)</f>
        <v>82</v>
      </c>
      <c r="O75" s="69" t="str">
        <f aca="false">IF(Data_Farmer!BY48="","",""&amp;Data_Farmer!BY48)</f>
        <v>3</v>
      </c>
      <c r="P75" s="69" t="str">
        <f aca="false">IF(Data_Farmer!BY73="","",""&amp;Data_Farmer!BY73)</f>
        <v>7.7</v>
      </c>
      <c r="Q75" s="69" t="str">
        <f aca="false">IF(Data_Farmer!BY51="","",""&amp;Data_Farmer!BY51)</f>
        <v/>
      </c>
      <c r="R75" s="69" t="str">
        <f aca="false">IF(Data_Farmer!BY53="","",""&amp;Data_Farmer!BY53)</f>
        <v/>
      </c>
    </row>
    <row r="76" customFormat="false" ht="15" hidden="false" customHeight="false" outlineLevel="0" collapsed="false">
      <c r="A76" s="69" t="str">
        <f aca="false">IF(Data_Farmer!BZ85="","",""&amp;Data_Farmer!BZ85)</f>
        <v>46060</v>
      </c>
      <c r="B76" s="69" t="str">
        <f aca="false">IF(Data_Farmer!BZ8="","",""&amp;Data_Farmer!BZ8)</f>
        <v/>
      </c>
      <c r="C76" s="69" t="str">
        <f aca="false">IF(Data_Farmer!BZ12="","",""&amp;Data_Farmer!BZ12)</f>
        <v>280.9</v>
      </c>
      <c r="D76" s="69" t="str">
        <f aca="false">IF(Data_Farmer!BZ13="","",""&amp;Data_Farmer!BZ13)</f>
        <v>1.9</v>
      </c>
      <c r="E76" s="69" t="str">
        <f aca="false">IF(Data_Farmer!BZ21="","",""&amp;Data_Farmer!BZ21)</f>
        <v/>
      </c>
      <c r="F76" s="69" t="str">
        <f aca="false">IF(Data_Farmer!BZ22="","",""&amp;Data_Farmer!BZ22)</f>
        <v>92</v>
      </c>
      <c r="G76" s="69" t="str">
        <f aca="false">IF(Data_Farmer!BZ23="","",""&amp;Data_Farmer!BZ23)</f>
        <v>5</v>
      </c>
      <c r="H76" s="69" t="str">
        <f aca="false">IF(Data_Farmer!BZ66="","",""&amp;Data_Farmer!BZ66)</f>
        <v/>
      </c>
      <c r="I76" s="69" t="str">
        <f aca="false">IF(Data_Farmer!BZ26="","",""&amp;Data_Farmer!BZ26)</f>
        <v/>
      </c>
      <c r="J76" s="69" t="str">
        <f aca="false">IF(Data_Farmer!BZ28="","",""&amp;Data_Farmer!BZ28)</f>
        <v/>
      </c>
      <c r="K76" s="69" t="str">
        <f aca="false">IF(Data_Farmer!BZ37="","",""&amp;Data_Farmer!BZ37)</f>
        <v>400.5</v>
      </c>
      <c r="L76" s="69" t="str">
        <f aca="false">IF(Data_Farmer!BZ38="","",""&amp;Data_Farmer!BZ38)</f>
        <v>1.5</v>
      </c>
      <c r="M76" s="69" t="str">
        <f aca="false">IF(Data_Farmer!BZ46="","",""&amp;Data_Farmer!BZ46)</f>
        <v/>
      </c>
      <c r="N76" s="69" t="str">
        <f aca="false">IF(Data_Farmer!BZ47="","",""&amp;Data_Farmer!BZ47)</f>
        <v>82</v>
      </c>
      <c r="O76" s="69" t="str">
        <f aca="false">IF(Data_Farmer!BZ48="","",""&amp;Data_Farmer!BZ48)</f>
        <v>5</v>
      </c>
      <c r="P76" s="69" t="str">
        <f aca="false">IF(Data_Farmer!BZ73="","",""&amp;Data_Farmer!BZ73)</f>
        <v/>
      </c>
      <c r="Q76" s="69" t="str">
        <f aca="false">IF(Data_Farmer!BZ51="","",""&amp;Data_Farmer!BZ51)</f>
        <v/>
      </c>
      <c r="R76" s="69" t="str">
        <f aca="false">IF(Data_Farmer!BZ53="","",""&amp;Data_Farmer!BZ53)</f>
        <v/>
      </c>
    </row>
    <row r="77" customFormat="false" ht="15" hidden="false" customHeight="false" outlineLevel="0" collapsed="false">
      <c r="A77" s="69" t="str">
        <f aca="false">IF(Data_Farmer!CA85="","",""&amp;Data_Farmer!CA85)</f>
        <v>46061</v>
      </c>
      <c r="B77" s="69" t="str">
        <f aca="false">IF(Data_Farmer!CA8="","",""&amp;Data_Farmer!CA8)</f>
        <v/>
      </c>
      <c r="C77" s="69" t="str">
        <f aca="false">IF(Data_Farmer!CA12="","",""&amp;Data_Farmer!CA12)</f>
        <v/>
      </c>
      <c r="D77" s="69" t="str">
        <f aca="false">IF(Data_Farmer!CA13="","",""&amp;Data_Farmer!CA13)</f>
        <v/>
      </c>
      <c r="E77" s="69" t="str">
        <f aca="false">IF(Data_Farmer!CA21="","",""&amp;Data_Farmer!CA21)</f>
        <v/>
      </c>
      <c r="F77" s="69" t="str">
        <f aca="false">IF(Data_Farmer!CA22="","",""&amp;Data_Farmer!CA22)</f>
        <v/>
      </c>
      <c r="G77" s="69" t="str">
        <f aca="false">IF(Data_Farmer!CA23="","",""&amp;Data_Farmer!CA23)</f>
        <v/>
      </c>
      <c r="H77" s="69" t="str">
        <f aca="false">IF(Data_Farmer!CA66="","",""&amp;Data_Farmer!CA66)</f>
        <v/>
      </c>
      <c r="I77" s="69" t="str">
        <f aca="false">IF(Data_Farmer!CA26="","",""&amp;Data_Farmer!CA26)</f>
        <v/>
      </c>
      <c r="J77" s="69" t="str">
        <f aca="false">IF(Data_Farmer!CA28="","",""&amp;Data_Farmer!CA28)</f>
        <v/>
      </c>
      <c r="K77" s="69" t="str">
        <f aca="false">IF(Data_Farmer!CA37="","",""&amp;Data_Farmer!CA37)</f>
        <v/>
      </c>
      <c r="L77" s="69" t="str">
        <f aca="false">IF(Data_Farmer!CA38="","",""&amp;Data_Farmer!CA38)</f>
        <v/>
      </c>
      <c r="M77" s="69" t="str">
        <f aca="false">IF(Data_Farmer!CA46="","",""&amp;Data_Farmer!CA46)</f>
        <v/>
      </c>
      <c r="N77" s="69" t="str">
        <f aca="false">IF(Data_Farmer!CA47="","",""&amp;Data_Farmer!CA47)</f>
        <v/>
      </c>
      <c r="O77" s="69" t="str">
        <f aca="false">IF(Data_Farmer!CA48="","",""&amp;Data_Farmer!CA48)</f>
        <v/>
      </c>
      <c r="P77" s="69" t="str">
        <f aca="false">IF(Data_Farmer!CA73="","",""&amp;Data_Farmer!CA73)</f>
        <v/>
      </c>
      <c r="Q77" s="69" t="str">
        <f aca="false">IF(Data_Farmer!CA51="","",""&amp;Data_Farmer!CA51)</f>
        <v/>
      </c>
      <c r="R77" s="69" t="str">
        <f aca="false">IF(Data_Farmer!CA53="","",""&amp;Data_Farmer!CA53)</f>
        <v/>
      </c>
    </row>
    <row r="78" customFormat="false" ht="15" hidden="false" customHeight="false" outlineLevel="0" collapsed="false">
      <c r="A78" s="69" t="str">
        <f aca="false">IF(Data_Farmer!CB85="","",""&amp;Data_Farmer!CB85)</f>
        <v>46062</v>
      </c>
      <c r="B78" s="69" t="str">
        <f aca="false">IF(Data_Farmer!CB8="","",""&amp;Data_Farmer!CB8)</f>
        <v/>
      </c>
      <c r="C78" s="69" t="str">
        <f aca="false">IF(Data_Farmer!CB12="","",""&amp;Data_Farmer!CB12)</f>
        <v>280.1</v>
      </c>
      <c r="D78" s="69" t="str">
        <f aca="false">IF(Data_Farmer!CB13="","",""&amp;Data_Farmer!CB13)</f>
        <v>1.1</v>
      </c>
      <c r="E78" s="69" t="str">
        <f aca="false">IF(Data_Farmer!CB21="","",""&amp;Data_Farmer!CB21)</f>
        <v/>
      </c>
      <c r="F78" s="69" t="str">
        <f aca="false">IF(Data_Farmer!CB22="","",""&amp;Data_Farmer!CB22)</f>
        <v>92</v>
      </c>
      <c r="G78" s="69" t="str">
        <f aca="false">IF(Data_Farmer!CB23="","",""&amp;Data_Farmer!CB23)</f>
        <v/>
      </c>
      <c r="H78" s="69" t="str">
        <f aca="false">IF(Data_Farmer!CB66="","",""&amp;Data_Farmer!CB66)</f>
        <v/>
      </c>
      <c r="I78" s="69" t="str">
        <f aca="false">IF(Data_Farmer!CB26="","",""&amp;Data_Farmer!CB26)</f>
        <v/>
      </c>
      <c r="J78" s="69" t="str">
        <f aca="false">IF(Data_Farmer!CB28="","",""&amp;Data_Farmer!CB28)</f>
        <v/>
      </c>
      <c r="K78" s="69" t="str">
        <f aca="false">IF(Data_Farmer!CB37="","",""&amp;Data_Farmer!CB37)</f>
        <v>400</v>
      </c>
      <c r="L78" s="69" t="str">
        <f aca="false">IF(Data_Farmer!CB38="","",""&amp;Data_Farmer!CB38)</f>
        <v>1</v>
      </c>
      <c r="M78" s="69" t="str">
        <f aca="false">IF(Data_Farmer!CB46="","",""&amp;Data_Farmer!CB46)</f>
        <v/>
      </c>
      <c r="N78" s="69" t="str">
        <f aca="false">IF(Data_Farmer!CB47="","",""&amp;Data_Farmer!CB47)</f>
        <v>82</v>
      </c>
      <c r="O78" s="69" t="str">
        <f aca="false">IF(Data_Farmer!CB48="","",""&amp;Data_Farmer!CB48)</f>
        <v/>
      </c>
      <c r="P78" s="69" t="str">
        <f aca="false">IF(Data_Farmer!CB73="","",""&amp;Data_Farmer!CB73)</f>
        <v/>
      </c>
      <c r="Q78" s="69" t="str">
        <f aca="false">IF(Data_Farmer!CB51="","",""&amp;Data_Farmer!CB51)</f>
        <v/>
      </c>
      <c r="R78" s="69" t="str">
        <f aca="false">IF(Data_Farmer!CB53="","",""&amp;Data_Farmer!CB53)</f>
        <v/>
      </c>
    </row>
    <row r="79" customFormat="false" ht="15" hidden="false" customHeight="false" outlineLevel="0" collapsed="false">
      <c r="A79" s="69" t="str">
        <f aca="false">IF(Data_Farmer!CC85="","",""&amp;Data_Farmer!CC85)</f>
        <v>46063</v>
      </c>
      <c r="B79" s="69" t="str">
        <f aca="false">IF(Data_Farmer!CC8="","",""&amp;Data_Farmer!CC8)</f>
        <v/>
      </c>
      <c r="C79" s="69" t="str">
        <f aca="false">IF(Data_Farmer!CC12="","",""&amp;Data_Farmer!CC12)</f>
        <v>279.5</v>
      </c>
      <c r="D79" s="69" t="str">
        <f aca="false">IF(Data_Farmer!CC13="","",""&amp;Data_Farmer!CC13)</f>
        <v>0.5</v>
      </c>
      <c r="E79" s="69" t="str">
        <f aca="false">IF(Data_Farmer!CC21="","",""&amp;Data_Farmer!CC21)</f>
        <v/>
      </c>
      <c r="F79" s="69" t="str">
        <f aca="false">IF(Data_Farmer!CC22="","",""&amp;Data_Farmer!CC22)</f>
        <v>92</v>
      </c>
      <c r="G79" s="69" t="str">
        <f aca="false">IF(Data_Farmer!CC23="","",""&amp;Data_Farmer!CC23)</f>
        <v>6</v>
      </c>
      <c r="H79" s="69" t="str">
        <f aca="false">IF(Data_Farmer!CC66="","",""&amp;Data_Farmer!CC66)</f>
        <v/>
      </c>
      <c r="I79" s="69" t="str">
        <f aca="false">IF(Data_Farmer!CC26="","",""&amp;Data_Farmer!CC26)</f>
        <v/>
      </c>
      <c r="J79" s="69" t="str">
        <f aca="false">IF(Data_Farmer!CC28="","",""&amp;Data_Farmer!CC28)</f>
        <v/>
      </c>
      <c r="K79" s="69" t="str">
        <f aca="false">IF(Data_Farmer!CC37="","",""&amp;Data_Farmer!CC37)</f>
        <v>398.8</v>
      </c>
      <c r="L79" s="69" t="str">
        <f aca="false">IF(Data_Farmer!CC38="","",""&amp;Data_Farmer!CC38)</f>
        <v>-0.2</v>
      </c>
      <c r="M79" s="69" t="str">
        <f aca="false">IF(Data_Farmer!CC46="","",""&amp;Data_Farmer!CC46)</f>
        <v/>
      </c>
      <c r="N79" s="69" t="str">
        <f aca="false">IF(Data_Farmer!CC47="","",""&amp;Data_Farmer!CC47)</f>
        <v>82</v>
      </c>
      <c r="O79" s="69" t="str">
        <f aca="false">IF(Data_Farmer!CC48="","",""&amp;Data_Farmer!CC48)</f>
        <v>12</v>
      </c>
      <c r="P79" s="69" t="str">
        <f aca="false">IF(Data_Farmer!CC73="","",""&amp;Data_Farmer!CC73)</f>
        <v/>
      </c>
      <c r="Q79" s="69" t="str">
        <f aca="false">IF(Data_Farmer!CC51="","",""&amp;Data_Farmer!CC51)</f>
        <v/>
      </c>
      <c r="R79" s="69" t="str">
        <f aca="false">IF(Data_Farmer!CC53="","",""&amp;Data_Farmer!CC53)</f>
        <v/>
      </c>
    </row>
    <row r="80" customFormat="false" ht="15" hidden="false" customHeight="false" outlineLevel="0" collapsed="false">
      <c r="A80" s="69" t="str">
        <f aca="false">IF(Data_Farmer!CD85="","",""&amp;Data_Farmer!CD85)</f>
        <v>46064</v>
      </c>
      <c r="B80" s="69" t="str">
        <f aca="false">IF(Data_Farmer!CD8="","",""&amp;Data_Farmer!CD8)</f>
        <v/>
      </c>
      <c r="C80" s="69" t="str">
        <f aca="false">IF(Data_Farmer!CD12="","",""&amp;Data_Farmer!CD12)</f>
        <v>278.5</v>
      </c>
      <c r="D80" s="69" t="str">
        <f aca="false">IF(Data_Farmer!CD13="","",""&amp;Data_Farmer!CD13)</f>
        <v>-0.5</v>
      </c>
      <c r="E80" s="69" t="str">
        <f aca="false">IF(Data_Farmer!CD21="","",""&amp;Data_Farmer!CD21)</f>
        <v>23</v>
      </c>
      <c r="F80" s="69" t="str">
        <f aca="false">IF(Data_Farmer!CD22="","",""&amp;Data_Farmer!CD22)</f>
        <v>115</v>
      </c>
      <c r="G80" s="69" t="str">
        <f aca="false">IF(Data_Farmer!CD23="","",""&amp;Data_Farmer!CD23)</f>
        <v>10</v>
      </c>
      <c r="H80" s="69" t="str">
        <f aca="false">IF(Data_Farmer!CD66="","",""&amp;Data_Farmer!CD66)</f>
        <v/>
      </c>
      <c r="I80" s="69" t="str">
        <f aca="false">IF(Data_Farmer!CD26="","",""&amp;Data_Farmer!CD26)</f>
        <v>20</v>
      </c>
      <c r="J80" s="69" t="str">
        <f aca="false">IF(Data_Farmer!CD28="","",""&amp;Data_Farmer!CD28)</f>
        <v/>
      </c>
      <c r="K80" s="69" t="str">
        <f aca="false">IF(Data_Farmer!CD37="","",""&amp;Data_Farmer!CD37)</f>
        <v>398.3</v>
      </c>
      <c r="L80" s="69" t="str">
        <f aca="false">IF(Data_Farmer!CD38="","",""&amp;Data_Farmer!CD38)</f>
        <v>-0.7</v>
      </c>
      <c r="M80" s="69" t="str">
        <f aca="false">IF(Data_Farmer!CD46="","",""&amp;Data_Farmer!CD46)</f>
        <v>22</v>
      </c>
      <c r="N80" s="69" t="str">
        <f aca="false">IF(Data_Farmer!CD47="","",""&amp;Data_Farmer!CD47)</f>
        <v>104</v>
      </c>
      <c r="O80" s="69" t="str">
        <f aca="false">IF(Data_Farmer!CD48="","",""&amp;Data_Farmer!CD48)</f>
        <v>5</v>
      </c>
      <c r="P80" s="69" t="str">
        <f aca="false">IF(Data_Farmer!CD73="","",""&amp;Data_Farmer!CD73)</f>
        <v/>
      </c>
      <c r="Q80" s="69" t="str">
        <f aca="false">IF(Data_Farmer!CD51="","",""&amp;Data_Farmer!CD51)</f>
        <v>20</v>
      </c>
      <c r="R80" s="69" t="str">
        <f aca="false">IF(Data_Farmer!CD53="","",""&amp;Data_Farmer!CD53)</f>
        <v/>
      </c>
    </row>
    <row r="81" customFormat="false" ht="15" hidden="false" customHeight="false" outlineLevel="0" collapsed="false">
      <c r="A81" s="69" t="str">
        <f aca="false">IF(Data_Farmer!CE85="","",""&amp;Data_Farmer!CE85)</f>
        <v>46065</v>
      </c>
      <c r="B81" s="69" t="str">
        <f aca="false">IF(Data_Farmer!CE8="","",""&amp;Data_Farmer!CE8)</f>
        <v/>
      </c>
      <c r="C81" s="69" t="str">
        <f aca="false">IF(Data_Farmer!CE12="","",""&amp;Data_Farmer!CE12)</f>
        <v>281</v>
      </c>
      <c r="D81" s="69" t="str">
        <f aca="false">IF(Data_Farmer!CE13="","",""&amp;Data_Farmer!CE13)</f>
        <v>2</v>
      </c>
      <c r="E81" s="69" t="str">
        <f aca="false">IF(Data_Farmer!CE21="","",""&amp;Data_Farmer!CE21)</f>
        <v/>
      </c>
      <c r="F81" s="69" t="str">
        <f aca="false">IF(Data_Farmer!CE22="","",""&amp;Data_Farmer!CE22)</f>
        <v>115</v>
      </c>
      <c r="G81" s="69" t="str">
        <f aca="false">IF(Data_Farmer!CE23="","",""&amp;Data_Farmer!CE23)</f>
        <v>3</v>
      </c>
      <c r="H81" s="69" t="str">
        <f aca="false">IF(Data_Farmer!CE66="","",""&amp;Data_Farmer!CE66)</f>
        <v/>
      </c>
      <c r="I81" s="69" t="str">
        <f aca="false">IF(Data_Farmer!CE26="","",""&amp;Data_Farmer!CE26)</f>
        <v/>
      </c>
      <c r="J81" s="69" t="str">
        <f aca="false">IF(Data_Farmer!CE28="","",""&amp;Data_Farmer!CE28)</f>
        <v/>
      </c>
      <c r="K81" s="69" t="str">
        <f aca="false">IF(Data_Farmer!CE37="","",""&amp;Data_Farmer!CE37)</f>
        <v>401</v>
      </c>
      <c r="L81" s="69" t="str">
        <f aca="false">IF(Data_Farmer!CE38="","",""&amp;Data_Farmer!CE38)</f>
        <v>2</v>
      </c>
      <c r="M81" s="69" t="str">
        <f aca="false">IF(Data_Farmer!CE46="","",""&amp;Data_Farmer!CE46)</f>
        <v/>
      </c>
      <c r="N81" s="69" t="str">
        <f aca="false">IF(Data_Farmer!CE47="","",""&amp;Data_Farmer!CE47)</f>
        <v>104</v>
      </c>
      <c r="O81" s="69" t="str">
        <f aca="false">IF(Data_Farmer!CE48="","",""&amp;Data_Farmer!CE48)</f>
        <v>2</v>
      </c>
      <c r="P81" s="69" t="str">
        <f aca="false">IF(Data_Farmer!CE73="","",""&amp;Data_Farmer!CE73)</f>
        <v/>
      </c>
      <c r="Q81" s="69" t="str">
        <f aca="false">IF(Data_Farmer!CE51="","",""&amp;Data_Farmer!CE51)</f>
        <v/>
      </c>
      <c r="R81" s="69" t="str">
        <f aca="false">IF(Data_Farmer!CE53="","",""&amp;Data_Farmer!CE53)</f>
        <v/>
      </c>
    </row>
    <row r="82" customFormat="false" ht="15" hidden="false" customHeight="false" outlineLevel="0" collapsed="false">
      <c r="A82" s="69" t="str">
        <f aca="false">IF(Data_Farmer!CF85="","",""&amp;Data_Farmer!CF85)</f>
        <v>46066</v>
      </c>
      <c r="B82" s="69" t="str">
        <f aca="false">IF(Data_Farmer!CF8="","",""&amp;Data_Farmer!CF8)</f>
        <v/>
      </c>
      <c r="C82" s="69" t="str">
        <f aca="false">IF(Data_Farmer!CF12="","",""&amp;Data_Farmer!CF12)</f>
        <v>280.5</v>
      </c>
      <c r="D82" s="69" t="str">
        <f aca="false">IF(Data_Farmer!CF13="","",""&amp;Data_Farmer!CF13)</f>
        <v>1.5</v>
      </c>
      <c r="E82" s="69" t="str">
        <f aca="false">IF(Data_Farmer!CF21="","",""&amp;Data_Farmer!CF21)</f>
        <v/>
      </c>
      <c r="F82" s="69" t="str">
        <f aca="false">IF(Data_Farmer!CF22="","",""&amp;Data_Farmer!CF22)</f>
        <v>115</v>
      </c>
      <c r="G82" s="69" t="str">
        <f aca="false">IF(Data_Farmer!CF23="","",""&amp;Data_Farmer!CF23)</f>
        <v>5</v>
      </c>
      <c r="H82" s="69" t="str">
        <f aca="false">IF(Data_Farmer!CF66="","",""&amp;Data_Farmer!CF66)</f>
        <v/>
      </c>
      <c r="I82" s="69" t="str">
        <f aca="false">IF(Data_Farmer!CF26="","",""&amp;Data_Farmer!CF26)</f>
        <v/>
      </c>
      <c r="J82" s="69" t="str">
        <f aca="false">IF(Data_Farmer!CF28="","",""&amp;Data_Farmer!CF28)</f>
        <v/>
      </c>
      <c r="K82" s="69" t="str">
        <f aca="false">IF(Data_Farmer!CF37="","",""&amp;Data_Farmer!CF37)</f>
        <v>400.7</v>
      </c>
      <c r="L82" s="69" t="str">
        <f aca="false">IF(Data_Farmer!CF38="","",""&amp;Data_Farmer!CF38)</f>
        <v>1.7</v>
      </c>
      <c r="M82" s="69" t="str">
        <f aca="false">IF(Data_Farmer!CF46="","",""&amp;Data_Farmer!CF46)</f>
        <v/>
      </c>
      <c r="N82" s="69" t="str">
        <f aca="false">IF(Data_Farmer!CF47="","",""&amp;Data_Farmer!CF47)</f>
        <v>104</v>
      </c>
      <c r="O82" s="69" t="str">
        <f aca="false">IF(Data_Farmer!CF48="","",""&amp;Data_Farmer!CF48)</f>
        <v>3</v>
      </c>
      <c r="P82" s="69" t="str">
        <f aca="false">IF(Data_Farmer!CF73="","",""&amp;Data_Farmer!CF73)</f>
        <v/>
      </c>
      <c r="Q82" s="69" t="str">
        <f aca="false">IF(Data_Farmer!CF51="","",""&amp;Data_Farmer!CF51)</f>
        <v/>
      </c>
      <c r="R82" s="69" t="str">
        <f aca="false">IF(Data_Farmer!CF53="","",""&amp;Data_Farmer!CF53)</f>
        <v/>
      </c>
    </row>
    <row r="83" customFormat="false" ht="15" hidden="false" customHeight="false" outlineLevel="0" collapsed="false">
      <c r="A83" s="69" t="str">
        <f aca="false">IF(Data_Farmer!CG85="","",""&amp;Data_Farmer!CG85)</f>
        <v>46067</v>
      </c>
      <c r="B83" s="69" t="str">
        <f aca="false">IF(Data_Farmer!CG8="","",""&amp;Data_Farmer!CG8)</f>
        <v/>
      </c>
      <c r="C83" s="69" t="str">
        <f aca="false">IF(Data_Farmer!CG12="","",""&amp;Data_Farmer!CG12)</f>
        <v>280.3</v>
      </c>
      <c r="D83" s="69" t="str">
        <f aca="false">IF(Data_Farmer!CG13="","",""&amp;Data_Farmer!CG13)</f>
        <v>1.3</v>
      </c>
      <c r="E83" s="69" t="str">
        <f aca="false">IF(Data_Farmer!CG21="","",""&amp;Data_Farmer!CG21)</f>
        <v/>
      </c>
      <c r="F83" s="69" t="str">
        <f aca="false">IF(Data_Farmer!CG22="","",""&amp;Data_Farmer!CG22)</f>
        <v>115</v>
      </c>
      <c r="G83" s="69" t="str">
        <f aca="false">IF(Data_Farmer!CG23="","",""&amp;Data_Farmer!CG23)</f>
        <v>2</v>
      </c>
      <c r="H83" s="69" t="str">
        <f aca="false">IF(Data_Farmer!CG66="","",""&amp;Data_Farmer!CG66)</f>
        <v/>
      </c>
      <c r="I83" s="69" t="str">
        <f aca="false">IF(Data_Farmer!CG26="","",""&amp;Data_Farmer!CG26)</f>
        <v/>
      </c>
      <c r="J83" s="69" t="str">
        <f aca="false">IF(Data_Farmer!CG28="","",""&amp;Data_Farmer!CG28)</f>
        <v/>
      </c>
      <c r="K83" s="69" t="str">
        <f aca="false">IF(Data_Farmer!CG37="","",""&amp;Data_Farmer!CG37)</f>
        <v>400.5</v>
      </c>
      <c r="L83" s="69" t="str">
        <f aca="false">IF(Data_Farmer!CG38="","",""&amp;Data_Farmer!CG38)</f>
        <v>1.5</v>
      </c>
      <c r="M83" s="69" t="str">
        <f aca="false">IF(Data_Farmer!CG46="","",""&amp;Data_Farmer!CG46)</f>
        <v/>
      </c>
      <c r="N83" s="69" t="str">
        <f aca="false">IF(Data_Farmer!CG47="","",""&amp;Data_Farmer!CG47)</f>
        <v>104</v>
      </c>
      <c r="O83" s="69" t="str">
        <f aca="false">IF(Data_Farmer!CG48="","",""&amp;Data_Farmer!CG48)</f>
        <v>2</v>
      </c>
      <c r="P83" s="69" t="str">
        <f aca="false">IF(Data_Farmer!CG73="","",""&amp;Data_Farmer!CG73)</f>
        <v/>
      </c>
      <c r="Q83" s="69" t="str">
        <f aca="false">IF(Data_Farmer!CG51="","",""&amp;Data_Farmer!CG51)</f>
        <v/>
      </c>
      <c r="R83" s="69" t="str">
        <f aca="false">IF(Data_Farmer!CG53="","",""&amp;Data_Farmer!CG53)</f>
        <v/>
      </c>
    </row>
    <row r="84" customFormat="false" ht="15" hidden="false" customHeight="false" outlineLevel="0" collapsed="false">
      <c r="A84" s="69" t="str">
        <f aca="false">IF(Data_Farmer!CH85="","",""&amp;Data_Farmer!CH85)</f>
        <v>46068</v>
      </c>
      <c r="B84" s="69" t="str">
        <f aca="false">IF(Data_Farmer!CH8="","",""&amp;Data_Farmer!CH8)</f>
        <v/>
      </c>
      <c r="C84" s="69" t="str">
        <f aca="false">IF(Data_Farmer!CH12="","",""&amp;Data_Farmer!CH12)</f>
        <v>279.9</v>
      </c>
      <c r="D84" s="69" t="str">
        <f aca="false">IF(Data_Farmer!CH13="","",""&amp;Data_Farmer!CH13)</f>
        <v>0.9</v>
      </c>
      <c r="E84" s="69" t="str">
        <f aca="false">IF(Data_Farmer!CH21="","",""&amp;Data_Farmer!CH21)</f>
        <v>29</v>
      </c>
      <c r="F84" s="69" t="str">
        <f aca="false">IF(Data_Farmer!CH22="","",""&amp;Data_Farmer!CH22)</f>
        <v>144</v>
      </c>
      <c r="G84" s="69" t="str">
        <f aca="false">IF(Data_Farmer!CH23="","",""&amp;Data_Farmer!CH23)</f>
        <v>4</v>
      </c>
      <c r="H84" s="69" t="str">
        <f aca="false">IF(Data_Farmer!CH66="","",""&amp;Data_Farmer!CH66)</f>
        <v/>
      </c>
      <c r="I84" s="69" t="str">
        <f aca="false">IF(Data_Farmer!CH26="","",""&amp;Data_Farmer!CH26)</f>
        <v>20</v>
      </c>
      <c r="J84" s="69" t="str">
        <f aca="false">IF(Data_Farmer!CH28="","",""&amp;Data_Farmer!CH28)</f>
        <v/>
      </c>
      <c r="K84" s="69" t="str">
        <f aca="false">IF(Data_Farmer!CH37="","",""&amp;Data_Farmer!CH37)</f>
        <v>400</v>
      </c>
      <c r="L84" s="69" t="str">
        <f aca="false">IF(Data_Farmer!CH38="","",""&amp;Data_Farmer!CH38)</f>
        <v>1</v>
      </c>
      <c r="M84" s="69" t="str">
        <f aca="false">IF(Data_Farmer!CH46="","",""&amp;Data_Farmer!CH46)</f>
        <v>29</v>
      </c>
      <c r="N84" s="69" t="str">
        <f aca="false">IF(Data_Farmer!CH47="","",""&amp;Data_Farmer!CH47)</f>
        <v>133</v>
      </c>
      <c r="O84" s="69" t="str">
        <f aca="false">IF(Data_Farmer!CH48="","",""&amp;Data_Farmer!CH48)</f>
        <v>5</v>
      </c>
      <c r="P84" s="69" t="str">
        <f aca="false">IF(Data_Farmer!CH73="","",""&amp;Data_Farmer!CH73)</f>
        <v/>
      </c>
      <c r="Q84" s="69" t="str">
        <f aca="false">IF(Data_Farmer!CH51="","",""&amp;Data_Farmer!CH51)</f>
        <v>20</v>
      </c>
      <c r="R84" s="69" t="str">
        <f aca="false">IF(Data_Farmer!CH53="","",""&amp;Data_Farmer!CH53)</f>
        <v/>
      </c>
    </row>
    <row r="85" customFormat="false" ht="15" hidden="false" customHeight="false" outlineLevel="0" collapsed="false">
      <c r="A85" s="69" t="str">
        <f aca="false">IF(Data_Farmer!CI85="","",""&amp;Data_Farmer!CI85)</f>
        <v>46069</v>
      </c>
      <c r="B85" s="69" t="str">
        <f aca="false">IF(Data_Farmer!CI8="","",""&amp;Data_Farmer!CI8)</f>
        <v/>
      </c>
      <c r="C85" s="69" t="str">
        <f aca="false">IF(Data_Farmer!CI12="","",""&amp;Data_Farmer!CI12)</f>
        <v>282.8</v>
      </c>
      <c r="D85" s="69" t="str">
        <f aca="false">IF(Data_Farmer!CI13="","",""&amp;Data_Farmer!CI13)</f>
        <v>3.8</v>
      </c>
      <c r="E85" s="69" t="str">
        <f aca="false">IF(Data_Farmer!CI21="","",""&amp;Data_Farmer!CI21)</f>
        <v/>
      </c>
      <c r="F85" s="69" t="str">
        <f aca="false">IF(Data_Farmer!CI22="","",""&amp;Data_Farmer!CI22)</f>
        <v>144</v>
      </c>
      <c r="G85" s="69" t="str">
        <f aca="false">IF(Data_Farmer!CI23="","",""&amp;Data_Farmer!CI23)</f>
        <v>0</v>
      </c>
      <c r="H85" s="69" t="str">
        <f aca="false">IF(Data_Farmer!CI66="","",""&amp;Data_Farmer!CI66)</f>
        <v/>
      </c>
      <c r="I85" s="69" t="str">
        <f aca="false">IF(Data_Farmer!CI26="","",""&amp;Data_Farmer!CI26)</f>
        <v/>
      </c>
      <c r="J85" s="69" t="str">
        <f aca="false">IF(Data_Farmer!CI28="","",""&amp;Data_Farmer!CI28)</f>
        <v/>
      </c>
      <c r="K85" s="69" t="str">
        <f aca="false">IF(Data_Farmer!CI37="","",""&amp;Data_Farmer!CI37)</f>
        <v>402.8</v>
      </c>
      <c r="L85" s="69" t="str">
        <f aca="false">IF(Data_Farmer!CI38="","",""&amp;Data_Farmer!CI38)</f>
        <v>3.8</v>
      </c>
      <c r="M85" s="69" t="str">
        <f aca="false">IF(Data_Farmer!CI46="","",""&amp;Data_Farmer!CI46)</f>
        <v/>
      </c>
      <c r="N85" s="69" t="str">
        <f aca="false">IF(Data_Farmer!CI47="","",""&amp;Data_Farmer!CI47)</f>
        <v>133</v>
      </c>
      <c r="O85" s="69" t="str">
        <f aca="false">IF(Data_Farmer!CI48="","",""&amp;Data_Farmer!CI48)</f>
        <v>1</v>
      </c>
      <c r="P85" s="69" t="str">
        <f aca="false">IF(Data_Farmer!CI73="","",""&amp;Data_Farmer!CI73)</f>
        <v/>
      </c>
      <c r="Q85" s="69" t="str">
        <f aca="false">IF(Data_Farmer!CI51="","",""&amp;Data_Farmer!CI51)</f>
        <v/>
      </c>
      <c r="R85" s="69" t="str">
        <f aca="false">IF(Data_Farmer!CI53="","",""&amp;Data_Farmer!CI53)</f>
        <v/>
      </c>
    </row>
    <row r="86" customFormat="false" ht="15" hidden="false" customHeight="false" outlineLevel="0" collapsed="false">
      <c r="A86" s="69" t="str">
        <f aca="false">IF(Data_Farmer!CJ85="","",""&amp;Data_Farmer!CJ85)</f>
        <v>46070</v>
      </c>
      <c r="B86" s="69" t="str">
        <f aca="false">IF(Data_Farmer!CJ8="","",""&amp;Data_Farmer!CJ8)</f>
        <v/>
      </c>
      <c r="C86" s="69" t="str">
        <f aca="false">IF(Data_Farmer!CJ12="","",""&amp;Data_Farmer!CJ12)</f>
        <v>282.3</v>
      </c>
      <c r="D86" s="69" t="str">
        <f aca="false">IF(Data_Farmer!CJ13="","",""&amp;Data_Farmer!CJ13)</f>
        <v>3.3</v>
      </c>
      <c r="E86" s="69" t="str">
        <f aca="false">IF(Data_Farmer!CJ21="","",""&amp;Data_Farmer!CJ21)</f>
        <v/>
      </c>
      <c r="F86" s="69" t="str">
        <f aca="false">IF(Data_Farmer!CJ22="","",""&amp;Data_Farmer!CJ22)</f>
        <v>144</v>
      </c>
      <c r="G86" s="69" t="str">
        <f aca="false">IF(Data_Farmer!CJ23="","",""&amp;Data_Farmer!CJ23)</f>
        <v>5</v>
      </c>
      <c r="H86" s="69" t="str">
        <f aca="false">IF(Data_Farmer!CJ66="","",""&amp;Data_Farmer!CJ66)</f>
        <v/>
      </c>
      <c r="I86" s="69" t="str">
        <f aca="false">IF(Data_Farmer!CJ26="","",""&amp;Data_Farmer!CJ26)</f>
        <v/>
      </c>
      <c r="J86" s="69" t="str">
        <f aca="false">IF(Data_Farmer!CJ28="","",""&amp;Data_Farmer!CJ28)</f>
        <v/>
      </c>
      <c r="K86" s="69" t="str">
        <f aca="false">IF(Data_Farmer!CJ37="","",""&amp;Data_Farmer!CJ37)</f>
        <v>402.2</v>
      </c>
      <c r="L86" s="69" t="str">
        <f aca="false">IF(Data_Farmer!CJ38="","",""&amp;Data_Farmer!CJ38)</f>
        <v>3.2</v>
      </c>
      <c r="M86" s="69" t="str">
        <f aca="false">IF(Data_Farmer!CJ46="","",""&amp;Data_Farmer!CJ46)</f>
        <v/>
      </c>
      <c r="N86" s="69" t="str">
        <f aca="false">IF(Data_Farmer!CJ47="","",""&amp;Data_Farmer!CJ47)</f>
        <v>133</v>
      </c>
      <c r="O86" s="69" t="str">
        <f aca="false">IF(Data_Farmer!CJ48="","",""&amp;Data_Farmer!CJ48)</f>
        <v>6</v>
      </c>
      <c r="P86" s="69" t="str">
        <f aca="false">IF(Data_Farmer!CJ73="","",""&amp;Data_Farmer!CJ73)</f>
        <v/>
      </c>
      <c r="Q86" s="69" t="str">
        <f aca="false">IF(Data_Farmer!CJ51="","",""&amp;Data_Farmer!CJ51)</f>
        <v/>
      </c>
      <c r="R86" s="69" t="str">
        <f aca="false">IF(Data_Farmer!CJ53="","",""&amp;Data_Farmer!CJ53)</f>
        <v/>
      </c>
    </row>
    <row r="87" customFormat="false" ht="15" hidden="false" customHeight="false" outlineLevel="0" collapsed="false">
      <c r="A87" s="69" t="str">
        <f aca="false">IF(Data_Farmer!CK85="","",""&amp;Data_Farmer!CK85)</f>
        <v>46071</v>
      </c>
      <c r="B87" s="69" t="str">
        <f aca="false">IF(Data_Farmer!CK8="","",""&amp;Data_Farmer!CK8)</f>
        <v/>
      </c>
      <c r="C87" s="69" t="str">
        <f aca="false">IF(Data_Farmer!CK12="","",""&amp;Data_Farmer!CK12)</f>
        <v>281.5</v>
      </c>
      <c r="D87" s="69" t="str">
        <f aca="false">IF(Data_Farmer!CK13="","",""&amp;Data_Farmer!CK13)</f>
        <v>1.5</v>
      </c>
      <c r="E87" s="69" t="str">
        <f aca="false">IF(Data_Farmer!CK21="","",""&amp;Data_Farmer!CK21)</f>
        <v/>
      </c>
      <c r="F87" s="69" t="str">
        <f aca="false">IF(Data_Farmer!CK22="","",""&amp;Data_Farmer!CK22)</f>
        <v>144</v>
      </c>
      <c r="G87" s="69" t="str">
        <f aca="false">IF(Data_Farmer!CK23="","",""&amp;Data_Farmer!CK23)</f>
        <v>18</v>
      </c>
      <c r="H87" s="69" t="str">
        <f aca="false">IF(Data_Farmer!CK66="","",""&amp;Data_Farmer!CK66)</f>
        <v/>
      </c>
      <c r="I87" s="69" t="str">
        <f aca="false">IF(Data_Farmer!CK26="","",""&amp;Data_Farmer!CK26)</f>
        <v/>
      </c>
      <c r="J87" s="69" t="str">
        <f aca="false">IF(Data_Farmer!CK28="","",""&amp;Data_Farmer!CK28)</f>
        <v/>
      </c>
      <c r="K87" s="69" t="str">
        <f aca="false">IF(Data_Farmer!CK37="","",""&amp;Data_Farmer!CK37)</f>
        <v>401.5</v>
      </c>
      <c r="L87" s="69" t="str">
        <f aca="false">IF(Data_Farmer!CK38="","",""&amp;Data_Farmer!CK38)</f>
        <v>1.5</v>
      </c>
      <c r="M87" s="69" t="str">
        <f aca="false">IF(Data_Farmer!CK46="","",""&amp;Data_Farmer!CK46)</f>
        <v/>
      </c>
      <c r="N87" s="69" t="str">
        <f aca="false">IF(Data_Farmer!CK47="","",""&amp;Data_Farmer!CK47)</f>
        <v>133</v>
      </c>
      <c r="O87" s="69" t="str">
        <f aca="false">IF(Data_Farmer!CK48="","",""&amp;Data_Farmer!CK48)</f>
        <v>17</v>
      </c>
      <c r="P87" s="69" t="str">
        <f aca="false">IF(Data_Farmer!CK73="","",""&amp;Data_Farmer!CK73)</f>
        <v/>
      </c>
      <c r="Q87" s="69" t="str">
        <f aca="false">IF(Data_Farmer!CK51="","",""&amp;Data_Farmer!CK51)</f>
        <v/>
      </c>
      <c r="R87" s="69" t="str">
        <f aca="false">IF(Data_Farmer!CK53="","",""&amp;Data_Farmer!CK53)</f>
        <v/>
      </c>
    </row>
    <row r="88" customFormat="false" ht="15" hidden="false" customHeight="false" outlineLevel="0" collapsed="false">
      <c r="A88" s="69" t="str">
        <f aca="false">IF(Data_Farmer!CL85="","",""&amp;Data_Farmer!CL85)</f>
        <v>46072</v>
      </c>
      <c r="B88" s="69" t="str">
        <f aca="false">IF(Data_Farmer!CL8="","",""&amp;Data_Farmer!CL8)</f>
        <v/>
      </c>
      <c r="C88" s="69" t="str">
        <f aca="false">IF(Data_Farmer!CL12="","",""&amp;Data_Farmer!CL12)</f>
        <v>280</v>
      </c>
      <c r="D88" s="69" t="str">
        <f aca="false">IF(Data_Farmer!CL13="","",""&amp;Data_Farmer!CL13)</f>
        <v>0</v>
      </c>
      <c r="E88" s="69" t="str">
        <f aca="false">IF(Data_Farmer!CL21="","",""&amp;Data_Farmer!CL21)</f>
        <v/>
      </c>
      <c r="F88" s="69" t="str">
        <f aca="false">IF(Data_Farmer!CL22="","",""&amp;Data_Farmer!CL22)</f>
        <v>144</v>
      </c>
      <c r="G88" s="69" t="str">
        <f aca="false">IF(Data_Farmer!CL23="","",""&amp;Data_Farmer!CL23)</f>
        <v>15</v>
      </c>
      <c r="H88" s="69" t="str">
        <f aca="false">IF(Data_Farmer!CL66="","",""&amp;Data_Farmer!CL66)</f>
        <v/>
      </c>
      <c r="I88" s="69" t="str">
        <f aca="false">IF(Data_Farmer!CL26="","",""&amp;Data_Farmer!CL26)</f>
        <v/>
      </c>
      <c r="J88" s="69" t="str">
        <f aca="false">IF(Data_Farmer!CL28="","",""&amp;Data_Farmer!CL28)</f>
        <v/>
      </c>
      <c r="K88" s="69" t="str">
        <f aca="false">IF(Data_Farmer!CL37="","",""&amp;Data_Farmer!CL37)</f>
        <v>400</v>
      </c>
      <c r="L88" s="69" t="str">
        <f aca="false">IF(Data_Farmer!CL38="","",""&amp;Data_Farmer!CL38)</f>
        <v>0</v>
      </c>
      <c r="M88" s="69" t="str">
        <f aca="false">IF(Data_Farmer!CL46="","",""&amp;Data_Farmer!CL46)</f>
        <v/>
      </c>
      <c r="N88" s="69" t="str">
        <f aca="false">IF(Data_Farmer!CL47="","",""&amp;Data_Farmer!CL47)</f>
        <v>133</v>
      </c>
      <c r="O88" s="69" t="str">
        <f aca="false">IF(Data_Farmer!CL48="","",""&amp;Data_Farmer!CL48)</f>
        <v>15</v>
      </c>
      <c r="P88" s="69" t="str">
        <f aca="false">IF(Data_Farmer!CL73="","",""&amp;Data_Farmer!CL73)</f>
        <v/>
      </c>
      <c r="Q88" s="69" t="str">
        <f aca="false">IF(Data_Farmer!CL51="","",""&amp;Data_Farmer!CL51)</f>
        <v/>
      </c>
      <c r="R88" s="69" t="str">
        <f aca="false">IF(Data_Farmer!CL53="","",""&amp;Data_Farmer!CL53)</f>
        <v/>
      </c>
    </row>
    <row r="89" customFormat="false" ht="15" hidden="false" customHeight="false" outlineLevel="0" collapsed="false">
      <c r="A89" s="69" t="str">
        <f aca="false">IF(Data_Farmer!CM85="","",""&amp;Data_Farmer!CM85)</f>
        <v>46073</v>
      </c>
      <c r="B89" s="69" t="str">
        <f aca="false">IF(Data_Farmer!CM8="","",""&amp;Data_Farmer!CM8)</f>
        <v>3.2</v>
      </c>
      <c r="C89" s="69" t="str">
        <f aca="false">IF(Data_Farmer!CM12="","",""&amp;Data_Farmer!CM12)</f>
        <v>279.7</v>
      </c>
      <c r="D89" s="69" t="str">
        <f aca="false">IF(Data_Farmer!CM13="","",""&amp;Data_Farmer!CM13)</f>
        <v>-0.3</v>
      </c>
      <c r="E89" s="69" t="str">
        <f aca="false">IF(Data_Farmer!CM21="","",""&amp;Data_Farmer!CM21)</f>
        <v/>
      </c>
      <c r="F89" s="69" t="str">
        <f aca="false">IF(Data_Farmer!CM22="","",""&amp;Data_Farmer!CM22)</f>
        <v>144</v>
      </c>
      <c r="G89" s="69" t="str">
        <f aca="false">IF(Data_Farmer!CM23="","",""&amp;Data_Farmer!CM23)</f>
        <v>3</v>
      </c>
      <c r="H89" s="69" t="str">
        <f aca="false">IF(Data_Farmer!CM66="","",""&amp;Data_Farmer!CM66)</f>
        <v/>
      </c>
      <c r="I89" s="69" t="str">
        <f aca="false">IF(Data_Farmer!CM26="","",""&amp;Data_Farmer!CM26)</f>
        <v/>
      </c>
      <c r="J89" s="69" t="str">
        <f aca="false">IF(Data_Farmer!CM28="","",""&amp;Data_Farmer!CM28)</f>
        <v/>
      </c>
      <c r="K89" s="69" t="str">
        <f aca="false">IF(Data_Farmer!CM37="","",""&amp;Data_Farmer!CM37)</f>
        <v>399.7</v>
      </c>
      <c r="L89" s="69" t="str">
        <f aca="false">IF(Data_Farmer!CM38="","",""&amp;Data_Farmer!CM38)</f>
        <v>-0.3</v>
      </c>
      <c r="M89" s="69" t="str">
        <f aca="false">IF(Data_Farmer!CM46="","",""&amp;Data_Farmer!CM46)</f>
        <v/>
      </c>
      <c r="N89" s="69" t="str">
        <f aca="false">IF(Data_Farmer!CM47="","",""&amp;Data_Farmer!CM47)</f>
        <v>133</v>
      </c>
      <c r="O89" s="69" t="str">
        <f aca="false">IF(Data_Farmer!CM48="","",""&amp;Data_Farmer!CM48)</f>
        <v>3</v>
      </c>
      <c r="P89" s="69" t="str">
        <f aca="false">IF(Data_Farmer!CM73="","",""&amp;Data_Farmer!CM73)</f>
        <v/>
      </c>
      <c r="Q89" s="69" t="str">
        <f aca="false">IF(Data_Farmer!CM51="","",""&amp;Data_Farmer!CM51)</f>
        <v/>
      </c>
      <c r="R89" s="69" t="str">
        <f aca="false">IF(Data_Farmer!CM53="","",""&amp;Data_Farmer!CM53)</f>
        <v/>
      </c>
    </row>
    <row r="90" customFormat="false" ht="15" hidden="false" customHeight="false" outlineLevel="0" collapsed="false">
      <c r="A90" s="69" t="str">
        <f aca="false">IF(Data_Farmer!CN85="","",""&amp;Data_Farmer!CN85)</f>
        <v>46074</v>
      </c>
      <c r="B90" s="69" t="str">
        <f aca="false">IF(Data_Farmer!CN8="","",""&amp;Data_Farmer!CN8)</f>
        <v/>
      </c>
      <c r="C90" s="69" t="str">
        <f aca="false">IF(Data_Farmer!CN12="","",""&amp;Data_Farmer!CN12)</f>
        <v>279</v>
      </c>
      <c r="D90" s="69" t="str">
        <f aca="false">IF(Data_Farmer!CN13="","",""&amp;Data_Farmer!CN13)</f>
        <v>-1</v>
      </c>
      <c r="E90" s="69" t="str">
        <f aca="false">IF(Data_Farmer!CN21="","",""&amp;Data_Farmer!CN21)</f>
        <v/>
      </c>
      <c r="F90" s="69" t="str">
        <f aca="false">IF(Data_Farmer!CN22="","",""&amp;Data_Farmer!CN22)</f>
        <v>144</v>
      </c>
      <c r="G90" s="69" t="str">
        <f aca="false">IF(Data_Farmer!CN23="","",""&amp;Data_Farmer!CN23)</f>
        <v>7</v>
      </c>
      <c r="H90" s="69" t="str">
        <f aca="false">IF(Data_Farmer!CN66="","",""&amp;Data_Farmer!CN66)</f>
        <v>14</v>
      </c>
      <c r="I90" s="69" t="str">
        <f aca="false">IF(Data_Farmer!CN26="","",""&amp;Data_Farmer!CN26)</f>
        <v/>
      </c>
      <c r="J90" s="69" t="str">
        <f aca="false">IF(Data_Farmer!CN28="","",""&amp;Data_Farmer!CN28)</f>
        <v/>
      </c>
      <c r="K90" s="69" t="str">
        <f aca="false">IF(Data_Farmer!CN37="","",""&amp;Data_Farmer!CN37)</f>
        <v>399</v>
      </c>
      <c r="L90" s="69" t="str">
        <f aca="false">IF(Data_Farmer!CN38="","",""&amp;Data_Farmer!CN38)</f>
        <v>-1</v>
      </c>
      <c r="M90" s="69" t="str">
        <f aca="false">IF(Data_Farmer!CN46="","",""&amp;Data_Farmer!CN46)</f>
        <v/>
      </c>
      <c r="N90" s="69" t="str">
        <f aca="false">IF(Data_Farmer!CN47="","",""&amp;Data_Farmer!CN47)</f>
        <v>133</v>
      </c>
      <c r="O90" s="69" t="str">
        <f aca="false">IF(Data_Farmer!CN48="","",""&amp;Data_Farmer!CN48)</f>
        <v>7</v>
      </c>
      <c r="P90" s="69" t="str">
        <f aca="false">IF(Data_Farmer!CN73="","",""&amp;Data_Farmer!CN73)</f>
        <v>13.7</v>
      </c>
      <c r="Q90" s="69" t="str">
        <f aca="false">IF(Data_Farmer!CN51="","",""&amp;Data_Farmer!CN51)</f>
        <v/>
      </c>
      <c r="R90" s="69" t="str">
        <f aca="false">IF(Data_Farmer!CN53="","",""&amp;Data_Farmer!CN53)</f>
        <v/>
      </c>
    </row>
    <row r="91" customFormat="false" ht="15" hidden="false" customHeight="false" outlineLevel="0" collapsed="false">
      <c r="A91" s="69" t="str">
        <f aca="false">IF(Data_Farmer!CO85="","",""&amp;Data_Farmer!CO85)</f>
        <v>46075</v>
      </c>
      <c r="B91" s="69" t="str">
        <f aca="false">IF(Data_Farmer!CO8="","",""&amp;Data_Farmer!CO8)</f>
        <v/>
      </c>
      <c r="C91" s="69" t="str">
        <f aca="false">IF(Data_Farmer!CO12="","",""&amp;Data_Farmer!CO12)</f>
        <v>277</v>
      </c>
      <c r="D91" s="69" t="str">
        <f aca="false">IF(Data_Farmer!CO13="","",""&amp;Data_Farmer!CO13)</f>
        <v>-3</v>
      </c>
      <c r="E91" s="69" t="str">
        <f aca="false">IF(Data_Farmer!CO21="","",""&amp;Data_Farmer!CO21)</f>
        <v/>
      </c>
      <c r="F91" s="69" t="str">
        <f aca="false">IF(Data_Farmer!CO22="","",""&amp;Data_Farmer!CO22)</f>
        <v>144</v>
      </c>
      <c r="G91" s="69" t="str">
        <f aca="false">IF(Data_Farmer!CO23="","",""&amp;Data_Farmer!CO23)</f>
        <v>20</v>
      </c>
      <c r="H91" s="69" t="str">
        <f aca="false">IF(Data_Farmer!CO66="","",""&amp;Data_Farmer!CO66)</f>
        <v/>
      </c>
      <c r="I91" s="69" t="str">
        <f aca="false">IF(Data_Farmer!CO26="","",""&amp;Data_Farmer!CO26)</f>
        <v/>
      </c>
      <c r="J91" s="69" t="str">
        <f aca="false">IF(Data_Farmer!CO28="","",""&amp;Data_Farmer!CO28)</f>
        <v/>
      </c>
      <c r="K91" s="69" t="str">
        <f aca="false">IF(Data_Farmer!CO37="","",""&amp;Data_Farmer!CO37)</f>
        <v>395</v>
      </c>
      <c r="L91" s="69" t="str">
        <f aca="false">IF(Data_Farmer!CO38="","",""&amp;Data_Farmer!CO38)</f>
        <v>-5</v>
      </c>
      <c r="M91" s="69" t="str">
        <f aca="false">IF(Data_Farmer!CO46="","",""&amp;Data_Farmer!CO46)</f>
        <v/>
      </c>
      <c r="N91" s="69" t="str">
        <f aca="false">IF(Data_Farmer!CO47="","",""&amp;Data_Farmer!CO47)</f>
        <v>133</v>
      </c>
      <c r="O91" s="69" t="str">
        <f aca="false">IF(Data_Farmer!CO48="","",""&amp;Data_Farmer!CO48)</f>
        <v>40</v>
      </c>
      <c r="P91" s="69" t="str">
        <f aca="false">IF(Data_Farmer!CO73="","",""&amp;Data_Farmer!CO73)</f>
        <v/>
      </c>
      <c r="Q91" s="69" t="str">
        <f aca="false">IF(Data_Farmer!CO51="","",""&amp;Data_Farmer!CO51)</f>
        <v/>
      </c>
      <c r="R91" s="69" t="str">
        <f aca="false">IF(Data_Farmer!CO53="","",""&amp;Data_Farmer!CO53)</f>
        <v/>
      </c>
    </row>
    <row r="92" customFormat="false" ht="15" hidden="false" customHeight="false" outlineLevel="0" collapsed="false">
      <c r="A92" s="69" t="str">
        <f aca="false">IF(Data_Farmer!CP85="","",""&amp;Data_Farmer!CP85)</f>
        <v>46076</v>
      </c>
      <c r="B92" s="69" t="str">
        <f aca="false">IF(Data_Farmer!CP8="","",""&amp;Data_Farmer!CP8)</f>
        <v/>
      </c>
      <c r="C92" s="69" t="str">
        <f aca="false">IF(Data_Farmer!CP12="","",""&amp;Data_Farmer!CP12)</f>
        <v>275</v>
      </c>
      <c r="D92" s="69" t="str">
        <f aca="false">IF(Data_Farmer!CP13="","",""&amp;Data_Farmer!CP13)</f>
        <v>-5</v>
      </c>
      <c r="E92" s="69" t="str">
        <f aca="false">IF(Data_Farmer!CP21="","",""&amp;Data_Farmer!CP21)</f>
        <v/>
      </c>
      <c r="F92" s="69" t="str">
        <f aca="false">IF(Data_Farmer!CP22="","",""&amp;Data_Farmer!CP22)</f>
        <v>144</v>
      </c>
      <c r="G92" s="69" t="str">
        <f aca="false">IF(Data_Farmer!CP23="","",""&amp;Data_Farmer!CP23)</f>
        <v>20</v>
      </c>
      <c r="H92" s="69" t="str">
        <f aca="false">IF(Data_Farmer!CP66="","",""&amp;Data_Farmer!CP66)</f>
        <v/>
      </c>
      <c r="I92" s="69" t="str">
        <f aca="false">IF(Data_Farmer!CP26="","",""&amp;Data_Farmer!CP26)</f>
        <v/>
      </c>
      <c r="J92" s="69" t="str">
        <f aca="false">IF(Data_Farmer!CP28="","",""&amp;Data_Farmer!CP28)</f>
        <v/>
      </c>
      <c r="K92" s="69" t="str">
        <f aca="false">IF(Data_Farmer!CP37="","",""&amp;Data_Farmer!CP37)</f>
        <v>392</v>
      </c>
      <c r="L92" s="69" t="str">
        <f aca="false">IF(Data_Farmer!CP38="","",""&amp;Data_Farmer!CP38)</f>
        <v>-8</v>
      </c>
      <c r="M92" s="69" t="str">
        <f aca="false">IF(Data_Farmer!CP46="","",""&amp;Data_Farmer!CP46)</f>
        <v/>
      </c>
      <c r="N92" s="69" t="str">
        <f aca="false">IF(Data_Farmer!CP47="","",""&amp;Data_Farmer!CP47)</f>
        <v>133</v>
      </c>
      <c r="O92" s="69" t="str">
        <f aca="false">IF(Data_Farmer!CP48="","",""&amp;Data_Farmer!CP48)</f>
        <v>30</v>
      </c>
      <c r="P92" s="69" t="str">
        <f aca="false">IF(Data_Farmer!CP73="","",""&amp;Data_Farmer!CP73)</f>
        <v/>
      </c>
      <c r="Q92" s="69" t="str">
        <f aca="false">IF(Data_Farmer!CP51="","",""&amp;Data_Farmer!CP51)</f>
        <v/>
      </c>
      <c r="R92" s="69" t="str">
        <f aca="false">IF(Data_Farmer!CP53="","",""&amp;Data_Farmer!CP53)</f>
        <v/>
      </c>
    </row>
    <row r="93" customFormat="false" ht="15" hidden="false" customHeight="false" outlineLevel="0" collapsed="false">
      <c r="A93" s="69" t="str">
        <f aca="false">IF(Data_Farmer!CQ85="","",""&amp;Data_Farmer!CQ85)</f>
        <v>46077</v>
      </c>
      <c r="B93" s="69" t="str">
        <f aca="false">IF(Data_Farmer!CQ8="","",""&amp;Data_Farmer!CQ8)</f>
        <v/>
      </c>
      <c r="C93" s="69" t="str">
        <f aca="false">IF(Data_Farmer!CQ12="","",""&amp;Data_Farmer!CQ12)</f>
        <v>272</v>
      </c>
      <c r="D93" s="69" t="str">
        <f aca="false">IF(Data_Farmer!CQ13="","",""&amp;Data_Farmer!CQ13)</f>
        <v>-8</v>
      </c>
      <c r="E93" s="69" t="str">
        <f aca="false">IF(Data_Farmer!CQ21="","",""&amp;Data_Farmer!CQ21)</f>
        <v/>
      </c>
      <c r="F93" s="69" t="str">
        <f aca="false">IF(Data_Farmer!CQ22="","",""&amp;Data_Farmer!CQ22)</f>
        <v>144</v>
      </c>
      <c r="G93" s="69" t="str">
        <f aca="false">IF(Data_Farmer!CQ23="","",""&amp;Data_Farmer!CQ23)</f>
        <v>30</v>
      </c>
      <c r="H93" s="69" t="str">
        <f aca="false">IF(Data_Farmer!CQ66="","",""&amp;Data_Farmer!CQ66)</f>
        <v/>
      </c>
      <c r="I93" s="69" t="str">
        <f aca="false">IF(Data_Farmer!CQ26="","",""&amp;Data_Farmer!CQ26)</f>
        <v/>
      </c>
      <c r="J93" s="69" t="str">
        <f aca="false">IF(Data_Farmer!CQ28="","",""&amp;Data_Farmer!CQ28)</f>
        <v/>
      </c>
      <c r="K93" s="69" t="str">
        <f aca="false">IF(Data_Farmer!CQ37="","",""&amp;Data_Farmer!CQ37)</f>
        <v>385</v>
      </c>
      <c r="L93" s="69" t="str">
        <f aca="false">IF(Data_Farmer!CQ38="","",""&amp;Data_Farmer!CQ38)</f>
        <v>-15</v>
      </c>
      <c r="M93" s="69" t="str">
        <f aca="false">IF(Data_Farmer!CQ46="","",""&amp;Data_Farmer!CQ46)</f>
        <v/>
      </c>
      <c r="N93" s="69" t="str">
        <f aca="false">IF(Data_Farmer!CQ47="","",""&amp;Data_Farmer!CQ47)</f>
        <v>133</v>
      </c>
      <c r="O93" s="69" t="str">
        <f aca="false">IF(Data_Farmer!CQ48="","",""&amp;Data_Farmer!CQ48)</f>
        <v>70</v>
      </c>
      <c r="P93" s="69" t="str">
        <f aca="false">IF(Data_Farmer!CQ73="","",""&amp;Data_Farmer!CQ73)</f>
        <v/>
      </c>
      <c r="Q93" s="69" t="str">
        <f aca="false">IF(Data_Farmer!CQ51="","",""&amp;Data_Farmer!CQ51)</f>
        <v/>
      </c>
      <c r="R93" s="69" t="str">
        <f aca="false">IF(Data_Farmer!CQ53="","",""&amp;Data_Farmer!CQ53)</f>
        <v/>
      </c>
    </row>
    <row r="94" customFormat="false" ht="15" hidden="false" customHeight="false" outlineLevel="0" collapsed="false">
      <c r="A94" s="69" t="str">
        <f aca="false">IF(Data_Farmer!CR85="","",""&amp;Data_Farmer!CR85)</f>
        <v>46078</v>
      </c>
      <c r="B94" s="69" t="str">
        <f aca="false">IF(Data_Farmer!CR8="","",""&amp;Data_Farmer!CR8)</f>
        <v/>
      </c>
      <c r="C94" s="69" t="str">
        <f aca="false">IF(Data_Farmer!CR12="","",""&amp;Data_Farmer!CR12)</f>
        <v>265</v>
      </c>
      <c r="D94" s="69" t="str">
        <f aca="false">IF(Data_Farmer!CR13="","",""&amp;Data_Farmer!CR13)</f>
        <v>-15</v>
      </c>
      <c r="E94" s="69" t="str">
        <f aca="false">IF(Data_Farmer!CR21="","",""&amp;Data_Farmer!CR21)</f>
        <v/>
      </c>
      <c r="F94" s="69" t="str">
        <f aca="false">IF(Data_Farmer!CR22="","",""&amp;Data_Farmer!CR22)</f>
        <v>144</v>
      </c>
      <c r="G94" s="69" t="str">
        <f aca="false">IF(Data_Farmer!CR23="","",""&amp;Data_Farmer!CR23)</f>
        <v>70</v>
      </c>
      <c r="H94" s="69" t="str">
        <f aca="false">IF(Data_Farmer!CR66="","",""&amp;Data_Farmer!CR66)</f>
        <v/>
      </c>
      <c r="I94" s="69" t="str">
        <f aca="false">IF(Data_Farmer!CR26="","",""&amp;Data_Farmer!CR26)</f>
        <v/>
      </c>
      <c r="J94" s="69" t="str">
        <f aca="false">IF(Data_Farmer!CR28="","",""&amp;Data_Farmer!CR28)</f>
        <v/>
      </c>
      <c r="K94" s="69" t="str">
        <f aca="false">IF(Data_Farmer!CR37="","",""&amp;Data_Farmer!CR37)</f>
        <v>385</v>
      </c>
      <c r="L94" s="69" t="str">
        <f aca="false">IF(Data_Farmer!CR38="","",""&amp;Data_Farmer!CR38)</f>
        <v>-15</v>
      </c>
      <c r="M94" s="69" t="str">
        <f aca="false">IF(Data_Farmer!CR46="","",""&amp;Data_Farmer!CR46)</f>
        <v/>
      </c>
      <c r="N94" s="69" t="str">
        <f aca="false">IF(Data_Farmer!CR47="","",""&amp;Data_Farmer!CR47)</f>
        <v>133</v>
      </c>
      <c r="O94" s="69" t="str">
        <f aca="false">IF(Data_Farmer!CR48="","",""&amp;Data_Farmer!CR48)</f>
        <v>0</v>
      </c>
      <c r="P94" s="69" t="str">
        <f aca="false">IF(Data_Farmer!CR73="","",""&amp;Data_Farmer!CR73)</f>
        <v/>
      </c>
      <c r="Q94" s="69" t="str">
        <f aca="false">IF(Data_Farmer!CR51="","",""&amp;Data_Farmer!CR51)</f>
        <v/>
      </c>
      <c r="R94" s="69" t="str">
        <f aca="false">IF(Data_Farmer!CR53="","",""&amp;Data_Farmer!CR53)</f>
        <v/>
      </c>
    </row>
    <row r="95" customFormat="false" ht="15" hidden="false" customHeight="false" outlineLevel="0" collapsed="false">
      <c r="A95" s="69" t="str">
        <f aca="false">IF(Data_Farmer!CS85="","",""&amp;Data_Farmer!CS85)</f>
        <v>46079</v>
      </c>
      <c r="B95" s="69" t="str">
        <f aca="false">IF(Data_Farmer!CS8="","",""&amp;Data_Farmer!CS8)</f>
        <v/>
      </c>
      <c r="C95" s="69" t="str">
        <f aca="false">IF(Data_Farmer!CS12="","",""&amp;Data_Farmer!CS12)</f>
        <v>265</v>
      </c>
      <c r="D95" s="69" t="str">
        <f aca="false">IF(Data_Farmer!CS13="","",""&amp;Data_Farmer!CS13)</f>
        <v>-15</v>
      </c>
      <c r="E95" s="69" t="str">
        <f aca="false">IF(Data_Farmer!CS21="","",""&amp;Data_Farmer!CS21)</f>
        <v/>
      </c>
      <c r="F95" s="69" t="str">
        <f aca="false">IF(Data_Farmer!CS22="","",""&amp;Data_Farmer!CS22)</f>
        <v>144</v>
      </c>
      <c r="G95" s="69" t="str">
        <f aca="false">IF(Data_Farmer!CS23="","",""&amp;Data_Farmer!CS23)</f>
        <v>0</v>
      </c>
      <c r="H95" s="69" t="str">
        <f aca="false">IF(Data_Farmer!CS66="","",""&amp;Data_Farmer!CS66)</f>
        <v/>
      </c>
      <c r="I95" s="69" t="str">
        <f aca="false">IF(Data_Farmer!CS26="","",""&amp;Data_Farmer!CS26)</f>
        <v/>
      </c>
      <c r="J95" s="69" t="str">
        <f aca="false">IF(Data_Farmer!CS28="","",""&amp;Data_Farmer!CS28)</f>
        <v/>
      </c>
      <c r="K95" s="69" t="str">
        <f aca="false">IF(Data_Farmer!CS37="","",""&amp;Data_Farmer!CS37)</f>
        <v>385</v>
      </c>
      <c r="L95" s="69" t="str">
        <f aca="false">IF(Data_Farmer!CS38="","",""&amp;Data_Farmer!CS38)</f>
        <v>-15</v>
      </c>
      <c r="M95" s="69" t="str">
        <f aca="false">IF(Data_Farmer!CS46="","",""&amp;Data_Farmer!CS46)</f>
        <v/>
      </c>
      <c r="N95" s="69" t="str">
        <f aca="false">IF(Data_Farmer!CS47="","",""&amp;Data_Farmer!CS47)</f>
        <v>133</v>
      </c>
      <c r="O95" s="69" t="str">
        <f aca="false">IF(Data_Farmer!CS48="","",""&amp;Data_Farmer!CS48)</f>
        <v>0</v>
      </c>
      <c r="P95" s="69" t="str">
        <f aca="false">IF(Data_Farmer!CS73="","",""&amp;Data_Farmer!CS73)</f>
        <v/>
      </c>
      <c r="Q95" s="69" t="str">
        <f aca="false">IF(Data_Farmer!CS51="","",""&amp;Data_Farmer!CS51)</f>
        <v/>
      </c>
      <c r="R95" s="69" t="str">
        <f aca="false">IF(Data_Farmer!CS53="","",""&amp;Data_Farmer!CS53)</f>
        <v/>
      </c>
    </row>
    <row r="96" customFormat="false" ht="15" hidden="false" customHeight="false" outlineLevel="0" collapsed="false">
      <c r="A96" s="69" t="str">
        <f aca="false">IF(Data_Farmer!CT85="","",""&amp;Data_Farmer!CT85)</f>
        <v>46080</v>
      </c>
      <c r="B96" s="69" t="str">
        <f aca="false">IF(Data_Farmer!CT8="","",""&amp;Data_Farmer!CT8)</f>
        <v/>
      </c>
      <c r="C96" s="69" t="str">
        <f aca="false">IF(Data_Farmer!CT12="","",""&amp;Data_Farmer!CT12)</f>
        <v>265</v>
      </c>
      <c r="D96" s="69" t="str">
        <f aca="false">IF(Data_Farmer!CT13="","",""&amp;Data_Farmer!CT13)</f>
        <v>-15</v>
      </c>
      <c r="E96" s="69" t="str">
        <f aca="false">IF(Data_Farmer!CT21="","",""&amp;Data_Farmer!CT21)</f>
        <v/>
      </c>
      <c r="F96" s="69" t="str">
        <f aca="false">IF(Data_Farmer!CT22="","",""&amp;Data_Farmer!CT22)</f>
        <v>144</v>
      </c>
      <c r="G96" s="69" t="str">
        <f aca="false">IF(Data_Farmer!CT23="","",""&amp;Data_Farmer!CT23)</f>
        <v>0</v>
      </c>
      <c r="H96" s="69" t="str">
        <f aca="false">IF(Data_Farmer!CT66="","",""&amp;Data_Farmer!CT66)</f>
        <v/>
      </c>
      <c r="I96" s="69" t="str">
        <f aca="false">IF(Data_Farmer!CT26="","",""&amp;Data_Farmer!CT26)</f>
        <v/>
      </c>
      <c r="J96" s="69" t="str">
        <f aca="false">IF(Data_Farmer!CT28="","",""&amp;Data_Farmer!CT28)</f>
        <v/>
      </c>
      <c r="K96" s="69" t="str">
        <f aca="false">IF(Data_Farmer!CT37="","",""&amp;Data_Farmer!CT37)</f>
        <v>385</v>
      </c>
      <c r="L96" s="69" t="str">
        <f aca="false">IF(Data_Farmer!CT38="","",""&amp;Data_Farmer!CT38)</f>
        <v>-15</v>
      </c>
      <c r="M96" s="69" t="str">
        <f aca="false">IF(Data_Farmer!CT46="","",""&amp;Data_Farmer!CT46)</f>
        <v/>
      </c>
      <c r="N96" s="69" t="str">
        <f aca="false">IF(Data_Farmer!CT47="","",""&amp;Data_Farmer!CT47)</f>
        <v>133</v>
      </c>
      <c r="O96" s="69" t="str">
        <f aca="false">IF(Data_Farmer!CT48="","",""&amp;Data_Farmer!CT48)</f>
        <v>0</v>
      </c>
      <c r="P96" s="69" t="str">
        <f aca="false">IF(Data_Farmer!CT73="","",""&amp;Data_Farmer!CT73)</f>
        <v/>
      </c>
      <c r="Q96" s="69" t="str">
        <f aca="false">IF(Data_Farmer!CT51="","",""&amp;Data_Farmer!CT51)</f>
        <v/>
      </c>
      <c r="R96" s="69" t="str">
        <f aca="false">IF(Data_Farmer!CT53="","",""&amp;Data_Farmer!CT53)</f>
        <v/>
      </c>
    </row>
    <row r="97" customFormat="false" ht="15" hidden="false" customHeight="false" outlineLevel="0" collapsed="false">
      <c r="A97" s="69" t="str">
        <f aca="false">IF(Data_Farmer!CU85="","",""&amp;Data_Farmer!CU85)</f>
        <v>46081</v>
      </c>
      <c r="B97" s="69" t="str">
        <f aca="false">IF(Data_Farmer!CU8="","",""&amp;Data_Farmer!CU8)</f>
        <v/>
      </c>
      <c r="C97" s="69" t="str">
        <f aca="false">IF(Data_Farmer!CU12="","",""&amp;Data_Farmer!CU12)</f>
        <v>265</v>
      </c>
      <c r="D97" s="69" t="str">
        <f aca="false">IF(Data_Farmer!CU13="","",""&amp;Data_Farmer!CU13)</f>
        <v>-15</v>
      </c>
      <c r="E97" s="69" t="str">
        <f aca="false">IF(Data_Farmer!CU21="","",""&amp;Data_Farmer!CU21)</f>
        <v/>
      </c>
      <c r="F97" s="69" t="str">
        <f aca="false">IF(Data_Farmer!CU22="","",""&amp;Data_Farmer!CU22)</f>
        <v>144</v>
      </c>
      <c r="G97" s="69" t="str">
        <f aca="false">IF(Data_Farmer!CU23="","",""&amp;Data_Farmer!CU23)</f>
        <v>0</v>
      </c>
      <c r="H97" s="69" t="str">
        <f aca="false">IF(Data_Farmer!CU66="","",""&amp;Data_Farmer!CU66)</f>
        <v/>
      </c>
      <c r="I97" s="69" t="str">
        <f aca="false">IF(Data_Farmer!CU26="","",""&amp;Data_Farmer!CU26)</f>
        <v/>
      </c>
      <c r="J97" s="69" t="str">
        <f aca="false">IF(Data_Farmer!CU28="","",""&amp;Data_Farmer!CU28)</f>
        <v/>
      </c>
      <c r="K97" s="69" t="str">
        <f aca="false">IF(Data_Farmer!CU37="","",""&amp;Data_Farmer!CU37)</f>
        <v>385</v>
      </c>
      <c r="L97" s="69" t="str">
        <f aca="false">IF(Data_Farmer!CU38="","",""&amp;Data_Farmer!CU38)</f>
        <v>-15</v>
      </c>
      <c r="M97" s="69" t="str">
        <f aca="false">IF(Data_Farmer!CU46="","",""&amp;Data_Farmer!CU46)</f>
        <v/>
      </c>
      <c r="N97" s="69" t="str">
        <f aca="false">IF(Data_Farmer!CU47="","",""&amp;Data_Farmer!CU47)</f>
        <v>133</v>
      </c>
      <c r="O97" s="69" t="str">
        <f aca="false">IF(Data_Farmer!CU48="","",""&amp;Data_Farmer!CU48)</f>
        <v>0</v>
      </c>
      <c r="P97" s="69" t="str">
        <f aca="false">IF(Data_Farmer!CU73="","",""&amp;Data_Farmer!CU73)</f>
        <v/>
      </c>
      <c r="Q97" s="69" t="str">
        <f aca="false">IF(Data_Farmer!CU51="","",""&amp;Data_Farmer!CU51)</f>
        <v/>
      </c>
      <c r="R97" s="69" t="str">
        <f aca="false">IF(Data_Farmer!CU53="","",""&amp;Data_Farmer!CU53)</f>
        <v/>
      </c>
    </row>
    <row r="98" customFormat="false" ht="15" hidden="false" customHeight="false" outlineLevel="0" collapsed="false">
      <c r="A98" s="69" t="str">
        <f aca="false">IF(Data_Farmer!CV85="","",""&amp;Data_Farmer!CV85)</f>
        <v>46082</v>
      </c>
      <c r="B98" s="69" t="str">
        <f aca="false">IF(Data_Farmer!CV8="","",""&amp;Data_Farmer!CV8)</f>
        <v/>
      </c>
      <c r="C98" s="69" t="str">
        <f aca="false">IF(Data_Farmer!CV12="","",""&amp;Data_Farmer!CV12)</f>
        <v>265</v>
      </c>
      <c r="D98" s="69" t="str">
        <f aca="false">IF(Data_Farmer!CV13="","",""&amp;Data_Farmer!CV13)</f>
        <v>-15</v>
      </c>
      <c r="E98" s="69" t="str">
        <f aca="false">IF(Data_Farmer!CV21="","",""&amp;Data_Farmer!CV21)</f>
        <v/>
      </c>
      <c r="F98" s="69" t="str">
        <f aca="false">IF(Data_Farmer!CV22="","",""&amp;Data_Farmer!CV22)</f>
        <v>144</v>
      </c>
      <c r="G98" s="69" t="str">
        <f aca="false">IF(Data_Farmer!CV23="","",""&amp;Data_Farmer!CV23)</f>
        <v>0</v>
      </c>
      <c r="H98" s="69" t="str">
        <f aca="false">IF(Data_Farmer!CV66="","",""&amp;Data_Farmer!CV66)</f>
        <v/>
      </c>
      <c r="I98" s="69" t="str">
        <f aca="false">IF(Data_Farmer!CV26="","",""&amp;Data_Farmer!CV26)</f>
        <v/>
      </c>
      <c r="J98" s="69" t="str">
        <f aca="false">IF(Data_Farmer!CV28="","",""&amp;Data_Farmer!CV28)</f>
        <v/>
      </c>
      <c r="K98" s="69" t="str">
        <f aca="false">IF(Data_Farmer!CV37="","",""&amp;Data_Farmer!CV37)</f>
        <v>385</v>
      </c>
      <c r="L98" s="69" t="str">
        <f aca="false">IF(Data_Farmer!CV38="","",""&amp;Data_Farmer!CV38)</f>
        <v>-15</v>
      </c>
      <c r="M98" s="69" t="str">
        <f aca="false">IF(Data_Farmer!CV46="","",""&amp;Data_Farmer!CV46)</f>
        <v/>
      </c>
      <c r="N98" s="69" t="str">
        <f aca="false">IF(Data_Farmer!CV47="","",""&amp;Data_Farmer!CV47)</f>
        <v>133</v>
      </c>
      <c r="O98" s="69" t="str">
        <f aca="false">IF(Data_Farmer!CV48="","",""&amp;Data_Farmer!CV48)</f>
        <v>0</v>
      </c>
      <c r="P98" s="69" t="str">
        <f aca="false">IF(Data_Farmer!CV73="","",""&amp;Data_Farmer!CV73)</f>
        <v/>
      </c>
      <c r="Q98" s="69" t="str">
        <f aca="false">IF(Data_Farmer!CV51="","",""&amp;Data_Farmer!CV51)</f>
        <v/>
      </c>
      <c r="R98" s="69" t="str">
        <f aca="false">IF(Data_Farmer!CV53="","",""&amp;Data_Farmer!CV53)</f>
        <v/>
      </c>
    </row>
    <row r="99" customFormat="false" ht="15" hidden="false" customHeight="false" outlineLevel="0" collapsed="false">
      <c r="A99" s="69" t="str">
        <f aca="false">IF(Data_Farmer!CW85="","",""&amp;Data_Farmer!CW85)</f>
        <v>46083</v>
      </c>
      <c r="B99" s="69" t="str">
        <f aca="false">IF(Data_Farmer!CW8="","",""&amp;Data_Farmer!CW8)</f>
        <v/>
      </c>
      <c r="C99" s="69" t="str">
        <f aca="false">IF(Data_Farmer!CW12="","",""&amp;Data_Farmer!CW12)</f>
        <v>265</v>
      </c>
      <c r="D99" s="69" t="str">
        <f aca="false">IF(Data_Farmer!CW13="","",""&amp;Data_Farmer!CW13)</f>
        <v>-15</v>
      </c>
      <c r="E99" s="69" t="str">
        <f aca="false">IF(Data_Farmer!CW21="","",""&amp;Data_Farmer!CW21)</f>
        <v>7</v>
      </c>
      <c r="F99" s="69" t="str">
        <f aca="false">IF(Data_Farmer!CW22="","",""&amp;Data_Farmer!CW22)</f>
        <v>151</v>
      </c>
      <c r="G99" s="69" t="str">
        <f aca="false">IF(Data_Farmer!CW23="","",""&amp;Data_Farmer!CW23)</f>
        <v>0</v>
      </c>
      <c r="H99" s="69" t="str">
        <f aca="false">IF(Data_Farmer!CW66="","",""&amp;Data_Farmer!CW66)</f>
        <v/>
      </c>
      <c r="I99" s="69" t="str">
        <f aca="false">IF(Data_Farmer!CW26="","",""&amp;Data_Farmer!CW26)</f>
        <v>20</v>
      </c>
      <c r="J99" s="69" t="str">
        <f aca="false">IF(Data_Farmer!CW28="","",""&amp;Data_Farmer!CW28)</f>
        <v/>
      </c>
      <c r="K99" s="69" t="str">
        <f aca="false">IF(Data_Farmer!CW37="","",""&amp;Data_Farmer!CW37)</f>
        <v>385</v>
      </c>
      <c r="L99" s="69" t="str">
        <f aca="false">IF(Data_Farmer!CW38="","",""&amp;Data_Farmer!CW38)</f>
        <v>-15</v>
      </c>
      <c r="M99" s="69" t="str">
        <f aca="false">IF(Data_Farmer!CW46="","",""&amp;Data_Farmer!CW46)</f>
        <v>10</v>
      </c>
      <c r="N99" s="69" t="str">
        <f aca="false">IF(Data_Farmer!CW47="","",""&amp;Data_Farmer!CW47)</f>
        <v>143</v>
      </c>
      <c r="O99" s="69" t="str">
        <f aca="false">IF(Data_Farmer!CW48="","",""&amp;Data_Farmer!CW48)</f>
        <v>0</v>
      </c>
      <c r="P99" s="69" t="str">
        <f aca="false">IF(Data_Farmer!CW73="","",""&amp;Data_Farmer!CW73)</f>
        <v/>
      </c>
      <c r="Q99" s="69" t="str">
        <f aca="false">IF(Data_Farmer!CW51="","",""&amp;Data_Farmer!CW51)</f>
        <v>20</v>
      </c>
      <c r="R99" s="69" t="str">
        <f aca="false">IF(Data_Farmer!CW53="","",""&amp;Data_Farmer!CW53)</f>
        <v/>
      </c>
    </row>
    <row r="100" customFormat="false" ht="15" hidden="false" customHeight="false" outlineLevel="0" collapsed="false">
      <c r="A100" s="69" t="str">
        <f aca="false">IF(Data_Farmer!CX85="","",""&amp;Data_Farmer!CX85)</f>
        <v>46084</v>
      </c>
      <c r="B100" s="69" t="str">
        <f aca="false">IF(Data_Farmer!CX8="","",""&amp;Data_Farmer!CX8)</f>
        <v/>
      </c>
      <c r="C100" s="69" t="str">
        <f aca="false">IF(Data_Farmer!CX12="","",""&amp;Data_Farmer!CX12)</f>
        <v>281</v>
      </c>
      <c r="D100" s="69" t="str">
        <f aca="false">IF(Data_Farmer!CX13="","",""&amp;Data_Farmer!CX13)</f>
        <v>1</v>
      </c>
      <c r="E100" s="69" t="str">
        <f aca="false">IF(Data_Farmer!CX21="","",""&amp;Data_Farmer!CX21)</f>
        <v/>
      </c>
      <c r="F100" s="69" t="str">
        <f aca="false">IF(Data_Farmer!CX22="","",""&amp;Data_Farmer!CX22)</f>
        <v>151</v>
      </c>
      <c r="G100" s="69" t="str">
        <f aca="false">IF(Data_Farmer!CX23="","",""&amp;Data_Farmer!CX23)</f>
        <v>-3</v>
      </c>
      <c r="H100" s="69" t="str">
        <f aca="false">IF(Data_Farmer!CX66="","",""&amp;Data_Farmer!CX66)</f>
        <v/>
      </c>
      <c r="I100" s="69" t="str">
        <f aca="false">IF(Data_Farmer!CX26="","",""&amp;Data_Farmer!CX26)</f>
        <v/>
      </c>
      <c r="J100" s="69" t="str">
        <f aca="false">IF(Data_Farmer!CX28="","",""&amp;Data_Farmer!CX28)</f>
        <v/>
      </c>
      <c r="K100" s="69" t="str">
        <f aca="false">IF(Data_Farmer!CX37="","",""&amp;Data_Farmer!CX37)</f>
        <v>401</v>
      </c>
      <c r="L100" s="69" t="str">
        <f aca="false">IF(Data_Farmer!CX38="","",""&amp;Data_Farmer!CX38)</f>
        <v>1</v>
      </c>
      <c r="M100" s="69" t="str">
        <f aca="false">IF(Data_Farmer!CX46="","",""&amp;Data_Farmer!CX46)</f>
        <v/>
      </c>
      <c r="N100" s="69" t="str">
        <f aca="false">IF(Data_Farmer!CX47="","",""&amp;Data_Farmer!CX47)</f>
        <v>143</v>
      </c>
      <c r="O100" s="69" t="str">
        <f aca="false">IF(Data_Farmer!CX48="","",""&amp;Data_Farmer!CX48)</f>
        <v>0</v>
      </c>
      <c r="P100" s="69" t="str">
        <f aca="false">IF(Data_Farmer!CX73="","",""&amp;Data_Farmer!CX73)</f>
        <v/>
      </c>
      <c r="Q100" s="69" t="str">
        <f aca="false">IF(Data_Farmer!CX51="","",""&amp;Data_Farmer!CX51)</f>
        <v/>
      </c>
      <c r="R100" s="69" t="str">
        <f aca="false">IF(Data_Farmer!CX53="","",""&amp;Data_Farmer!CX53)</f>
        <v/>
      </c>
    </row>
    <row r="101" customFormat="false" ht="15" hidden="false" customHeight="false" outlineLevel="0" collapsed="false">
      <c r="A101" s="69" t="str">
        <f aca="false">IF(Data_Farmer!CY85="","",""&amp;Data_Farmer!CY85)</f>
        <v>46085</v>
      </c>
      <c r="B101" s="69" t="str">
        <f aca="false">IF(Data_Farmer!CY8="","",""&amp;Data_Farmer!CY8)</f>
        <v/>
      </c>
      <c r="C101" s="69" t="str">
        <f aca="false">IF(Data_Farmer!CY12="","",""&amp;Data_Farmer!CY12)</f>
        <v>280.7</v>
      </c>
      <c r="D101" s="69" t="str">
        <f aca="false">IF(Data_Farmer!CY13="","",""&amp;Data_Farmer!CY13)</f>
        <v>0.7</v>
      </c>
      <c r="E101" s="69" t="str">
        <f aca="false">IF(Data_Farmer!CY21="","",""&amp;Data_Farmer!CY21)</f>
        <v/>
      </c>
      <c r="F101" s="69" t="str">
        <f aca="false">IF(Data_Farmer!CY22="","",""&amp;Data_Farmer!CY22)</f>
        <v>151</v>
      </c>
      <c r="G101" s="69" t="str">
        <f aca="false">IF(Data_Farmer!CY23="","",""&amp;Data_Farmer!CY23)</f>
        <v>3</v>
      </c>
      <c r="H101" s="69" t="str">
        <f aca="false">IF(Data_Farmer!CY66="","",""&amp;Data_Farmer!CY66)</f>
        <v/>
      </c>
      <c r="I101" s="69" t="str">
        <f aca="false">IF(Data_Farmer!CY26="","",""&amp;Data_Farmer!CY26)</f>
        <v/>
      </c>
      <c r="J101" s="69" t="str">
        <f aca="false">IF(Data_Farmer!CY28="","",""&amp;Data_Farmer!CY28)</f>
        <v/>
      </c>
      <c r="K101" s="69" t="str">
        <f aca="false">IF(Data_Farmer!CY37="","",""&amp;Data_Farmer!CY37)</f>
        <v>400.7</v>
      </c>
      <c r="L101" s="69" t="str">
        <f aca="false">IF(Data_Farmer!CY38="","",""&amp;Data_Farmer!CY38)</f>
        <v>0.7</v>
      </c>
      <c r="M101" s="69" t="str">
        <f aca="false">IF(Data_Farmer!CY46="","",""&amp;Data_Farmer!CY46)</f>
        <v/>
      </c>
      <c r="N101" s="69" t="str">
        <f aca="false">IF(Data_Farmer!CY47="","",""&amp;Data_Farmer!CY47)</f>
        <v>143</v>
      </c>
      <c r="O101" s="69" t="str">
        <f aca="false">IF(Data_Farmer!CY48="","",""&amp;Data_Farmer!CY48)</f>
        <v>3</v>
      </c>
      <c r="P101" s="69" t="str">
        <f aca="false">IF(Data_Farmer!CY73="","",""&amp;Data_Farmer!CY73)</f>
        <v/>
      </c>
      <c r="Q101" s="69" t="str">
        <f aca="false">IF(Data_Farmer!CY51="","",""&amp;Data_Farmer!CY51)</f>
        <v/>
      </c>
      <c r="R101" s="69" t="str">
        <f aca="false">IF(Data_Farmer!CY53="","",""&amp;Data_Farmer!CY53)</f>
        <v/>
      </c>
    </row>
    <row r="102" customFormat="false" ht="15" hidden="false" customHeight="false" outlineLevel="0" collapsed="false">
      <c r="A102" s="69" t="str">
        <f aca="false">IF(Data_Farmer!CZ85="","",""&amp;Data_Farmer!CZ85)</f>
        <v>46086</v>
      </c>
      <c r="B102" s="69" t="str">
        <f aca="false">IF(Data_Farmer!CZ8="","",""&amp;Data_Farmer!CZ8)</f>
        <v/>
      </c>
      <c r="C102" s="69" t="str">
        <f aca="false">IF(Data_Farmer!CZ12="","",""&amp;Data_Farmer!CZ12)</f>
        <v>280.2</v>
      </c>
      <c r="D102" s="69" t="str">
        <f aca="false">IF(Data_Farmer!CZ13="","",""&amp;Data_Farmer!CZ13)</f>
        <v>0.2</v>
      </c>
      <c r="E102" s="69" t="str">
        <f aca="false">IF(Data_Farmer!CZ21="","",""&amp;Data_Farmer!CZ21)</f>
        <v>17</v>
      </c>
      <c r="F102" s="69" t="str">
        <f aca="false">IF(Data_Farmer!CZ22="","",""&amp;Data_Farmer!CZ22)</f>
        <v>168</v>
      </c>
      <c r="G102" s="69" t="str">
        <f aca="false">IF(Data_Farmer!CZ23="","",""&amp;Data_Farmer!CZ23)</f>
        <v>5</v>
      </c>
      <c r="H102" s="69" t="str">
        <f aca="false">IF(Data_Farmer!CZ66="","",""&amp;Data_Farmer!CZ66)</f>
        <v/>
      </c>
      <c r="I102" s="69" t="str">
        <f aca="false">IF(Data_Farmer!CZ26="","",""&amp;Data_Farmer!CZ26)</f>
        <v>20</v>
      </c>
      <c r="J102" s="69" t="str">
        <f aca="false">IF(Data_Farmer!CZ28="","",""&amp;Data_Farmer!CZ28)</f>
        <v/>
      </c>
      <c r="K102" s="69" t="str">
        <f aca="false">IF(Data_Farmer!CZ37="","",""&amp;Data_Farmer!CZ37)</f>
        <v>400.2</v>
      </c>
      <c r="L102" s="69" t="str">
        <f aca="false">IF(Data_Farmer!CZ38="","",""&amp;Data_Farmer!CZ38)</f>
        <v>0.2</v>
      </c>
      <c r="M102" s="69" t="str">
        <f aca="false">IF(Data_Farmer!CZ46="","",""&amp;Data_Farmer!CZ46)</f>
        <v>17</v>
      </c>
      <c r="N102" s="69" t="str">
        <f aca="false">IF(Data_Farmer!CZ47="","",""&amp;Data_Farmer!CZ47)</f>
        <v>160</v>
      </c>
      <c r="O102" s="69" t="str">
        <f aca="false">IF(Data_Farmer!CZ48="","",""&amp;Data_Farmer!CZ48)</f>
        <v>5</v>
      </c>
      <c r="P102" s="69" t="str">
        <f aca="false">IF(Data_Farmer!CZ73="","",""&amp;Data_Farmer!CZ73)</f>
        <v/>
      </c>
      <c r="Q102" s="69" t="str">
        <f aca="false">IF(Data_Farmer!CZ51="","",""&amp;Data_Farmer!CZ51)</f>
        <v>20</v>
      </c>
      <c r="R102" s="69" t="str">
        <f aca="false">IF(Data_Farmer!CZ53="","",""&amp;Data_Farmer!CZ53)</f>
        <v/>
      </c>
    </row>
    <row r="103" customFormat="false" ht="15" hidden="false" customHeight="false" outlineLevel="0" collapsed="false">
      <c r="A103" s="69" t="str">
        <f aca="false">IF(Data_Farmer!DA85="","",""&amp;Data_Farmer!DA85)</f>
        <v>46087</v>
      </c>
      <c r="B103" s="69" t="str">
        <f aca="false">IF(Data_Farmer!DA8="","",""&amp;Data_Farmer!DA8)</f>
        <v/>
      </c>
      <c r="C103" s="69" t="str">
        <f aca="false">IF(Data_Farmer!DA12="","",""&amp;Data_Farmer!DA12)</f>
        <v>281.7</v>
      </c>
      <c r="D103" s="69" t="str">
        <f aca="false">IF(Data_Farmer!DA13="","",""&amp;Data_Farmer!DA13)</f>
        <v>1.7</v>
      </c>
      <c r="E103" s="69" t="str">
        <f aca="false">IF(Data_Farmer!DA21="","",""&amp;Data_Farmer!DA21)</f>
        <v/>
      </c>
      <c r="F103" s="69" t="str">
        <f aca="false">IF(Data_Farmer!DA22="","",""&amp;Data_Farmer!DA22)</f>
        <v>168</v>
      </c>
      <c r="G103" s="69" t="str">
        <f aca="false">IF(Data_Farmer!DA23="","",""&amp;Data_Farmer!DA23)</f>
        <v>2</v>
      </c>
      <c r="H103" s="69" t="str">
        <f aca="false">IF(Data_Farmer!DA66="","",""&amp;Data_Farmer!DA66)</f>
        <v/>
      </c>
      <c r="I103" s="69" t="str">
        <f aca="false">IF(Data_Farmer!DA26="","",""&amp;Data_Farmer!DA26)</f>
        <v/>
      </c>
      <c r="J103" s="69" t="str">
        <f aca="false">IF(Data_Farmer!DA28="","",""&amp;Data_Farmer!DA28)</f>
        <v/>
      </c>
      <c r="K103" s="69" t="str">
        <f aca="false">IF(Data_Farmer!DA37="","",""&amp;Data_Farmer!DA37)</f>
        <v>401.7</v>
      </c>
      <c r="L103" s="69" t="str">
        <f aca="false">IF(Data_Farmer!DA38="","",""&amp;Data_Farmer!DA38)</f>
        <v>1.7</v>
      </c>
      <c r="M103" s="69" t="str">
        <f aca="false">IF(Data_Farmer!DA46="","",""&amp;Data_Farmer!DA46)</f>
        <v/>
      </c>
      <c r="N103" s="69" t="str">
        <f aca="false">IF(Data_Farmer!DA47="","",""&amp;Data_Farmer!DA47)</f>
        <v>160</v>
      </c>
      <c r="O103" s="69" t="str">
        <f aca="false">IF(Data_Farmer!DA48="","",""&amp;Data_Farmer!DA48)</f>
        <v>2</v>
      </c>
      <c r="P103" s="69" t="str">
        <f aca="false">IF(Data_Farmer!DA73="","",""&amp;Data_Farmer!DA73)</f>
        <v/>
      </c>
      <c r="Q103" s="69" t="str">
        <f aca="false">IF(Data_Farmer!DA51="","",""&amp;Data_Farmer!DA51)</f>
        <v/>
      </c>
      <c r="R103" s="69" t="str">
        <f aca="false">IF(Data_Farmer!DA53="","",""&amp;Data_Farmer!DA53)</f>
        <v/>
      </c>
    </row>
    <row r="104" customFormat="false" ht="15" hidden="false" customHeight="false" outlineLevel="0" collapsed="false">
      <c r="A104" s="69" t="str">
        <f aca="false">IF(Data_Farmer!DB85="","",""&amp;Data_Farmer!DB85)</f>
        <v>46088</v>
      </c>
      <c r="B104" s="69" t="str">
        <f aca="false">IF(Data_Farmer!DB8="","",""&amp;Data_Farmer!DB8)</f>
        <v/>
      </c>
      <c r="C104" s="69" t="str">
        <f aca="false">IF(Data_Farmer!DB12="","",""&amp;Data_Farmer!DB12)</f>
        <v>281</v>
      </c>
      <c r="D104" s="69" t="str">
        <f aca="false">IF(Data_Farmer!DB13="","",""&amp;Data_Farmer!DB13)</f>
        <v>1</v>
      </c>
      <c r="E104" s="69" t="str">
        <f aca="false">IF(Data_Farmer!DB21="","",""&amp;Data_Farmer!DB21)</f>
        <v/>
      </c>
      <c r="F104" s="69" t="str">
        <f aca="false">IF(Data_Farmer!DB22="","",""&amp;Data_Farmer!DB22)</f>
        <v>168</v>
      </c>
      <c r="G104" s="69" t="str">
        <f aca="false">IF(Data_Farmer!DB23="","",""&amp;Data_Farmer!DB23)</f>
        <v>7</v>
      </c>
      <c r="H104" s="69" t="str">
        <f aca="false">IF(Data_Farmer!DB66="","",""&amp;Data_Farmer!DB66)</f>
        <v/>
      </c>
      <c r="I104" s="69" t="str">
        <f aca="false">IF(Data_Farmer!DB26="","",""&amp;Data_Farmer!DB26)</f>
        <v/>
      </c>
      <c r="J104" s="69" t="str">
        <f aca="false">IF(Data_Farmer!DB28="","",""&amp;Data_Farmer!DB28)</f>
        <v/>
      </c>
      <c r="K104" s="69" t="str">
        <f aca="false">IF(Data_Farmer!DB37="","",""&amp;Data_Farmer!DB37)</f>
        <v>401</v>
      </c>
      <c r="L104" s="69" t="str">
        <f aca="false">IF(Data_Farmer!DB38="","",""&amp;Data_Farmer!DB38)</f>
        <v>1</v>
      </c>
      <c r="M104" s="69" t="str">
        <f aca="false">IF(Data_Farmer!DB46="","",""&amp;Data_Farmer!DB46)</f>
        <v/>
      </c>
      <c r="N104" s="69" t="str">
        <f aca="false">IF(Data_Farmer!DB47="","",""&amp;Data_Farmer!DB47)</f>
        <v>160</v>
      </c>
      <c r="O104" s="69" t="str">
        <f aca="false">IF(Data_Farmer!DB48="","",""&amp;Data_Farmer!DB48)</f>
        <v>7</v>
      </c>
      <c r="P104" s="69" t="str">
        <f aca="false">IF(Data_Farmer!DB73="","",""&amp;Data_Farmer!DB73)</f>
        <v/>
      </c>
      <c r="Q104" s="69" t="str">
        <f aca="false">IF(Data_Farmer!DB51="","",""&amp;Data_Farmer!DB51)</f>
        <v/>
      </c>
      <c r="R104" s="69" t="str">
        <f aca="false">IF(Data_Farmer!DB53="","",""&amp;Data_Farmer!DB53)</f>
        <v/>
      </c>
    </row>
    <row r="105" customFormat="false" ht="15" hidden="false" customHeight="false" outlineLevel="0" collapsed="false">
      <c r="A105" s="69" t="str">
        <f aca="false">IF(Data_Farmer!DC85="","",""&amp;Data_Farmer!DC85)</f>
        <v>46089</v>
      </c>
      <c r="B105" s="69" t="str">
        <f aca="false">IF(Data_Farmer!DC8="","",""&amp;Data_Farmer!DC8)</f>
        <v/>
      </c>
      <c r="C105" s="69" t="str">
        <f aca="false">IF(Data_Farmer!DC12="","",""&amp;Data_Farmer!DC12)</f>
        <v>280.5</v>
      </c>
      <c r="D105" s="69" t="str">
        <f aca="false">IF(Data_Farmer!DC13="","",""&amp;Data_Farmer!DC13)</f>
        <v>0.5</v>
      </c>
      <c r="E105" s="69" t="str">
        <f aca="false">IF(Data_Farmer!DC21="","",""&amp;Data_Farmer!DC21)</f>
        <v>29</v>
      </c>
      <c r="F105" s="69" t="str">
        <f aca="false">IF(Data_Farmer!DC22="","",""&amp;Data_Farmer!DC22)</f>
        <v>197</v>
      </c>
      <c r="G105" s="69" t="str">
        <f aca="false">IF(Data_Farmer!DC23="","",""&amp;Data_Farmer!DC23)</f>
        <v>5</v>
      </c>
      <c r="H105" s="69" t="str">
        <f aca="false">IF(Data_Farmer!DC66="","",""&amp;Data_Farmer!DC66)</f>
        <v>19</v>
      </c>
      <c r="I105" s="69" t="str">
        <f aca="false">IF(Data_Farmer!DC26="","",""&amp;Data_Farmer!DC26)</f>
        <v>20</v>
      </c>
      <c r="J105" s="69" t="str">
        <f aca="false">IF(Data_Farmer!DC28="","",""&amp;Data_Farmer!DC28)</f>
        <v/>
      </c>
      <c r="K105" s="69" t="str">
        <f aca="false">IF(Data_Farmer!DC37="","",""&amp;Data_Farmer!DC37)</f>
        <v>400.5</v>
      </c>
      <c r="L105" s="69" t="str">
        <f aca="false">IF(Data_Farmer!DC38="","",""&amp;Data_Farmer!DC38)</f>
        <v>0.5</v>
      </c>
      <c r="M105" s="69" t="str">
        <f aca="false">IF(Data_Farmer!DC46="","",""&amp;Data_Farmer!DC46)</f>
        <v>21</v>
      </c>
      <c r="N105" s="69" t="str">
        <f aca="false">IF(Data_Farmer!DC47="","",""&amp;Data_Farmer!DC47)</f>
        <v>181</v>
      </c>
      <c r="O105" s="69" t="str">
        <f aca="false">IF(Data_Farmer!DC48="","",""&amp;Data_Farmer!DC48)</f>
        <v>5</v>
      </c>
      <c r="P105" s="69" t="str">
        <f aca="false">IF(Data_Farmer!DC73="","",""&amp;Data_Farmer!DC73)</f>
        <v>21</v>
      </c>
      <c r="Q105" s="69" t="str">
        <f aca="false">IF(Data_Farmer!DC51="","",""&amp;Data_Farmer!DC51)</f>
        <v>20</v>
      </c>
      <c r="R105" s="69" t="str">
        <f aca="false">IF(Data_Farmer!DC53="","",""&amp;Data_Farmer!DC53)</f>
        <v/>
      </c>
    </row>
    <row r="106" customFormat="false" ht="15" hidden="false" customHeight="false" outlineLevel="0" collapsed="false">
      <c r="A106" s="69" t="str">
        <f aca="false">IF(Data_Farmer!DD85="","",""&amp;Data_Farmer!DD85)</f>
        <v>46090</v>
      </c>
      <c r="B106" s="69" t="str">
        <f aca="false">IF(Data_Farmer!DD8="","",""&amp;Data_Farmer!DD8)</f>
        <v/>
      </c>
      <c r="C106" s="69" t="str">
        <f aca="false">IF(Data_Farmer!DD12="","",""&amp;Data_Farmer!DD12)</f>
        <v>282.5</v>
      </c>
      <c r="D106" s="69" t="str">
        <f aca="false">IF(Data_Farmer!DD13="","",""&amp;Data_Farmer!DD13)</f>
        <v>2.5</v>
      </c>
      <c r="E106" s="69" t="str">
        <f aca="false">IF(Data_Farmer!DD21="","",""&amp;Data_Farmer!DD21)</f>
        <v/>
      </c>
      <c r="F106" s="69" t="str">
        <f aca="false">IF(Data_Farmer!DD22="","",""&amp;Data_Farmer!DD22)</f>
        <v>197</v>
      </c>
      <c r="G106" s="69" t="str">
        <f aca="false">IF(Data_Farmer!DD23="","",""&amp;Data_Farmer!DD23)</f>
        <v>9</v>
      </c>
      <c r="H106" s="69" t="str">
        <f aca="false">IF(Data_Farmer!DD66="","",""&amp;Data_Farmer!DD66)</f>
        <v/>
      </c>
      <c r="I106" s="69" t="str">
        <f aca="false">IF(Data_Farmer!DD26="","",""&amp;Data_Farmer!DD26)</f>
        <v/>
      </c>
      <c r="J106" s="69" t="str">
        <f aca="false">IF(Data_Farmer!DD28="","",""&amp;Data_Farmer!DD28)</f>
        <v/>
      </c>
      <c r="K106" s="69" t="str">
        <f aca="false">IF(Data_Farmer!DD37="","",""&amp;Data_Farmer!DD37)</f>
        <v>401.6</v>
      </c>
      <c r="L106" s="69" t="str">
        <f aca="false">IF(Data_Farmer!DD38="","",""&amp;Data_Farmer!DD38)</f>
        <v>1.6</v>
      </c>
      <c r="M106" s="69" t="str">
        <f aca="false">IF(Data_Farmer!DD46="","",""&amp;Data_Farmer!DD46)</f>
        <v/>
      </c>
      <c r="N106" s="69" t="str">
        <f aca="false">IF(Data_Farmer!DD47="","",""&amp;Data_Farmer!DD47)</f>
        <v>181</v>
      </c>
      <c r="O106" s="69" t="str">
        <f aca="false">IF(Data_Farmer!DD48="","",""&amp;Data_Farmer!DD48)</f>
        <v>10</v>
      </c>
      <c r="P106" s="69" t="str">
        <f aca="false">IF(Data_Farmer!DD73="","",""&amp;Data_Farmer!DD73)</f>
        <v/>
      </c>
      <c r="Q106" s="69" t="str">
        <f aca="false">IF(Data_Farmer!DD51="","",""&amp;Data_Farmer!DD51)</f>
        <v/>
      </c>
      <c r="R106" s="69" t="str">
        <f aca="false">IF(Data_Farmer!DD53="","",""&amp;Data_Farmer!DD53)</f>
        <v/>
      </c>
    </row>
    <row r="107" customFormat="false" ht="15" hidden="false" customHeight="false" outlineLevel="0" collapsed="false">
      <c r="A107" s="69" t="str">
        <f aca="false">IF(Data_Farmer!DE85="","",""&amp;Data_Farmer!DE85)</f>
        <v>46091</v>
      </c>
      <c r="B107" s="69" t="str">
        <f aca="false">IF(Data_Farmer!DE8="","",""&amp;Data_Farmer!DE8)</f>
        <v/>
      </c>
      <c r="C107" s="69" t="str">
        <f aca="false">IF(Data_Farmer!DE12="","",""&amp;Data_Farmer!DE12)</f>
        <v>282</v>
      </c>
      <c r="D107" s="69" t="str">
        <f aca="false">IF(Data_Farmer!DE13="","",""&amp;Data_Farmer!DE13)</f>
        <v>2</v>
      </c>
      <c r="E107" s="69" t="str">
        <f aca="false">IF(Data_Farmer!DE21="","",""&amp;Data_Farmer!DE21)</f>
        <v/>
      </c>
      <c r="F107" s="69" t="str">
        <f aca="false">IF(Data_Farmer!DE22="","",""&amp;Data_Farmer!DE22)</f>
        <v>197</v>
      </c>
      <c r="G107" s="69" t="str">
        <f aca="false">IF(Data_Farmer!DE23="","",""&amp;Data_Farmer!DE23)</f>
        <v>5</v>
      </c>
      <c r="H107" s="69" t="str">
        <f aca="false">IF(Data_Farmer!DE66="","",""&amp;Data_Farmer!DE66)</f>
        <v/>
      </c>
      <c r="I107" s="69" t="str">
        <f aca="false">IF(Data_Farmer!DE26="","",""&amp;Data_Farmer!DE26)</f>
        <v/>
      </c>
      <c r="J107" s="69" t="str">
        <f aca="false">IF(Data_Farmer!DE28="","",""&amp;Data_Farmer!DE28)</f>
        <v/>
      </c>
      <c r="K107" s="69" t="str">
        <f aca="false">IF(Data_Farmer!DE37="","",""&amp;Data_Farmer!DE37)</f>
        <v>401</v>
      </c>
      <c r="L107" s="69" t="str">
        <f aca="false">IF(Data_Farmer!DE38="","",""&amp;Data_Farmer!DE38)</f>
        <v>1</v>
      </c>
      <c r="M107" s="69" t="str">
        <f aca="false">IF(Data_Farmer!DE46="","",""&amp;Data_Farmer!DE46)</f>
        <v/>
      </c>
      <c r="N107" s="69" t="str">
        <f aca="false">IF(Data_Farmer!DE47="","",""&amp;Data_Farmer!DE47)</f>
        <v>181</v>
      </c>
      <c r="O107" s="69" t="str">
        <f aca="false">IF(Data_Farmer!DE48="","",""&amp;Data_Farmer!DE48)</f>
        <v>6</v>
      </c>
      <c r="P107" s="69" t="str">
        <f aca="false">IF(Data_Farmer!DE73="","",""&amp;Data_Farmer!DE73)</f>
        <v/>
      </c>
      <c r="Q107" s="69" t="str">
        <f aca="false">IF(Data_Farmer!DE51="","",""&amp;Data_Farmer!DE51)</f>
        <v/>
      </c>
      <c r="R107" s="69" t="str">
        <f aca="false">IF(Data_Farmer!DE53="","",""&amp;Data_Farmer!DE53)</f>
        <v/>
      </c>
    </row>
    <row r="108" customFormat="false" ht="15" hidden="false" customHeight="false" outlineLevel="0" collapsed="false">
      <c r="A108" s="69" t="str">
        <f aca="false">IF(Data_Farmer!DF85="","",""&amp;Data_Farmer!DF85)</f>
        <v>46092</v>
      </c>
      <c r="B108" s="69" t="str">
        <f aca="false">IF(Data_Farmer!DF8="","",""&amp;Data_Farmer!DF8)</f>
        <v/>
      </c>
      <c r="C108" s="69" t="str">
        <f aca="false">IF(Data_Farmer!DF12="","",""&amp;Data_Farmer!DF12)</f>
        <v>281.5</v>
      </c>
      <c r="D108" s="69" t="str">
        <f aca="false">IF(Data_Farmer!DF13="","",""&amp;Data_Farmer!DF13)</f>
        <v>1.5</v>
      </c>
      <c r="E108" s="69" t="str">
        <f aca="false">IF(Data_Farmer!DF21="","",""&amp;Data_Farmer!DF21)</f>
        <v/>
      </c>
      <c r="F108" s="69" t="str">
        <f aca="false">IF(Data_Farmer!DF22="","",""&amp;Data_Farmer!DF22)</f>
        <v>197</v>
      </c>
      <c r="G108" s="69" t="str">
        <f aca="false">IF(Data_Farmer!DF23="","",""&amp;Data_Farmer!DF23)</f>
        <v>5</v>
      </c>
      <c r="H108" s="69" t="str">
        <f aca="false">IF(Data_Farmer!DF66="","",""&amp;Data_Farmer!DF66)</f>
        <v/>
      </c>
      <c r="I108" s="69" t="str">
        <f aca="false">IF(Data_Farmer!DF26="","",""&amp;Data_Farmer!DF26)</f>
        <v/>
      </c>
      <c r="J108" s="69" t="str">
        <f aca="false">IF(Data_Farmer!DF28="","",""&amp;Data_Farmer!DF28)</f>
        <v/>
      </c>
      <c r="K108" s="69" t="str">
        <f aca="false">IF(Data_Farmer!DF37="","",""&amp;Data_Farmer!DF37)</f>
        <v>400.7</v>
      </c>
      <c r="L108" s="69" t="str">
        <f aca="false">IF(Data_Farmer!DF38="","",""&amp;Data_Farmer!DF38)</f>
        <v>0.7</v>
      </c>
      <c r="M108" s="69" t="str">
        <f aca="false">IF(Data_Farmer!DF46="","",""&amp;Data_Farmer!DF46)</f>
        <v/>
      </c>
      <c r="N108" s="69" t="str">
        <f aca="false">IF(Data_Farmer!DF47="","",""&amp;Data_Farmer!DF47)</f>
        <v>181</v>
      </c>
      <c r="O108" s="69" t="str">
        <f aca="false">IF(Data_Farmer!DF48="","",""&amp;Data_Farmer!DF48)</f>
        <v>3</v>
      </c>
      <c r="P108" s="69" t="str">
        <f aca="false">IF(Data_Farmer!DF73="","",""&amp;Data_Farmer!DF73)</f>
        <v/>
      </c>
      <c r="Q108" s="69" t="str">
        <f aca="false">IF(Data_Farmer!DF51="","",""&amp;Data_Farmer!DF51)</f>
        <v/>
      </c>
      <c r="R108" s="69" t="str">
        <f aca="false">IF(Data_Farmer!DF53="","",""&amp;Data_Farmer!DF53)</f>
        <v/>
      </c>
    </row>
    <row r="109" customFormat="false" ht="15" hidden="false" customHeight="false" outlineLevel="0" collapsed="false">
      <c r="A109" s="69" t="str">
        <f aca="false">IF(Data_Farmer!DG85="","",""&amp;Data_Farmer!DG85)</f>
        <v>46093</v>
      </c>
      <c r="B109" s="69" t="str">
        <f aca="false">IF(Data_Farmer!DG8="","",""&amp;Data_Farmer!DG8)</f>
        <v/>
      </c>
      <c r="C109" s="69" t="str">
        <f aca="false">IF(Data_Farmer!DG12="","",""&amp;Data_Farmer!DG12)</f>
        <v>281</v>
      </c>
      <c r="D109" s="69" t="str">
        <f aca="false">IF(Data_Farmer!DG13="","",""&amp;Data_Farmer!DG13)</f>
        <v>1</v>
      </c>
      <c r="E109" s="69" t="str">
        <f aca="false">IF(Data_Farmer!DG21="","",""&amp;Data_Farmer!DG21)</f>
        <v/>
      </c>
      <c r="F109" s="69" t="str">
        <f aca="false">IF(Data_Farmer!DG22="","",""&amp;Data_Farmer!DG22)</f>
        <v>197</v>
      </c>
      <c r="G109" s="69" t="str">
        <f aca="false">IF(Data_Farmer!DG23="","",""&amp;Data_Farmer!DG23)</f>
        <v>5</v>
      </c>
      <c r="H109" s="69" t="str">
        <f aca="false">IF(Data_Farmer!DG66="","",""&amp;Data_Farmer!DG66)</f>
        <v/>
      </c>
      <c r="I109" s="69" t="str">
        <f aca="false">IF(Data_Farmer!DG26="","",""&amp;Data_Farmer!DG26)</f>
        <v/>
      </c>
      <c r="J109" s="69" t="str">
        <f aca="false">IF(Data_Farmer!DG28="","",""&amp;Data_Farmer!DG28)</f>
        <v/>
      </c>
      <c r="K109" s="69" t="str">
        <f aca="false">IF(Data_Farmer!DG37="","",""&amp;Data_Farmer!DG37)</f>
        <v>400.3</v>
      </c>
      <c r="L109" s="69" t="str">
        <f aca="false">IF(Data_Farmer!DG38="","",""&amp;Data_Farmer!DG38)</f>
        <v>0.3</v>
      </c>
      <c r="M109" s="69" t="str">
        <f aca="false">IF(Data_Farmer!DG46="","",""&amp;Data_Farmer!DG46)</f>
        <v>10</v>
      </c>
      <c r="N109" s="69" t="str">
        <f aca="false">IF(Data_Farmer!DG47="","",""&amp;Data_Farmer!DG47)</f>
        <v>191</v>
      </c>
      <c r="O109" s="69" t="str">
        <f aca="false">IF(Data_Farmer!DG48="","",""&amp;Data_Farmer!DG48)</f>
        <v>4</v>
      </c>
      <c r="P109" s="69" t="str">
        <f aca="false">IF(Data_Farmer!DG73="","",""&amp;Data_Farmer!DG73)</f>
        <v/>
      </c>
      <c r="Q109" s="69" t="str">
        <f aca="false">IF(Data_Farmer!DG51="","",""&amp;Data_Farmer!DG51)</f>
        <v>20</v>
      </c>
      <c r="R109" s="69" t="str">
        <f aca="false">IF(Data_Farmer!DG53="","",""&amp;Data_Farmer!DG53)</f>
        <v/>
      </c>
    </row>
    <row r="110" customFormat="false" ht="15" hidden="false" customHeight="false" outlineLevel="0" collapsed="false">
      <c r="A110" s="69" t="str">
        <f aca="false">IF(Data_Farmer!DH85="","",""&amp;Data_Farmer!DH85)</f>
        <v>46094</v>
      </c>
      <c r="B110" s="69" t="str">
        <f aca="false">IF(Data_Farmer!DH8="","",""&amp;Data_Farmer!DH8)</f>
        <v/>
      </c>
      <c r="C110" s="69" t="str">
        <f aca="false">IF(Data_Farmer!DH12="","",""&amp;Data_Farmer!DH12)</f>
        <v>280.7</v>
      </c>
      <c r="D110" s="69" t="str">
        <f aca="false">IF(Data_Farmer!DH13="","",""&amp;Data_Farmer!DH13)</f>
        <v>0.7</v>
      </c>
      <c r="E110" s="69" t="str">
        <f aca="false">IF(Data_Farmer!DH21="","",""&amp;Data_Farmer!DH21)</f>
        <v/>
      </c>
      <c r="F110" s="69" t="str">
        <f aca="false">IF(Data_Farmer!DH22="","",""&amp;Data_Farmer!DH22)</f>
        <v>197</v>
      </c>
      <c r="G110" s="69" t="str">
        <f aca="false">IF(Data_Farmer!DH23="","",""&amp;Data_Farmer!DH23)</f>
        <v>3</v>
      </c>
      <c r="H110" s="69" t="str">
        <f aca="false">IF(Data_Farmer!DH66="","",""&amp;Data_Farmer!DH66)</f>
        <v/>
      </c>
      <c r="I110" s="69" t="str">
        <f aca="false">IF(Data_Farmer!DH26="","",""&amp;Data_Farmer!DH26)</f>
        <v/>
      </c>
      <c r="J110" s="69" t="str">
        <f aca="false">IF(Data_Farmer!DH28="","",""&amp;Data_Farmer!DH28)</f>
        <v/>
      </c>
      <c r="K110" s="69" t="str">
        <f aca="false">IF(Data_Farmer!DH37="","",""&amp;Data_Farmer!DH37)</f>
        <v>400.8</v>
      </c>
      <c r="L110" s="69" t="str">
        <f aca="false">IF(Data_Farmer!DH38="","",""&amp;Data_Farmer!DH38)</f>
        <v>0.8</v>
      </c>
      <c r="M110" s="69" t="str">
        <f aca="false">IF(Data_Farmer!DH46="","",""&amp;Data_Farmer!DH46)</f>
        <v/>
      </c>
      <c r="N110" s="69" t="str">
        <f aca="false">IF(Data_Farmer!DH47="","",""&amp;Data_Farmer!DH47)</f>
        <v>191</v>
      </c>
      <c r="O110" s="69" t="str">
        <f aca="false">IF(Data_Farmer!DH48="","",""&amp;Data_Farmer!DH48)</f>
        <v>5</v>
      </c>
      <c r="P110" s="69" t="str">
        <f aca="false">IF(Data_Farmer!DH73="","",""&amp;Data_Farmer!DH73)</f>
        <v/>
      </c>
      <c r="Q110" s="69" t="str">
        <f aca="false">IF(Data_Farmer!DH51="","",""&amp;Data_Farmer!DH51)</f>
        <v/>
      </c>
      <c r="R110" s="69" t="str">
        <f aca="false">IF(Data_Farmer!DH53="","",""&amp;Data_Farmer!DH53)</f>
        <v/>
      </c>
    </row>
    <row r="111" customFormat="false" ht="15" hidden="false" customHeight="false" outlineLevel="0" collapsed="false">
      <c r="A111" s="69" t="str">
        <f aca="false">IF(Data_Farmer!DI85="","",""&amp;Data_Farmer!DI85)</f>
        <v>46095</v>
      </c>
      <c r="B111" s="69" t="str">
        <f aca="false">IF(Data_Farmer!DI8="","",""&amp;Data_Farmer!DI8)</f>
        <v/>
      </c>
      <c r="C111" s="69" t="str">
        <f aca="false">IF(Data_Farmer!DI12="","",""&amp;Data_Farmer!DI12)</f>
        <v>280.1</v>
      </c>
      <c r="D111" s="69" t="str">
        <f aca="false">IF(Data_Farmer!DI13="","",""&amp;Data_Farmer!DI13)</f>
        <v>0.1</v>
      </c>
      <c r="E111" s="69" t="str">
        <f aca="false">IF(Data_Farmer!DI21="","",""&amp;Data_Farmer!DI21)</f>
        <v>23</v>
      </c>
      <c r="F111" s="69" t="str">
        <f aca="false">IF(Data_Farmer!DI22="","",""&amp;Data_Farmer!DI22)</f>
        <v>220</v>
      </c>
      <c r="G111" s="69" t="str">
        <f aca="false">IF(Data_Farmer!DI23="","",""&amp;Data_Farmer!DI23)</f>
        <v>6</v>
      </c>
      <c r="H111" s="69" t="str">
        <f aca="false">IF(Data_Farmer!DI66="","",""&amp;Data_Farmer!DI66)</f>
        <v/>
      </c>
      <c r="I111" s="69" t="str">
        <f aca="false">IF(Data_Farmer!DI26="","",""&amp;Data_Farmer!DI26)</f>
        <v>20</v>
      </c>
      <c r="J111" s="69" t="str">
        <f aca="false">IF(Data_Farmer!DI28="","",""&amp;Data_Farmer!DI28)</f>
        <v/>
      </c>
      <c r="K111" s="69" t="str">
        <f aca="false">IF(Data_Farmer!DI37="","",""&amp;Data_Farmer!DI37)</f>
        <v>400.4</v>
      </c>
      <c r="L111" s="69" t="str">
        <f aca="false">IF(Data_Farmer!DI38="","",""&amp;Data_Farmer!DI38)</f>
        <v>0.4</v>
      </c>
      <c r="M111" s="69" t="str">
        <f aca="false">IF(Data_Farmer!DI46="","",""&amp;Data_Farmer!DI46)</f>
        <v/>
      </c>
      <c r="N111" s="69" t="str">
        <f aca="false">IF(Data_Farmer!DI47="","",""&amp;Data_Farmer!DI47)</f>
        <v>191</v>
      </c>
      <c r="O111" s="69" t="str">
        <f aca="false">IF(Data_Farmer!DI48="","",""&amp;Data_Farmer!DI48)</f>
        <v>4</v>
      </c>
      <c r="P111" s="69" t="str">
        <f aca="false">IF(Data_Farmer!DI73="","",""&amp;Data_Farmer!DI73)</f>
        <v/>
      </c>
      <c r="Q111" s="69" t="str">
        <f aca="false">IF(Data_Farmer!DI51="","",""&amp;Data_Farmer!DI51)</f>
        <v/>
      </c>
      <c r="R111" s="69" t="str">
        <f aca="false">IF(Data_Farmer!DI53="","",""&amp;Data_Farmer!DI53)</f>
        <v/>
      </c>
    </row>
    <row r="112" customFormat="false" ht="15" hidden="false" customHeight="false" outlineLevel="0" collapsed="false">
      <c r="A112" s="69" t="str">
        <f aca="false">IF(Data_Farmer!DJ85="","",""&amp;Data_Farmer!DJ85)</f>
        <v>46096</v>
      </c>
      <c r="B112" s="69" t="str">
        <f aca="false">IF(Data_Farmer!DJ8="","",""&amp;Data_Farmer!DJ8)</f>
        <v/>
      </c>
      <c r="C112" s="69" t="str">
        <f aca="false">IF(Data_Farmer!DJ12="","",""&amp;Data_Farmer!DJ12)</f>
        <v>280</v>
      </c>
      <c r="D112" s="69" t="str">
        <f aca="false">IF(Data_Farmer!DJ13="","",""&amp;Data_Farmer!DJ13)</f>
        <v>0</v>
      </c>
      <c r="E112" s="69" t="str">
        <f aca="false">IF(Data_Farmer!DJ21="","",""&amp;Data_Farmer!DJ21)</f>
        <v>19</v>
      </c>
      <c r="F112" s="69" t="str">
        <f aca="false">IF(Data_Farmer!DJ22="","",""&amp;Data_Farmer!DJ22)</f>
        <v>239</v>
      </c>
      <c r="G112" s="69" t="str">
        <f aca="false">IF(Data_Farmer!DJ23="","",""&amp;Data_Farmer!DJ23)</f>
        <v>24</v>
      </c>
      <c r="H112" s="69" t="str">
        <f aca="false">IF(Data_Farmer!DJ66="","",""&amp;Data_Farmer!DJ66)</f>
        <v/>
      </c>
      <c r="I112" s="69" t="str">
        <f aca="false">IF(Data_Farmer!DJ26="","",""&amp;Data_Farmer!DJ26)</f>
        <v>20</v>
      </c>
      <c r="J112" s="69" t="str">
        <f aca="false">IF(Data_Farmer!DJ28="","",""&amp;Data_Farmer!DJ28)</f>
        <v/>
      </c>
      <c r="K112" s="69" t="str">
        <f aca="false">IF(Data_Farmer!DJ37="","",""&amp;Data_Farmer!DJ37)</f>
        <v>397</v>
      </c>
      <c r="L112" s="69" t="str">
        <f aca="false">IF(Data_Farmer!DJ38="","",""&amp;Data_Farmer!DJ38)</f>
        <v>-3</v>
      </c>
      <c r="M112" s="69" t="str">
        <f aca="false">IF(Data_Farmer!DJ46="","",""&amp;Data_Farmer!DJ46)</f>
        <v/>
      </c>
      <c r="N112" s="69" t="str">
        <f aca="false">IF(Data_Farmer!DJ47="","",""&amp;Data_Farmer!DJ47)</f>
        <v>191</v>
      </c>
      <c r="O112" s="69" t="str">
        <f aca="false">IF(Data_Farmer!DJ48="","",""&amp;Data_Farmer!DJ48)</f>
        <v>34</v>
      </c>
      <c r="P112" s="69" t="str">
        <f aca="false">IF(Data_Farmer!DJ73="","",""&amp;Data_Farmer!DJ73)</f>
        <v/>
      </c>
      <c r="Q112" s="69" t="str">
        <f aca="false">IF(Data_Farmer!DJ51="","",""&amp;Data_Farmer!DJ51)</f>
        <v/>
      </c>
      <c r="R112" s="69" t="str">
        <f aca="false">IF(Data_Farmer!DJ53="","",""&amp;Data_Farmer!DJ53)</f>
        <v/>
      </c>
    </row>
    <row r="113" customFormat="false" ht="15" hidden="false" customHeight="false" outlineLevel="0" collapsed="false">
      <c r="A113" s="69" t="str">
        <f aca="false">IF(Data_Farmer!DK85="","",""&amp;Data_Farmer!DK85)</f>
        <v>46097</v>
      </c>
      <c r="B113" s="69" t="str">
        <f aca="false">IF(Data_Farmer!DK8="","",""&amp;Data_Farmer!DK8)</f>
        <v/>
      </c>
      <c r="C113" s="69" t="str">
        <f aca="false">IF(Data_Farmer!DK12="","",""&amp;Data_Farmer!DK12)</f>
        <v>281</v>
      </c>
      <c r="D113" s="69" t="str">
        <f aca="false">IF(Data_Farmer!DK13="","",""&amp;Data_Farmer!DK13)</f>
        <v>1</v>
      </c>
      <c r="E113" s="69" t="str">
        <f aca="false">IF(Data_Farmer!DK21="","",""&amp;Data_Farmer!DK21)</f>
        <v/>
      </c>
      <c r="F113" s="69" t="str">
        <f aca="false">IF(Data_Farmer!DK22="","",""&amp;Data_Farmer!DK22)</f>
        <v>239</v>
      </c>
      <c r="G113" s="69" t="str">
        <f aca="false">IF(Data_Farmer!DK23="","",""&amp;Data_Farmer!DK23)</f>
        <v>9</v>
      </c>
      <c r="H113" s="69" t="str">
        <f aca="false">IF(Data_Farmer!DK66="","",""&amp;Data_Farmer!DK66)</f>
        <v/>
      </c>
      <c r="I113" s="69" t="str">
        <f aca="false">IF(Data_Farmer!DK26="","",""&amp;Data_Farmer!DK26)</f>
        <v/>
      </c>
      <c r="J113" s="69" t="str">
        <f aca="false">IF(Data_Farmer!DK28="","",""&amp;Data_Farmer!DK28)</f>
        <v/>
      </c>
      <c r="K113" s="69" t="str">
        <f aca="false">IF(Data_Farmer!DK37="","",""&amp;Data_Farmer!DK37)</f>
        <v>394</v>
      </c>
      <c r="L113" s="69" t="str">
        <f aca="false">IF(Data_Farmer!DK38="","",""&amp;Data_Farmer!DK38)</f>
        <v>-6</v>
      </c>
      <c r="M113" s="69" t="str">
        <f aca="false">IF(Data_Farmer!DK46="","",""&amp;Data_Farmer!DK46)</f>
        <v/>
      </c>
      <c r="N113" s="69" t="str">
        <f aca="false">IF(Data_Farmer!DK47="","",""&amp;Data_Farmer!DK47)</f>
        <v>191</v>
      </c>
      <c r="O113" s="69" t="str">
        <f aca="false">IF(Data_Farmer!DK48="","",""&amp;Data_Farmer!DK48)</f>
        <v>30</v>
      </c>
      <c r="P113" s="69" t="str">
        <f aca="false">IF(Data_Farmer!DK73="","",""&amp;Data_Farmer!DK73)</f>
        <v/>
      </c>
      <c r="Q113" s="69" t="str">
        <f aca="false">IF(Data_Farmer!DK51="","",""&amp;Data_Farmer!DK51)</f>
        <v/>
      </c>
      <c r="R113" s="69" t="str">
        <f aca="false">IF(Data_Farmer!DK53="","",""&amp;Data_Farmer!DK53)</f>
        <v/>
      </c>
    </row>
    <row r="114" customFormat="false" ht="15" hidden="false" customHeight="false" outlineLevel="0" collapsed="false">
      <c r="A114" s="69" t="str">
        <f aca="false">IF(Data_Farmer!DL85="","",""&amp;Data_Farmer!DL85)</f>
        <v>46098</v>
      </c>
      <c r="B114" s="69" t="str">
        <f aca="false">IF(Data_Farmer!DL8="","",""&amp;Data_Farmer!DL8)</f>
        <v/>
      </c>
      <c r="C114" s="69" t="str">
        <f aca="false">IF(Data_Farmer!DL12="","",""&amp;Data_Farmer!DL12)</f>
        <v/>
      </c>
      <c r="D114" s="69" t="str">
        <f aca="false">IF(Data_Farmer!DL13="","",""&amp;Data_Farmer!DL13)</f>
        <v/>
      </c>
      <c r="E114" s="69" t="str">
        <f aca="false">IF(Data_Farmer!DL21="","",""&amp;Data_Farmer!DL21)</f>
        <v/>
      </c>
      <c r="F114" s="69" t="str">
        <f aca="false">IF(Data_Farmer!DL22="","",""&amp;Data_Farmer!DL22)</f>
        <v/>
      </c>
      <c r="G114" s="69" t="str">
        <f aca="false">IF(Data_Farmer!DL23="","",""&amp;Data_Farmer!DL23)</f>
        <v/>
      </c>
      <c r="H114" s="69" t="str">
        <f aca="false">IF(Data_Farmer!DL66="","",""&amp;Data_Farmer!DL66)</f>
        <v/>
      </c>
      <c r="I114" s="69" t="str">
        <f aca="false">IF(Data_Farmer!DL26="","",""&amp;Data_Farmer!DL26)</f>
        <v/>
      </c>
      <c r="J114" s="69" t="str">
        <f aca="false">IF(Data_Farmer!DL28="","",""&amp;Data_Farmer!DL28)</f>
        <v/>
      </c>
      <c r="K114" s="69" t="str">
        <f aca="false">IF(Data_Farmer!DL37="","",""&amp;Data_Farmer!DL37)</f>
        <v/>
      </c>
      <c r="L114" s="69" t="str">
        <f aca="false">IF(Data_Farmer!DL38="","",""&amp;Data_Farmer!DL38)</f>
        <v/>
      </c>
      <c r="M114" s="69" t="str">
        <f aca="false">IF(Data_Farmer!DL46="","",""&amp;Data_Farmer!DL46)</f>
        <v/>
      </c>
      <c r="N114" s="69" t="str">
        <f aca="false">IF(Data_Farmer!DL47="","",""&amp;Data_Farmer!DL47)</f>
        <v/>
      </c>
      <c r="O114" s="69" t="str">
        <f aca="false">IF(Data_Farmer!DL48="","",""&amp;Data_Farmer!DL48)</f>
        <v/>
      </c>
      <c r="P114" s="69" t="str">
        <f aca="false">IF(Data_Farmer!DL73="","",""&amp;Data_Farmer!DL73)</f>
        <v/>
      </c>
      <c r="Q114" s="69" t="str">
        <f aca="false">IF(Data_Farmer!DL51="","",""&amp;Data_Farmer!DL51)</f>
        <v/>
      </c>
      <c r="R114" s="69" t="str">
        <f aca="false">IF(Data_Farmer!DL53="","",""&amp;Data_Farmer!DL53)</f>
        <v/>
      </c>
    </row>
    <row r="115" customFormat="false" ht="15" hidden="false" customHeight="false" outlineLevel="0" collapsed="false">
      <c r="A115" s="69" t="str">
        <f aca="false">IF(Data_Farmer!DM85="","",""&amp;Data_Farmer!DM85)</f>
        <v>46099</v>
      </c>
      <c r="B115" s="69" t="str">
        <f aca="false">IF(Data_Farmer!DM8="","",""&amp;Data_Farmer!DM8)</f>
        <v/>
      </c>
      <c r="C115" s="69" t="str">
        <f aca="false">IF(Data_Farmer!DM12="","",""&amp;Data_Farmer!DM12)</f>
        <v>280.2</v>
      </c>
      <c r="D115" s="69" t="str">
        <f aca="false">IF(Data_Farmer!DM13="","",""&amp;Data_Farmer!DM13)</f>
        <v>0.2</v>
      </c>
      <c r="E115" s="69" t="str">
        <f aca="false">IF(Data_Farmer!DM21="","",""&amp;Data_Farmer!DM21)</f>
        <v>8</v>
      </c>
      <c r="F115" s="69" t="str">
        <f aca="false">IF(Data_Farmer!DM22="","",""&amp;Data_Farmer!DM22)</f>
        <v>247</v>
      </c>
      <c r="G115" s="69" t="str">
        <f aca="false">IF(Data_Farmer!DM23="","",""&amp;Data_Farmer!DM23)</f>
        <v/>
      </c>
      <c r="H115" s="69" t="str">
        <f aca="false">IF(Data_Farmer!DM66="","",""&amp;Data_Farmer!DM66)</f>
        <v/>
      </c>
      <c r="I115" s="69" t="str">
        <f aca="false">IF(Data_Farmer!DM26="","",""&amp;Data_Farmer!DM26)</f>
        <v>20</v>
      </c>
      <c r="J115" s="69" t="str">
        <f aca="false">IF(Data_Farmer!DM28="","",""&amp;Data_Farmer!DM28)</f>
        <v/>
      </c>
      <c r="K115" s="69" t="str">
        <f aca="false">IF(Data_Farmer!DM37="","",""&amp;Data_Farmer!DM37)</f>
        <v>389</v>
      </c>
      <c r="L115" s="69" t="str">
        <f aca="false">IF(Data_Farmer!DM38="","",""&amp;Data_Farmer!DM38)</f>
        <v>-11</v>
      </c>
      <c r="M115" s="69" t="str">
        <f aca="false">IF(Data_Farmer!DM46="","",""&amp;Data_Farmer!DM46)</f>
        <v/>
      </c>
      <c r="N115" s="69" t="str">
        <f aca="false">IF(Data_Farmer!DM47="","",""&amp;Data_Farmer!DM47)</f>
        <v>191</v>
      </c>
      <c r="O115" s="69" t="str">
        <f aca="false">IF(Data_Farmer!DM48="","",""&amp;Data_Farmer!DM48)</f>
        <v/>
      </c>
      <c r="P115" s="69" t="str">
        <f aca="false">IF(Data_Farmer!DM73="","",""&amp;Data_Farmer!DM73)</f>
        <v/>
      </c>
      <c r="Q115" s="69" t="str">
        <f aca="false">IF(Data_Farmer!DM51="","",""&amp;Data_Farmer!DM51)</f>
        <v/>
      </c>
      <c r="R115" s="69" t="str">
        <f aca="false">IF(Data_Farmer!DM53="","",""&amp;Data_Farmer!DM53)</f>
        <v/>
      </c>
    </row>
    <row r="116" customFormat="false" ht="15" hidden="false" customHeight="false" outlineLevel="0" collapsed="false">
      <c r="A116" s="69" t="str">
        <f aca="false">IF(Data_Farmer!DN85="","",""&amp;Data_Farmer!DN85)</f>
        <v>46100</v>
      </c>
      <c r="B116" s="69" t="str">
        <f aca="false">IF(Data_Farmer!DN8="","",""&amp;Data_Farmer!DN8)</f>
        <v/>
      </c>
      <c r="C116" s="69" t="str">
        <f aca="false">IF(Data_Farmer!DN12="","",""&amp;Data_Farmer!DN12)</f>
        <v>280.9</v>
      </c>
      <c r="D116" s="69" t="str">
        <f aca="false">IF(Data_Farmer!DN13="","",""&amp;Data_Farmer!DN13)</f>
        <v>0.9</v>
      </c>
      <c r="E116" s="69" t="str">
        <f aca="false">IF(Data_Farmer!DN21="","",""&amp;Data_Farmer!DN21)</f>
        <v/>
      </c>
      <c r="F116" s="69" t="str">
        <f aca="false">IF(Data_Farmer!DN22="","",""&amp;Data_Farmer!DN22)</f>
        <v>247</v>
      </c>
      <c r="G116" s="69" t="str">
        <f aca="false">IF(Data_Farmer!DN23="","",""&amp;Data_Farmer!DN23)</f>
        <v>1</v>
      </c>
      <c r="H116" s="69" t="str">
        <f aca="false">IF(Data_Farmer!DN66="","",""&amp;Data_Farmer!DN66)</f>
        <v/>
      </c>
      <c r="I116" s="69" t="str">
        <f aca="false">IF(Data_Farmer!DN26="","",""&amp;Data_Farmer!DN26)</f>
        <v/>
      </c>
      <c r="J116" s="69" t="str">
        <f aca="false">IF(Data_Farmer!DN28="","",""&amp;Data_Farmer!DN28)</f>
        <v/>
      </c>
      <c r="K116" s="69" t="str">
        <f aca="false">IF(Data_Farmer!DN37="","",""&amp;Data_Farmer!DN37)</f>
        <v>388</v>
      </c>
      <c r="L116" s="69" t="str">
        <f aca="false">IF(Data_Farmer!DN38="","",""&amp;Data_Farmer!DN38)</f>
        <v>-12</v>
      </c>
      <c r="M116" s="69" t="str">
        <f aca="false">IF(Data_Farmer!DN46="","",""&amp;Data_Farmer!DN46)</f>
        <v>11</v>
      </c>
      <c r="N116" s="69" t="str">
        <f aca="false">IF(Data_Farmer!DN47="","",""&amp;Data_Farmer!DN47)</f>
        <v>202</v>
      </c>
      <c r="O116" s="69" t="str">
        <f aca="false">IF(Data_Farmer!DN48="","",""&amp;Data_Farmer!DN48)</f>
        <v>10</v>
      </c>
      <c r="P116" s="69" t="str">
        <f aca="false">IF(Data_Farmer!DN73="","",""&amp;Data_Farmer!DN73)</f>
        <v/>
      </c>
      <c r="Q116" s="69" t="str">
        <f aca="false">IF(Data_Farmer!DN51="","",""&amp;Data_Farmer!DN51)</f>
        <v>20</v>
      </c>
      <c r="R116" s="69" t="str">
        <f aca="false">IF(Data_Farmer!DN53="","",""&amp;Data_Farmer!DN53)</f>
        <v/>
      </c>
    </row>
    <row r="117" customFormat="false" ht="15" hidden="false" customHeight="false" outlineLevel="0" collapsed="false">
      <c r="A117" s="69" t="str">
        <f aca="false">IF(Data_Farmer!DO85="","",""&amp;Data_Farmer!DO85)</f>
        <v>46101</v>
      </c>
      <c r="B117" s="69" t="str">
        <f aca="false">IF(Data_Farmer!DO8="","",""&amp;Data_Farmer!DO8)</f>
        <v>7.3</v>
      </c>
      <c r="C117" s="69" t="str">
        <f aca="false">IF(Data_Farmer!DO12="","",""&amp;Data_Farmer!DO12)</f>
        <v>280</v>
      </c>
      <c r="D117" s="69" t="str">
        <f aca="false">IF(Data_Farmer!DO13="","",""&amp;Data_Farmer!DO13)</f>
        <v>0</v>
      </c>
      <c r="E117" s="69" t="str">
        <f aca="false">IF(Data_Farmer!DO21="","",""&amp;Data_Farmer!DO21)</f>
        <v>19</v>
      </c>
      <c r="F117" s="69" t="str">
        <f aca="false">IF(Data_Farmer!DO22="","",""&amp;Data_Farmer!DO22)</f>
        <v>266</v>
      </c>
      <c r="G117" s="69" t="str">
        <f aca="false">IF(Data_Farmer!DO23="","",""&amp;Data_Farmer!DO23)</f>
        <v>9</v>
      </c>
      <c r="H117" s="69" t="str">
        <f aca="false">IF(Data_Farmer!DO66="","",""&amp;Data_Farmer!DO66)</f>
        <v/>
      </c>
      <c r="I117" s="69" t="str">
        <f aca="false">IF(Data_Farmer!DO26="","",""&amp;Data_Farmer!DO26)</f>
        <v>20</v>
      </c>
      <c r="J117" s="69" t="str">
        <f aca="false">IF(Data_Farmer!DO28="","",""&amp;Data_Farmer!DO28)</f>
        <v/>
      </c>
      <c r="K117" s="69" t="str">
        <f aca="false">IF(Data_Farmer!DO37="","",""&amp;Data_Farmer!DO37)</f>
        <v>401</v>
      </c>
      <c r="L117" s="69" t="str">
        <f aca="false">IF(Data_Farmer!DO38="","",""&amp;Data_Farmer!DO38)</f>
        <v>1</v>
      </c>
      <c r="M117" s="69" t="str">
        <f aca="false">IF(Data_Farmer!DO46="","",""&amp;Data_Farmer!DO46)</f>
        <v/>
      </c>
      <c r="N117" s="69" t="str">
        <f aca="false">IF(Data_Farmer!DO47="","",""&amp;Data_Farmer!DO47)</f>
        <v>202</v>
      </c>
      <c r="O117" s="69" t="str">
        <f aca="false">IF(Data_Farmer!DO48="","",""&amp;Data_Farmer!DO48)</f>
        <v>1</v>
      </c>
      <c r="P117" s="69" t="str">
        <f aca="false">IF(Data_Farmer!DO73="","",""&amp;Data_Farmer!DO73)</f>
        <v/>
      </c>
      <c r="Q117" s="69" t="str">
        <f aca="false">IF(Data_Farmer!DO51="","",""&amp;Data_Farmer!DO51)</f>
        <v/>
      </c>
      <c r="R117" s="69" t="str">
        <f aca="false">IF(Data_Farmer!DO53="","",""&amp;Data_Farmer!DO53)</f>
        <v/>
      </c>
    </row>
    <row r="118" customFormat="false" ht="15" hidden="false" customHeight="false" outlineLevel="0" collapsed="false">
      <c r="A118" s="69" t="str">
        <f aca="false">IF(Data_Farmer!DP85="","",""&amp;Data_Farmer!DP85)</f>
        <v>46102</v>
      </c>
      <c r="B118" s="69" t="str">
        <f aca="false">IF(Data_Farmer!DP8="","",""&amp;Data_Farmer!DP8)</f>
        <v/>
      </c>
      <c r="C118" s="69" t="str">
        <f aca="false">IF(Data_Farmer!DP12="","",""&amp;Data_Farmer!DP12)</f>
        <v>281</v>
      </c>
      <c r="D118" s="69" t="str">
        <f aca="false">IF(Data_Farmer!DP13="","",""&amp;Data_Farmer!DP13)</f>
        <v>1</v>
      </c>
      <c r="E118" s="69" t="str">
        <f aca="false">IF(Data_Farmer!DP21="","",""&amp;Data_Farmer!DP21)</f>
        <v/>
      </c>
      <c r="F118" s="69" t="str">
        <f aca="false">IF(Data_Farmer!DP22="","",""&amp;Data_Farmer!DP22)</f>
        <v>266</v>
      </c>
      <c r="G118" s="69" t="str">
        <f aca="false">IF(Data_Farmer!DP23="","",""&amp;Data_Farmer!DP23)</f>
        <v>9</v>
      </c>
      <c r="H118" s="69" t="str">
        <f aca="false">IF(Data_Farmer!DP66="","",""&amp;Data_Farmer!DP66)</f>
        <v/>
      </c>
      <c r="I118" s="69" t="str">
        <f aca="false">IF(Data_Farmer!DP26="","",""&amp;Data_Farmer!DP26)</f>
        <v/>
      </c>
      <c r="J118" s="69" t="str">
        <f aca="false">IF(Data_Farmer!DP28="","",""&amp;Data_Farmer!DP28)</f>
        <v/>
      </c>
      <c r="K118" s="69" t="str">
        <f aca="false">IF(Data_Farmer!DP37="","",""&amp;Data_Farmer!DP37)</f>
        <v>400.5</v>
      </c>
      <c r="L118" s="69" t="str">
        <f aca="false">IF(Data_Farmer!DP38="","",""&amp;Data_Farmer!DP38)</f>
        <v>0.5</v>
      </c>
      <c r="M118" s="69" t="str">
        <f aca="false">IF(Data_Farmer!DP46="","",""&amp;Data_Farmer!DP46)</f>
        <v/>
      </c>
      <c r="N118" s="69" t="str">
        <f aca="false">IF(Data_Farmer!DP47="","",""&amp;Data_Farmer!DP47)</f>
        <v>202</v>
      </c>
      <c r="O118" s="69" t="str">
        <f aca="false">IF(Data_Farmer!DP48="","",""&amp;Data_Farmer!DP48)</f>
        <v>5</v>
      </c>
      <c r="P118" s="69" t="str">
        <f aca="false">IF(Data_Farmer!DP73="","",""&amp;Data_Farmer!DP73)</f>
        <v/>
      </c>
      <c r="Q118" s="69" t="str">
        <f aca="false">IF(Data_Farmer!DP51="","",""&amp;Data_Farmer!DP51)</f>
        <v/>
      </c>
      <c r="R118" s="69" t="str">
        <f aca="false">IF(Data_Farmer!DP53="","",""&amp;Data_Farmer!DP53)</f>
        <v/>
      </c>
    </row>
    <row r="119" customFormat="false" ht="15" hidden="false" customHeight="false" outlineLevel="0" collapsed="false">
      <c r="A119" s="69" t="str">
        <f aca="false">IF(Data_Farmer!DQ85="","",""&amp;Data_Farmer!DQ85)</f>
        <v>46103</v>
      </c>
      <c r="B119" s="69" t="str">
        <f aca="false">IF(Data_Farmer!DQ8="","",""&amp;Data_Farmer!DQ8)</f>
        <v/>
      </c>
      <c r="C119" s="69" t="str">
        <f aca="false">IF(Data_Farmer!DQ12="","",""&amp;Data_Farmer!DQ12)</f>
        <v>280.7</v>
      </c>
      <c r="D119" s="69" t="str">
        <f aca="false">IF(Data_Farmer!DQ13="","",""&amp;Data_Farmer!DQ13)</f>
        <v>0.7</v>
      </c>
      <c r="E119" s="69" t="str">
        <f aca="false">IF(Data_Farmer!DQ21="","",""&amp;Data_Farmer!DQ21)</f>
        <v/>
      </c>
      <c r="F119" s="69" t="str">
        <f aca="false">IF(Data_Farmer!DQ22="","",""&amp;Data_Farmer!DQ22)</f>
        <v>266</v>
      </c>
      <c r="G119" s="69" t="str">
        <f aca="false">IF(Data_Farmer!DQ23="","",""&amp;Data_Farmer!DQ23)</f>
        <v>3</v>
      </c>
      <c r="H119" s="69" t="str">
        <f aca="false">IF(Data_Farmer!DQ66="","",""&amp;Data_Farmer!DQ66)</f>
        <v/>
      </c>
      <c r="I119" s="69" t="str">
        <f aca="false">IF(Data_Farmer!DQ26="","",""&amp;Data_Farmer!DQ26)</f>
        <v/>
      </c>
      <c r="J119" s="69" t="str">
        <f aca="false">IF(Data_Farmer!DQ28="","",""&amp;Data_Farmer!DQ28)</f>
        <v/>
      </c>
      <c r="K119" s="69" t="str">
        <f aca="false">IF(Data_Farmer!DQ37="","",""&amp;Data_Farmer!DQ37)</f>
        <v>396</v>
      </c>
      <c r="L119" s="69" t="str">
        <f aca="false">IF(Data_Farmer!DQ38="","",""&amp;Data_Farmer!DQ38)</f>
        <v>-4</v>
      </c>
      <c r="M119" s="69" t="str">
        <f aca="false">IF(Data_Farmer!DQ46="","",""&amp;Data_Farmer!DQ46)</f>
        <v/>
      </c>
      <c r="N119" s="69" t="str">
        <f aca="false">IF(Data_Farmer!DQ47="","",""&amp;Data_Farmer!DQ47)</f>
        <v>202</v>
      </c>
      <c r="O119" s="69" t="str">
        <f aca="false">IF(Data_Farmer!DQ48="","",""&amp;Data_Farmer!DQ48)</f>
        <v>45</v>
      </c>
      <c r="P119" s="69" t="str">
        <f aca="false">IF(Data_Farmer!DQ73="","",""&amp;Data_Farmer!DQ73)</f>
        <v/>
      </c>
      <c r="Q119" s="69" t="str">
        <f aca="false">IF(Data_Farmer!DQ51="","",""&amp;Data_Farmer!DQ51)</f>
        <v/>
      </c>
      <c r="R119" s="69" t="str">
        <f aca="false">IF(Data_Farmer!DQ53="","",""&amp;Data_Farmer!DQ53)</f>
        <v/>
      </c>
    </row>
    <row r="120" customFormat="false" ht="15" hidden="false" customHeight="false" outlineLevel="0" collapsed="false">
      <c r="A120" s="69" t="str">
        <f aca="false">IF(Data_Farmer!DR85="","",""&amp;Data_Farmer!DR85)</f>
        <v>46104</v>
      </c>
      <c r="B120" s="69" t="str">
        <f aca="false">IF(Data_Farmer!DR8="","",""&amp;Data_Farmer!DR8)</f>
        <v/>
      </c>
      <c r="C120" s="69" t="str">
        <f aca="false">IF(Data_Farmer!DR12="","",""&amp;Data_Farmer!DR12)</f>
        <v>280.3</v>
      </c>
      <c r="D120" s="69" t="str">
        <f aca="false">IF(Data_Farmer!DR13="","",""&amp;Data_Farmer!DR13)</f>
        <v>0.3</v>
      </c>
      <c r="E120" s="69" t="str">
        <f aca="false">IF(Data_Farmer!DR21="","",""&amp;Data_Farmer!DR21)</f>
        <v>7</v>
      </c>
      <c r="F120" s="69" t="str">
        <f aca="false">IF(Data_Farmer!DR22="","",""&amp;Data_Farmer!DR22)</f>
        <v>273</v>
      </c>
      <c r="G120" s="69" t="str">
        <f aca="false">IF(Data_Farmer!DR23="","",""&amp;Data_Farmer!DR23)</f>
        <v>4</v>
      </c>
      <c r="H120" s="69" t="str">
        <f aca="false">IF(Data_Farmer!DR66="","",""&amp;Data_Farmer!DR66)</f>
        <v>17.7</v>
      </c>
      <c r="I120" s="69" t="str">
        <f aca="false">IF(Data_Farmer!DR26="","",""&amp;Data_Farmer!DR26)</f>
        <v>20</v>
      </c>
      <c r="J120" s="69" t="str">
        <f aca="false">IF(Data_Farmer!DR28="","",""&amp;Data_Farmer!DR28)</f>
        <v/>
      </c>
      <c r="K120" s="69" t="str">
        <f aca="false">IF(Data_Farmer!DR37="","",""&amp;Data_Farmer!DR37)</f>
        <v>391</v>
      </c>
      <c r="L120" s="69" t="str">
        <f aca="false">IF(Data_Farmer!DR38="","",""&amp;Data_Farmer!DR38)</f>
        <v>-9</v>
      </c>
      <c r="M120" s="69" t="str">
        <f aca="false">IF(Data_Farmer!DR46="","",""&amp;Data_Farmer!DR46)</f>
        <v/>
      </c>
      <c r="N120" s="69" t="str">
        <f aca="false">IF(Data_Farmer!DR47="","",""&amp;Data_Farmer!DR47)</f>
        <v>202</v>
      </c>
      <c r="O120" s="69" t="str">
        <f aca="false">IF(Data_Farmer!DR48="","",""&amp;Data_Farmer!DR48)</f>
        <v>50</v>
      </c>
      <c r="P120" s="69" t="str">
        <f aca="false">IF(Data_Farmer!DR73="","",""&amp;Data_Farmer!DR73)</f>
        <v>22</v>
      </c>
      <c r="Q120" s="69" t="str">
        <f aca="false">IF(Data_Farmer!DR51="","",""&amp;Data_Farmer!DR51)</f>
        <v/>
      </c>
      <c r="R120" s="69" t="str">
        <f aca="false">IF(Data_Farmer!DR53="","",""&amp;Data_Farmer!DR53)</f>
        <v/>
      </c>
    </row>
    <row r="121" customFormat="false" ht="15" hidden="false" customHeight="false" outlineLevel="0" collapsed="false">
      <c r="A121" s="69" t="str">
        <f aca="false">IF(Data_Farmer!DS85="","",""&amp;Data_Farmer!DS85)</f>
        <v>46105</v>
      </c>
      <c r="B121" s="69" t="str">
        <f aca="false">IF(Data_Farmer!DS8="","",""&amp;Data_Farmer!DS8)</f>
        <v/>
      </c>
      <c r="C121" s="69" t="str">
        <f aca="false">IF(Data_Farmer!DS12="","",""&amp;Data_Farmer!DS12)</f>
        <v>280.5</v>
      </c>
      <c r="D121" s="69" t="str">
        <f aca="false">IF(Data_Farmer!DS13="","",""&amp;Data_Farmer!DS13)</f>
        <v>0.5</v>
      </c>
      <c r="E121" s="69" t="str">
        <f aca="false">IF(Data_Farmer!DS21="","",""&amp;Data_Farmer!DS21)</f>
        <v/>
      </c>
      <c r="F121" s="69" t="str">
        <f aca="false">IF(Data_Farmer!DS22="","",""&amp;Data_Farmer!DS22)</f>
        <v>273</v>
      </c>
      <c r="G121" s="69" t="str">
        <f aca="false">IF(Data_Farmer!DS23="","",""&amp;Data_Farmer!DS23)</f>
        <v>5</v>
      </c>
      <c r="H121" s="69" t="str">
        <f aca="false">IF(Data_Farmer!DS66="","",""&amp;Data_Farmer!DS66)</f>
        <v/>
      </c>
      <c r="I121" s="69" t="str">
        <f aca="false">IF(Data_Farmer!DS26="","",""&amp;Data_Farmer!DS26)</f>
        <v/>
      </c>
      <c r="J121" s="69" t="str">
        <f aca="false">IF(Data_Farmer!DS28="","",""&amp;Data_Farmer!DS28)</f>
        <v/>
      </c>
      <c r="K121" s="69" t="str">
        <f aca="false">IF(Data_Farmer!DS37="","",""&amp;Data_Farmer!DS37)</f>
        <v>388</v>
      </c>
      <c r="L121" s="69" t="str">
        <f aca="false">IF(Data_Farmer!DS38="","",""&amp;Data_Farmer!DS38)</f>
        <v>-12</v>
      </c>
      <c r="M121" s="69" t="str">
        <f aca="false">IF(Data_Farmer!DS46="","",""&amp;Data_Farmer!DS46)</f>
        <v/>
      </c>
      <c r="N121" s="69" t="str">
        <f aca="false">IF(Data_Farmer!DS47="","",""&amp;Data_Farmer!DS47)</f>
        <v>202</v>
      </c>
      <c r="O121" s="69" t="str">
        <f aca="false">IF(Data_Farmer!DS48="","",""&amp;Data_Farmer!DS48)</f>
        <v>30</v>
      </c>
      <c r="P121" s="69" t="str">
        <f aca="false">IF(Data_Farmer!DS73="","",""&amp;Data_Farmer!DS73)</f>
        <v/>
      </c>
      <c r="Q121" s="69" t="str">
        <f aca="false">IF(Data_Farmer!DS51="","",""&amp;Data_Farmer!DS51)</f>
        <v/>
      </c>
      <c r="R121" s="69" t="str">
        <f aca="false">IF(Data_Farmer!DS53="","",""&amp;Data_Farmer!DS53)</f>
        <v/>
      </c>
    </row>
    <row r="122" customFormat="false" ht="15" hidden="false" customHeight="false" outlineLevel="0" collapsed="false">
      <c r="A122" s="69" t="str">
        <f aca="false">IF(Data_Farmer!DT85="","",""&amp;Data_Farmer!DT85)</f>
        <v>46106</v>
      </c>
      <c r="B122" s="69" t="str">
        <f aca="false">IF(Data_Farmer!DT8="","",""&amp;Data_Farmer!DT8)</f>
        <v/>
      </c>
      <c r="C122" s="69" t="str">
        <f aca="false">IF(Data_Farmer!DT12="","",""&amp;Data_Farmer!DT12)</f>
        <v>280</v>
      </c>
      <c r="D122" s="69" t="str">
        <f aca="false">IF(Data_Farmer!DT13="","",""&amp;Data_Farmer!DT13)</f>
        <v>0</v>
      </c>
      <c r="E122" s="69" t="str">
        <f aca="false">IF(Data_Farmer!DT21="","",""&amp;Data_Farmer!DT21)</f>
        <v>19</v>
      </c>
      <c r="F122" s="69" t="str">
        <f aca="false">IF(Data_Farmer!DT22="","",""&amp;Data_Farmer!DT22)</f>
        <v>292</v>
      </c>
      <c r="G122" s="69" t="str">
        <f aca="false">IF(Data_Farmer!DT23="","",""&amp;Data_Farmer!DT23)</f>
        <v>5</v>
      </c>
      <c r="H122" s="69" t="str">
        <f aca="false">IF(Data_Farmer!DT66="","",""&amp;Data_Farmer!DT66)</f>
        <v/>
      </c>
      <c r="I122" s="69" t="str">
        <f aca="false">IF(Data_Farmer!DT26="","",""&amp;Data_Farmer!DT26)</f>
        <v>20</v>
      </c>
      <c r="J122" s="69" t="str">
        <f aca="false">IF(Data_Farmer!DT28="","",""&amp;Data_Farmer!DT28)</f>
        <v/>
      </c>
      <c r="K122" s="69" t="str">
        <f aca="false">IF(Data_Farmer!DT37="","",""&amp;Data_Farmer!DT37)</f>
        <v>385</v>
      </c>
      <c r="L122" s="69" t="str">
        <f aca="false">IF(Data_Farmer!DT38="","",""&amp;Data_Farmer!DT38)</f>
        <v>-15</v>
      </c>
      <c r="M122" s="69" t="str">
        <f aca="false">IF(Data_Farmer!DT46="","",""&amp;Data_Farmer!DT46)</f>
        <v/>
      </c>
      <c r="N122" s="69" t="str">
        <f aca="false">IF(Data_Farmer!DT47="","",""&amp;Data_Farmer!DT47)</f>
        <v>202</v>
      </c>
      <c r="O122" s="69" t="str">
        <f aca="false">IF(Data_Farmer!DT48="","",""&amp;Data_Farmer!DT48)</f>
        <v>30</v>
      </c>
      <c r="P122" s="69" t="str">
        <f aca="false">IF(Data_Farmer!DT73="","",""&amp;Data_Farmer!DT73)</f>
        <v/>
      </c>
      <c r="Q122" s="69" t="str">
        <f aca="false">IF(Data_Farmer!DT51="","",""&amp;Data_Farmer!DT51)</f>
        <v/>
      </c>
      <c r="R122" s="69" t="str">
        <f aca="false">IF(Data_Farmer!DT53="","",""&amp;Data_Farmer!DT53)</f>
        <v/>
      </c>
    </row>
    <row r="123" customFormat="false" ht="15" hidden="false" customHeight="false" outlineLevel="0" collapsed="false">
      <c r="A123" s="69" t="str">
        <f aca="false">IF(Data_Farmer!DU85="","",""&amp;Data_Farmer!DU85)</f>
        <v>46107</v>
      </c>
      <c r="B123" s="69" t="str">
        <f aca="false">IF(Data_Farmer!DU8="","",""&amp;Data_Farmer!DU8)</f>
        <v>2.1</v>
      </c>
      <c r="C123" s="69" t="str">
        <f aca="false">IF(Data_Farmer!DU12="","",""&amp;Data_Farmer!DU12)</f>
        <v>281</v>
      </c>
      <c r="D123" s="69" t="str">
        <f aca="false">IF(Data_Farmer!DU13="","",""&amp;Data_Farmer!DU13)</f>
        <v>1</v>
      </c>
      <c r="E123" s="69" t="str">
        <f aca="false">IF(Data_Farmer!DU21="","",""&amp;Data_Farmer!DU21)</f>
        <v/>
      </c>
      <c r="F123" s="69" t="str">
        <f aca="false">IF(Data_Farmer!DU22="","",""&amp;Data_Farmer!DU22)</f>
        <v>292</v>
      </c>
      <c r="G123" s="69" t="str">
        <f aca="false">IF(Data_Farmer!DU23="","",""&amp;Data_Farmer!DU23)</f>
        <v>9</v>
      </c>
      <c r="H123" s="69" t="str">
        <f aca="false">IF(Data_Farmer!DU66="","",""&amp;Data_Farmer!DU66)</f>
        <v/>
      </c>
      <c r="I123" s="69" t="str">
        <f aca="false">IF(Data_Farmer!DU26="","",""&amp;Data_Farmer!DU26)</f>
        <v/>
      </c>
      <c r="J123" s="69" t="str">
        <f aca="false">IF(Data_Farmer!DU28="","",""&amp;Data_Farmer!DU28)</f>
        <v/>
      </c>
      <c r="K123" s="69" t="str">
        <f aca="false">IF(Data_Farmer!DU37="","",""&amp;Data_Farmer!DU37)</f>
        <v>385</v>
      </c>
      <c r="L123" s="69" t="str">
        <f aca="false">IF(Data_Farmer!DU38="","",""&amp;Data_Farmer!DU38)</f>
        <v>-15</v>
      </c>
      <c r="M123" s="69" t="str">
        <f aca="false">IF(Data_Farmer!DU46="","",""&amp;Data_Farmer!DU46)</f>
        <v>15</v>
      </c>
      <c r="N123" s="69" t="str">
        <f aca="false">IF(Data_Farmer!DU47="","",""&amp;Data_Farmer!DU47)</f>
        <v>217</v>
      </c>
      <c r="O123" s="69" t="str">
        <f aca="false">IF(Data_Farmer!DU48="","",""&amp;Data_Farmer!DU48)</f>
        <v>0</v>
      </c>
      <c r="P123" s="69" t="str">
        <f aca="false">IF(Data_Farmer!DU73="","",""&amp;Data_Farmer!DU73)</f>
        <v/>
      </c>
      <c r="Q123" s="69" t="str">
        <f aca="false">IF(Data_Farmer!DU51="","",""&amp;Data_Farmer!DU51)</f>
        <v>20</v>
      </c>
      <c r="R123" s="69" t="str">
        <f aca="false">IF(Data_Farmer!DU53="","",""&amp;Data_Farmer!DU53)</f>
        <v/>
      </c>
    </row>
    <row r="124" customFormat="false" ht="15" hidden="false" customHeight="false" outlineLevel="0" collapsed="false">
      <c r="A124" s="69" t="str">
        <f aca="false">IF(Data_Farmer!DV85="","",""&amp;Data_Farmer!DV85)</f>
        <v>46108</v>
      </c>
      <c r="B124" s="69" t="str">
        <f aca="false">IF(Data_Farmer!DV8="","",""&amp;Data_Farmer!DV8)</f>
        <v/>
      </c>
      <c r="C124" s="69" t="str">
        <f aca="false">IF(Data_Farmer!DV12="","",""&amp;Data_Farmer!DV12)</f>
        <v>280.7</v>
      </c>
      <c r="D124" s="69" t="str">
        <f aca="false">IF(Data_Farmer!DV13="","",""&amp;Data_Farmer!DV13)</f>
        <v>0.7</v>
      </c>
      <c r="E124" s="69" t="str">
        <f aca="false">IF(Data_Farmer!DV21="","",""&amp;Data_Farmer!DV21)</f>
        <v/>
      </c>
      <c r="F124" s="69" t="str">
        <f aca="false">IF(Data_Farmer!DV22="","",""&amp;Data_Farmer!DV22)</f>
        <v>292</v>
      </c>
      <c r="G124" s="69" t="str">
        <f aca="false">IF(Data_Farmer!DV23="","",""&amp;Data_Farmer!DV23)</f>
        <v>3</v>
      </c>
      <c r="H124" s="69" t="str">
        <f aca="false">IF(Data_Farmer!DV66="","",""&amp;Data_Farmer!DV66)</f>
        <v/>
      </c>
      <c r="I124" s="69" t="str">
        <f aca="false">IF(Data_Farmer!DV26="","",""&amp;Data_Farmer!DV26)</f>
        <v/>
      </c>
      <c r="J124" s="69" t="str">
        <f aca="false">IF(Data_Farmer!DV28="","",""&amp;Data_Farmer!DV28)</f>
        <v/>
      </c>
      <c r="K124" s="69" t="str">
        <f aca="false">IF(Data_Farmer!DV37="","",""&amp;Data_Farmer!DV37)</f>
        <v>401</v>
      </c>
      <c r="L124" s="69" t="str">
        <f aca="false">IF(Data_Farmer!DV38="","",""&amp;Data_Farmer!DV38)</f>
        <v>1</v>
      </c>
      <c r="M124" s="69" t="str">
        <f aca="false">IF(Data_Farmer!DV46="","",""&amp;Data_Farmer!DV46)</f>
        <v/>
      </c>
      <c r="N124" s="69" t="str">
        <f aca="false">IF(Data_Farmer!DV47="","",""&amp;Data_Farmer!DV47)</f>
        <v>217</v>
      </c>
      <c r="O124" s="69" t="str">
        <f aca="false">IF(Data_Farmer!DV48="","",""&amp;Data_Farmer!DV48)</f>
        <v>5</v>
      </c>
      <c r="P124" s="69" t="str">
        <f aca="false">IF(Data_Farmer!DV73="","",""&amp;Data_Farmer!DV73)</f>
        <v/>
      </c>
      <c r="Q124" s="69" t="str">
        <f aca="false">IF(Data_Farmer!DV51="","",""&amp;Data_Farmer!DV51)</f>
        <v/>
      </c>
      <c r="R124" s="69" t="str">
        <f aca="false">IF(Data_Farmer!DV53="","",""&amp;Data_Farmer!DV53)</f>
        <v/>
      </c>
    </row>
    <row r="125" customFormat="false" ht="15" hidden="false" customHeight="false" outlineLevel="0" collapsed="false">
      <c r="A125" s="69" t="str">
        <f aca="false">IF(Data_Farmer!DW85="","",""&amp;Data_Farmer!DW85)</f>
        <v>46109</v>
      </c>
      <c r="B125" s="69" t="str">
        <f aca="false">IF(Data_Farmer!DW8="","",""&amp;Data_Farmer!DW8)</f>
        <v/>
      </c>
      <c r="C125" s="69" t="str">
        <f aca="false">IF(Data_Farmer!DW12="","",""&amp;Data_Farmer!DW12)</f>
        <v>280.5</v>
      </c>
      <c r="D125" s="69" t="str">
        <f aca="false">IF(Data_Farmer!DW13="","",""&amp;Data_Farmer!DW13)</f>
        <v>0.5</v>
      </c>
      <c r="E125" s="69" t="str">
        <f aca="false">IF(Data_Farmer!DW21="","",""&amp;Data_Farmer!DW21)</f>
        <v>14</v>
      </c>
      <c r="F125" s="69" t="str">
        <f aca="false">IF(Data_Farmer!DW22="","",""&amp;Data_Farmer!DW22)</f>
        <v>306</v>
      </c>
      <c r="G125" s="69" t="str">
        <f aca="false">IF(Data_Farmer!DW23="","",""&amp;Data_Farmer!DW23)</f>
        <v>2</v>
      </c>
      <c r="H125" s="69" t="str">
        <f aca="false">IF(Data_Farmer!DW66="","",""&amp;Data_Farmer!DW66)</f>
        <v/>
      </c>
      <c r="I125" s="69" t="str">
        <f aca="false">IF(Data_Farmer!DW26="","",""&amp;Data_Farmer!DW26)</f>
        <v>20</v>
      </c>
      <c r="J125" s="69" t="str">
        <f aca="false">IF(Data_Farmer!DW28="","",""&amp;Data_Farmer!DW28)</f>
        <v/>
      </c>
      <c r="K125" s="69" t="str">
        <f aca="false">IF(Data_Farmer!DW37="","",""&amp;Data_Farmer!DW37)</f>
        <v>400.5</v>
      </c>
      <c r="L125" s="69" t="str">
        <f aca="false">IF(Data_Farmer!DW38="","",""&amp;Data_Farmer!DW38)</f>
        <v>0.5</v>
      </c>
      <c r="M125" s="69" t="str">
        <f aca="false">IF(Data_Farmer!DW46="","",""&amp;Data_Farmer!DW46)</f>
        <v/>
      </c>
      <c r="N125" s="69" t="str">
        <f aca="false">IF(Data_Farmer!DW47="","",""&amp;Data_Farmer!DW47)</f>
        <v>217</v>
      </c>
      <c r="O125" s="69" t="str">
        <f aca="false">IF(Data_Farmer!DW48="","",""&amp;Data_Farmer!DW48)</f>
        <v>5</v>
      </c>
      <c r="P125" s="69" t="str">
        <f aca="false">IF(Data_Farmer!DW73="","",""&amp;Data_Farmer!DW73)</f>
        <v/>
      </c>
      <c r="Q125" s="69" t="str">
        <f aca="false">IF(Data_Farmer!DW51="","",""&amp;Data_Farmer!DW51)</f>
        <v/>
      </c>
      <c r="R125" s="69" t="str">
        <f aca="false">IF(Data_Farmer!DW53="","",""&amp;Data_Farmer!DW53)</f>
        <v/>
      </c>
    </row>
    <row r="126" customFormat="false" ht="15" hidden="false" customHeight="false" outlineLevel="0" collapsed="false">
      <c r="A126" s="69" t="str">
        <f aca="false">IF(Data_Farmer!DX85="","",""&amp;Data_Farmer!DX85)</f>
        <v>46110</v>
      </c>
      <c r="B126" s="69" t="str">
        <f aca="false">IF(Data_Farmer!DX8="","",""&amp;Data_Farmer!DX8)</f>
        <v/>
      </c>
      <c r="C126" s="69" t="str">
        <f aca="false">IF(Data_Farmer!DX12="","",""&amp;Data_Farmer!DX12)</f>
        <v>281</v>
      </c>
      <c r="D126" s="69" t="str">
        <f aca="false">IF(Data_Farmer!DX13="","",""&amp;Data_Farmer!DX13)</f>
        <v>1</v>
      </c>
      <c r="E126" s="69" t="str">
        <f aca="false">IF(Data_Farmer!DX21="","",""&amp;Data_Farmer!DX21)</f>
        <v/>
      </c>
      <c r="F126" s="69" t="str">
        <f aca="false">IF(Data_Farmer!DX22="","",""&amp;Data_Farmer!DX22)</f>
        <v>306</v>
      </c>
      <c r="G126" s="69" t="str">
        <f aca="false">IF(Data_Farmer!DX23="","",""&amp;Data_Farmer!DX23)</f>
        <v>9</v>
      </c>
      <c r="H126" s="69" t="str">
        <f aca="false">IF(Data_Farmer!DX66="","",""&amp;Data_Farmer!DX66)</f>
        <v/>
      </c>
      <c r="I126" s="69" t="str">
        <f aca="false">IF(Data_Farmer!DX26="","",""&amp;Data_Farmer!DX26)</f>
        <v/>
      </c>
      <c r="J126" s="69" t="str">
        <f aca="false">IF(Data_Farmer!DX28="","",""&amp;Data_Farmer!DX28)</f>
        <v/>
      </c>
      <c r="K126" s="69" t="str">
        <f aca="false">IF(Data_Farmer!DX37="","",""&amp;Data_Farmer!DX37)</f>
        <v>398</v>
      </c>
      <c r="L126" s="69" t="str">
        <f aca="false">IF(Data_Farmer!DX38="","",""&amp;Data_Farmer!DX38)</f>
        <v>-2</v>
      </c>
      <c r="M126" s="69" t="str">
        <f aca="false">IF(Data_Farmer!DX46="","",""&amp;Data_Farmer!DX46)</f>
        <v/>
      </c>
      <c r="N126" s="69" t="str">
        <f aca="false">IF(Data_Farmer!DX47="","",""&amp;Data_Farmer!DX47)</f>
        <v>217</v>
      </c>
      <c r="O126" s="69" t="str">
        <f aca="false">IF(Data_Farmer!DX48="","",""&amp;Data_Farmer!DX48)</f>
        <v>25</v>
      </c>
      <c r="P126" s="69" t="str">
        <f aca="false">IF(Data_Farmer!DX73="","",""&amp;Data_Farmer!DX73)</f>
        <v/>
      </c>
      <c r="Q126" s="69" t="str">
        <f aca="false">IF(Data_Farmer!DX51="","",""&amp;Data_Farmer!DX51)</f>
        <v/>
      </c>
      <c r="R126" s="69" t="str">
        <f aca="false">IF(Data_Farmer!DX53="","",""&amp;Data_Farmer!DX53)</f>
        <v/>
      </c>
    </row>
    <row r="127" customFormat="false" ht="15" hidden="false" customHeight="false" outlineLevel="0" collapsed="false">
      <c r="A127" s="69" t="str">
        <f aca="false">IF(Data_Farmer!DY85="","",""&amp;Data_Farmer!DY85)</f>
        <v>46111</v>
      </c>
      <c r="B127" s="69" t="str">
        <f aca="false">IF(Data_Farmer!DY8="","",""&amp;Data_Farmer!DY8)</f>
        <v/>
      </c>
      <c r="C127" s="69" t="str">
        <f aca="false">IF(Data_Farmer!DY12="","",""&amp;Data_Farmer!DY12)</f>
        <v>280.7</v>
      </c>
      <c r="D127" s="69" t="str">
        <f aca="false">IF(Data_Farmer!DY13="","",""&amp;Data_Farmer!DY13)</f>
        <v>0.7</v>
      </c>
      <c r="E127" s="69" t="str">
        <f aca="false">IF(Data_Farmer!DY21="","",""&amp;Data_Farmer!DY21)</f>
        <v/>
      </c>
      <c r="F127" s="69" t="str">
        <f aca="false">IF(Data_Farmer!DY22="","",""&amp;Data_Farmer!DY22)</f>
        <v>306</v>
      </c>
      <c r="G127" s="69" t="str">
        <f aca="false">IF(Data_Farmer!DY23="","",""&amp;Data_Farmer!DY23)</f>
        <v>3</v>
      </c>
      <c r="H127" s="69" t="str">
        <f aca="false">IF(Data_Farmer!DY66="","",""&amp;Data_Farmer!DY66)</f>
        <v/>
      </c>
      <c r="I127" s="69" t="str">
        <f aca="false">IF(Data_Farmer!DY26="","",""&amp;Data_Farmer!DY26)</f>
        <v/>
      </c>
      <c r="J127" s="69" t="str">
        <f aca="false">IF(Data_Farmer!DY28="","",""&amp;Data_Farmer!DY28)</f>
        <v/>
      </c>
      <c r="K127" s="69" t="str">
        <f aca="false">IF(Data_Farmer!DY37="","",""&amp;Data_Farmer!DY37)</f>
        <v>393</v>
      </c>
      <c r="L127" s="69" t="str">
        <f aca="false">IF(Data_Farmer!DY38="","",""&amp;Data_Farmer!DY38)</f>
        <v>-7</v>
      </c>
      <c r="M127" s="69" t="str">
        <f aca="false">IF(Data_Farmer!DY46="","",""&amp;Data_Farmer!DY46)</f>
        <v/>
      </c>
      <c r="N127" s="69" t="str">
        <f aca="false">IF(Data_Farmer!DY47="","",""&amp;Data_Farmer!DY47)</f>
        <v>217</v>
      </c>
      <c r="O127" s="69" t="str">
        <f aca="false">IF(Data_Farmer!DY48="","",""&amp;Data_Farmer!DY48)</f>
        <v>50</v>
      </c>
      <c r="P127" s="69" t="str">
        <f aca="false">IF(Data_Farmer!DY73="","",""&amp;Data_Farmer!DY73)</f>
        <v/>
      </c>
      <c r="Q127" s="69" t="str">
        <f aca="false">IF(Data_Farmer!DY51="","",""&amp;Data_Farmer!DY51)</f>
        <v/>
      </c>
      <c r="R127" s="69" t="str">
        <f aca="false">IF(Data_Farmer!DY53="","",""&amp;Data_Farmer!DY53)</f>
        <v/>
      </c>
    </row>
    <row r="128" customFormat="false" ht="15" hidden="false" customHeight="false" outlineLevel="0" collapsed="false">
      <c r="A128" s="69" t="str">
        <f aca="false">IF(Data_Farmer!DZ85="","",""&amp;Data_Farmer!DZ85)</f>
        <v>46112</v>
      </c>
      <c r="B128" s="69" t="str">
        <f aca="false">IF(Data_Farmer!DZ8="","",""&amp;Data_Farmer!DZ8)</f>
        <v/>
      </c>
      <c r="C128" s="69" t="str">
        <f aca="false">IF(Data_Farmer!DZ12="","",""&amp;Data_Farmer!DZ12)</f>
        <v>280.5</v>
      </c>
      <c r="D128" s="69" t="str">
        <f aca="false">IF(Data_Farmer!DZ13="","",""&amp;Data_Farmer!DZ13)</f>
        <v>0.5</v>
      </c>
      <c r="E128" s="69" t="str">
        <f aca="false">IF(Data_Farmer!DZ21="","",""&amp;Data_Farmer!DZ21)</f>
        <v/>
      </c>
      <c r="F128" s="69" t="str">
        <f aca="false">IF(Data_Farmer!DZ22="","",""&amp;Data_Farmer!DZ22)</f>
        <v>306</v>
      </c>
      <c r="G128" s="69" t="str">
        <f aca="false">IF(Data_Farmer!DZ23="","",""&amp;Data_Farmer!DZ23)</f>
        <v>2</v>
      </c>
      <c r="H128" s="69" t="str">
        <f aca="false">IF(Data_Farmer!DZ66="","",""&amp;Data_Farmer!DZ66)</f>
        <v/>
      </c>
      <c r="I128" s="69" t="str">
        <f aca="false">IF(Data_Farmer!DZ26="","",""&amp;Data_Farmer!DZ26)</f>
        <v/>
      </c>
      <c r="J128" s="69" t="str">
        <f aca="false">IF(Data_Farmer!DZ28="","",""&amp;Data_Farmer!DZ28)</f>
        <v/>
      </c>
      <c r="K128" s="69" t="str">
        <f aca="false">IF(Data_Farmer!DZ37="","",""&amp;Data_Farmer!DZ37)</f>
        <v>388</v>
      </c>
      <c r="L128" s="69" t="str">
        <f aca="false">IF(Data_Farmer!DZ38="","",""&amp;Data_Farmer!DZ38)</f>
        <v>-12</v>
      </c>
      <c r="M128" s="69" t="str">
        <f aca="false">IF(Data_Farmer!DZ46="","",""&amp;Data_Farmer!DZ46)</f>
        <v/>
      </c>
      <c r="N128" s="69" t="str">
        <f aca="false">IF(Data_Farmer!DZ47="","",""&amp;Data_Farmer!DZ47)</f>
        <v>217</v>
      </c>
      <c r="O128" s="69" t="str">
        <f aca="false">IF(Data_Farmer!DZ48="","",""&amp;Data_Farmer!DZ48)</f>
        <v>50</v>
      </c>
      <c r="P128" s="69" t="str">
        <f aca="false">IF(Data_Farmer!DZ73="","",""&amp;Data_Farmer!DZ73)</f>
        <v/>
      </c>
      <c r="Q128" s="69" t="str">
        <f aca="false">IF(Data_Farmer!DZ51="","",""&amp;Data_Farmer!DZ51)</f>
        <v/>
      </c>
      <c r="R128" s="69" t="str">
        <f aca="false">IF(Data_Farmer!DZ53="","",""&amp;Data_Farmer!DZ53)</f>
        <v/>
      </c>
    </row>
    <row r="129" customFormat="false" ht="15" hidden="false" customHeight="false" outlineLevel="0" collapsed="false">
      <c r="A129" s="69" t="str">
        <f aca="false">IF(Data_Farmer!EA85="","",""&amp;Data_Farmer!EA85)</f>
        <v>46113</v>
      </c>
      <c r="B129" s="69" t="str">
        <f aca="false">IF(Data_Farmer!EA8="","",""&amp;Data_Farmer!EA8)</f>
        <v/>
      </c>
      <c r="C129" s="69" t="str">
        <f aca="false">IF(Data_Farmer!EA12="","",""&amp;Data_Farmer!EA12)</f>
        <v>280.1</v>
      </c>
      <c r="D129" s="69" t="str">
        <f aca="false">IF(Data_Farmer!EA13="","",""&amp;Data_Farmer!EA13)</f>
        <v>0.1</v>
      </c>
      <c r="E129" s="69" t="str">
        <f aca="false">IF(Data_Farmer!EA21="","",""&amp;Data_Farmer!EA21)</f>
        <v>20</v>
      </c>
      <c r="F129" s="69" t="str">
        <f aca="false">IF(Data_Farmer!EA22="","",""&amp;Data_Farmer!EA22)</f>
        <v>326</v>
      </c>
      <c r="G129" s="69" t="str">
        <f aca="false">IF(Data_Farmer!EA23="","",""&amp;Data_Farmer!EA23)</f>
        <v>4</v>
      </c>
      <c r="H129" s="69" t="str">
        <f aca="false">IF(Data_Farmer!EA66="","",""&amp;Data_Farmer!EA66)</f>
        <v/>
      </c>
      <c r="I129" s="69" t="str">
        <f aca="false">IF(Data_Farmer!EA26="","",""&amp;Data_Farmer!EA26)</f>
        <v>20</v>
      </c>
      <c r="J129" s="69" t="str">
        <f aca="false">IF(Data_Farmer!EA28="","",""&amp;Data_Farmer!EA28)</f>
        <v/>
      </c>
      <c r="K129" s="69" t="str">
        <f aca="false">IF(Data_Farmer!EA37="","",""&amp;Data_Farmer!EA37)</f>
        <v>385</v>
      </c>
      <c r="L129" s="69" t="str">
        <f aca="false">IF(Data_Farmer!EA38="","",""&amp;Data_Farmer!EA38)</f>
        <v>-15</v>
      </c>
      <c r="M129" s="69" t="str">
        <f aca="false">IF(Data_Farmer!EA46="","",""&amp;Data_Farmer!EA46)</f>
        <v/>
      </c>
      <c r="N129" s="69" t="str">
        <f aca="false">IF(Data_Farmer!EA47="","",""&amp;Data_Farmer!EA47)</f>
        <v>217</v>
      </c>
      <c r="O129" s="69" t="str">
        <f aca="false">IF(Data_Farmer!EA48="","",""&amp;Data_Farmer!EA48)</f>
        <v>30</v>
      </c>
      <c r="P129" s="69" t="str">
        <f aca="false">IF(Data_Farmer!EA73="","",""&amp;Data_Farmer!EA73)</f>
        <v/>
      </c>
      <c r="Q129" s="69" t="str">
        <f aca="false">IF(Data_Farmer!EA51="","",""&amp;Data_Farmer!EA51)</f>
        <v/>
      </c>
      <c r="R129" s="69" t="str">
        <f aca="false">IF(Data_Farmer!EA53="","",""&amp;Data_Farmer!EA53)</f>
        <v/>
      </c>
    </row>
    <row r="130" customFormat="false" ht="15" hidden="false" customHeight="false" outlineLevel="0" collapsed="false">
      <c r="A130" s="69" t="str">
        <f aca="false">IF(Data_Farmer!EB85="","",""&amp;Data_Farmer!EB85)</f>
        <v>46114</v>
      </c>
      <c r="B130" s="69" t="str">
        <f aca="false">IF(Data_Farmer!EB8="","",""&amp;Data_Farmer!EB8)</f>
        <v>7.3</v>
      </c>
      <c r="C130" s="69" t="str">
        <f aca="false">IF(Data_Farmer!EB12="","",""&amp;Data_Farmer!EB12)</f>
        <v>281.5</v>
      </c>
      <c r="D130" s="69" t="str">
        <f aca="false">IF(Data_Farmer!EB13="","",""&amp;Data_Farmer!EB13)</f>
        <v>1.5</v>
      </c>
      <c r="E130" s="69" t="str">
        <f aca="false">IF(Data_Farmer!EB21="","",""&amp;Data_Farmer!EB21)</f>
        <v/>
      </c>
      <c r="F130" s="69" t="str">
        <f aca="false">IF(Data_Farmer!EB22="","",""&amp;Data_Farmer!EB22)</f>
        <v>326</v>
      </c>
      <c r="G130" s="69" t="str">
        <f aca="false">IF(Data_Farmer!EB23="","",""&amp;Data_Farmer!EB23)</f>
        <v>6</v>
      </c>
      <c r="H130" s="69" t="str">
        <f aca="false">IF(Data_Farmer!EB66="","",""&amp;Data_Farmer!EB66)</f>
        <v/>
      </c>
      <c r="I130" s="69" t="str">
        <f aca="false">IF(Data_Farmer!EB26="","",""&amp;Data_Farmer!EB26)</f>
        <v/>
      </c>
      <c r="J130" s="69" t="str">
        <f aca="false">IF(Data_Farmer!EB28="","",""&amp;Data_Farmer!EB28)</f>
        <v/>
      </c>
      <c r="K130" s="69" t="str">
        <f aca="false">IF(Data_Farmer!EB37="","",""&amp;Data_Farmer!EB37)</f>
        <v>385</v>
      </c>
      <c r="L130" s="69" t="str">
        <f aca="false">IF(Data_Farmer!EB38="","",""&amp;Data_Farmer!EB38)</f>
        <v>-15</v>
      </c>
      <c r="M130" s="69" t="str">
        <f aca="false">IF(Data_Farmer!EB46="","",""&amp;Data_Farmer!EB46)</f>
        <v>15</v>
      </c>
      <c r="N130" s="69" t="str">
        <f aca="false">IF(Data_Farmer!EB47="","",""&amp;Data_Farmer!EB47)</f>
        <v>232</v>
      </c>
      <c r="O130" s="69" t="str">
        <f aca="false">IF(Data_Farmer!EB48="","",""&amp;Data_Farmer!EB48)</f>
        <v>0</v>
      </c>
      <c r="P130" s="69" t="str">
        <f aca="false">IF(Data_Farmer!EB73="","",""&amp;Data_Farmer!EB73)</f>
        <v/>
      </c>
      <c r="Q130" s="69" t="str">
        <f aca="false">IF(Data_Farmer!EB51="","",""&amp;Data_Farmer!EB51)</f>
        <v>20</v>
      </c>
      <c r="R130" s="69" t="str">
        <f aca="false">IF(Data_Farmer!EB53="","",""&amp;Data_Farmer!EB53)</f>
        <v/>
      </c>
    </row>
    <row r="131" customFormat="false" ht="15" hidden="false" customHeight="false" outlineLevel="0" collapsed="false">
      <c r="A131" s="69" t="str">
        <f aca="false">IF(Data_Farmer!EC85="","",""&amp;Data_Farmer!EC85)</f>
        <v>46115</v>
      </c>
      <c r="B131" s="69" t="str">
        <f aca="false">IF(Data_Farmer!EC8="","",""&amp;Data_Farmer!EC8)</f>
        <v>2</v>
      </c>
      <c r="C131" s="69" t="str">
        <f aca="false">IF(Data_Farmer!EC12="","",""&amp;Data_Farmer!EC12)</f>
        <v>281</v>
      </c>
      <c r="D131" s="69" t="str">
        <f aca="false">IF(Data_Farmer!EC13="","",""&amp;Data_Farmer!EC13)</f>
        <v>1</v>
      </c>
      <c r="E131" s="69" t="str">
        <f aca="false">IF(Data_Farmer!EC21="","",""&amp;Data_Farmer!EC21)</f>
        <v/>
      </c>
      <c r="F131" s="69" t="str">
        <f aca="false">IF(Data_Farmer!EC22="","",""&amp;Data_Farmer!EC22)</f>
        <v>326</v>
      </c>
      <c r="G131" s="69" t="str">
        <f aca="false">IF(Data_Farmer!EC23="","",""&amp;Data_Farmer!EC23)</f>
        <v>5</v>
      </c>
      <c r="H131" s="69" t="str">
        <f aca="false">IF(Data_Farmer!EC66="","",""&amp;Data_Farmer!EC66)</f>
        <v/>
      </c>
      <c r="I131" s="69" t="str">
        <f aca="false">IF(Data_Farmer!EC26="","",""&amp;Data_Farmer!EC26)</f>
        <v/>
      </c>
      <c r="J131" s="69" t="str">
        <f aca="false">IF(Data_Farmer!EC28="","",""&amp;Data_Farmer!EC28)</f>
        <v/>
      </c>
      <c r="K131" s="69" t="str">
        <f aca="false">IF(Data_Farmer!EC37="","",""&amp;Data_Farmer!EC37)</f>
        <v>401.5</v>
      </c>
      <c r="L131" s="69" t="str">
        <f aca="false">IF(Data_Farmer!EC38="","",""&amp;Data_Farmer!EC38)</f>
        <v>1.5</v>
      </c>
      <c r="M131" s="69" t="str">
        <f aca="false">IF(Data_Farmer!EC46="","",""&amp;Data_Farmer!EC46)</f>
        <v/>
      </c>
      <c r="N131" s="69" t="str">
        <f aca="false">IF(Data_Farmer!EC47="","",""&amp;Data_Farmer!EC47)</f>
        <v>232</v>
      </c>
      <c r="O131" s="69" t="str">
        <f aca="false">IF(Data_Farmer!EC48="","",""&amp;Data_Farmer!EC48)</f>
        <v>0</v>
      </c>
      <c r="P131" s="69" t="str">
        <f aca="false">IF(Data_Farmer!EC73="","",""&amp;Data_Farmer!EC73)</f>
        <v/>
      </c>
      <c r="Q131" s="69" t="str">
        <f aca="false">IF(Data_Farmer!EC51="","",""&amp;Data_Farmer!EC51)</f>
        <v/>
      </c>
      <c r="R131" s="69" t="str">
        <f aca="false">IF(Data_Farmer!EC53="","",""&amp;Data_Farmer!EC53)</f>
        <v/>
      </c>
    </row>
    <row r="132" customFormat="false" ht="15" hidden="false" customHeight="false" outlineLevel="0" collapsed="false">
      <c r="A132" s="69" t="str">
        <f aca="false">IF(Data_Farmer!ED85="","",""&amp;Data_Farmer!ED85)</f>
        <v>46116</v>
      </c>
      <c r="B132" s="69" t="str">
        <f aca="false">IF(Data_Farmer!ED8="","",""&amp;Data_Farmer!ED8)</f>
        <v>1.1</v>
      </c>
      <c r="C132" s="69" t="str">
        <f aca="false">IF(Data_Farmer!ED12="","",""&amp;Data_Farmer!ED12)</f>
        <v>280.7</v>
      </c>
      <c r="D132" s="69" t="str">
        <f aca="false">IF(Data_Farmer!ED13="","",""&amp;Data_Farmer!ED13)</f>
        <v>0.7</v>
      </c>
      <c r="E132" s="69" t="str">
        <f aca="false">IF(Data_Farmer!ED21="","",""&amp;Data_Farmer!ED21)</f>
        <v/>
      </c>
      <c r="F132" s="69" t="str">
        <f aca="false">IF(Data_Farmer!ED22="","",""&amp;Data_Farmer!ED22)</f>
        <v>326</v>
      </c>
      <c r="G132" s="69" t="str">
        <f aca="false">IF(Data_Farmer!ED23="","",""&amp;Data_Farmer!ED23)</f>
        <v>3</v>
      </c>
      <c r="H132" s="69" t="str">
        <f aca="false">IF(Data_Farmer!ED66="","",""&amp;Data_Farmer!ED66)</f>
        <v/>
      </c>
      <c r="I132" s="69" t="str">
        <f aca="false">IF(Data_Farmer!ED26="","",""&amp;Data_Farmer!ED26)</f>
        <v/>
      </c>
      <c r="J132" s="69" t="str">
        <f aca="false">IF(Data_Farmer!ED28="","",""&amp;Data_Farmer!ED28)</f>
        <v/>
      </c>
      <c r="K132" s="69" t="str">
        <f aca="false">IF(Data_Farmer!ED37="","",""&amp;Data_Farmer!ED37)</f>
        <v>400.3</v>
      </c>
      <c r="L132" s="69" t="str">
        <f aca="false">IF(Data_Farmer!ED38="","",""&amp;Data_Farmer!ED38)</f>
        <v>0.3</v>
      </c>
      <c r="M132" s="69" t="str">
        <f aca="false">IF(Data_Farmer!ED46="","",""&amp;Data_Farmer!ED46)</f>
        <v/>
      </c>
      <c r="N132" s="69" t="str">
        <f aca="false">IF(Data_Farmer!ED47="","",""&amp;Data_Farmer!ED47)</f>
        <v>232</v>
      </c>
      <c r="O132" s="69" t="str">
        <f aca="false">IF(Data_Farmer!ED48="","",""&amp;Data_Farmer!ED48)</f>
        <v>12</v>
      </c>
      <c r="P132" s="69" t="str">
        <f aca="false">IF(Data_Farmer!ED73="","",""&amp;Data_Farmer!ED73)</f>
        <v/>
      </c>
      <c r="Q132" s="69" t="str">
        <f aca="false">IF(Data_Farmer!ED51="","",""&amp;Data_Farmer!ED51)</f>
        <v/>
      </c>
      <c r="R132" s="69" t="str">
        <f aca="false">IF(Data_Farmer!ED53="","",""&amp;Data_Farmer!ED53)</f>
        <v/>
      </c>
    </row>
    <row r="133" customFormat="false" ht="15" hidden="false" customHeight="false" outlineLevel="0" collapsed="false">
      <c r="A133" s="69" t="str">
        <f aca="false">IF(Data_Farmer!EE85="","",""&amp;Data_Farmer!EE85)</f>
        <v>46117</v>
      </c>
      <c r="B133" s="69" t="str">
        <f aca="false">IF(Data_Farmer!EE8="","",""&amp;Data_Farmer!EE8)</f>
        <v>21.1</v>
      </c>
      <c r="C133" s="69" t="str">
        <f aca="false">IF(Data_Farmer!EE12="","",""&amp;Data_Farmer!EE12)</f>
        <v>282</v>
      </c>
      <c r="D133" s="69" t="str">
        <f aca="false">IF(Data_Farmer!EE13="","",""&amp;Data_Farmer!EE13)</f>
        <v>2</v>
      </c>
      <c r="E133" s="69" t="str">
        <f aca="false">IF(Data_Farmer!EE21="","",""&amp;Data_Farmer!EE21)</f>
        <v/>
      </c>
      <c r="F133" s="69" t="str">
        <f aca="false">IF(Data_Farmer!EE22="","",""&amp;Data_Farmer!EE22)</f>
        <v>326</v>
      </c>
      <c r="G133" s="69" t="str">
        <f aca="false">IF(Data_Farmer!EE23="","",""&amp;Data_Farmer!EE23)</f>
        <v>-13</v>
      </c>
      <c r="H133" s="69" t="str">
        <f aca="false">IF(Data_Farmer!EE66="","",""&amp;Data_Farmer!EE66)</f>
        <v/>
      </c>
      <c r="I133" s="69" t="str">
        <f aca="false">IF(Data_Farmer!EE26="","",""&amp;Data_Farmer!EE26)</f>
        <v/>
      </c>
      <c r="J133" s="69" t="str">
        <f aca="false">IF(Data_Farmer!EE28="","",""&amp;Data_Farmer!EE28)</f>
        <v/>
      </c>
      <c r="K133" s="69" t="str">
        <f aca="false">IF(Data_Farmer!EE37="","",""&amp;Data_Farmer!EE37)</f>
        <v>402</v>
      </c>
      <c r="L133" s="69" t="str">
        <f aca="false">IF(Data_Farmer!EE38="","",""&amp;Data_Farmer!EE38)</f>
        <v>2</v>
      </c>
      <c r="M133" s="69" t="str">
        <f aca="false">IF(Data_Farmer!EE46="","",""&amp;Data_Farmer!EE46)</f>
        <v/>
      </c>
      <c r="N133" s="69" t="str">
        <f aca="false">IF(Data_Farmer!EE47="","",""&amp;Data_Farmer!EE47)</f>
        <v>232</v>
      </c>
      <c r="O133" s="69" t="str">
        <f aca="false">IF(Data_Farmer!EE48="","",""&amp;Data_Farmer!EE48)</f>
        <v>-17</v>
      </c>
      <c r="P133" s="69" t="str">
        <f aca="false">IF(Data_Farmer!EE73="","",""&amp;Data_Farmer!EE73)</f>
        <v/>
      </c>
      <c r="Q133" s="69" t="str">
        <f aca="false">IF(Data_Farmer!EE51="","",""&amp;Data_Farmer!EE51)</f>
        <v/>
      </c>
      <c r="R133" s="69" t="str">
        <f aca="false">IF(Data_Farmer!EE53="","",""&amp;Data_Farmer!EE53)</f>
        <v/>
      </c>
    </row>
    <row r="134" customFormat="false" ht="15" hidden="false" customHeight="false" outlineLevel="0" collapsed="false">
      <c r="A134" s="69" t="str">
        <f aca="false">IF(Data_Farmer!EF85="","",""&amp;Data_Farmer!EF85)</f>
        <v>46118</v>
      </c>
      <c r="B134" s="69" t="str">
        <f aca="false">IF(Data_Farmer!EF8="","",""&amp;Data_Farmer!EF8)</f>
        <v/>
      </c>
      <c r="C134" s="69" t="str">
        <f aca="false">IF(Data_Farmer!EF12="","",""&amp;Data_Farmer!EF12)</f>
        <v>281.7</v>
      </c>
      <c r="D134" s="69" t="str">
        <f aca="false">IF(Data_Farmer!EF13="","",""&amp;Data_Farmer!EF13)</f>
        <v>1.7</v>
      </c>
      <c r="E134" s="69" t="str">
        <f aca="false">IF(Data_Farmer!EF21="","",""&amp;Data_Farmer!EF21)</f>
        <v/>
      </c>
      <c r="F134" s="69" t="str">
        <f aca="false">IF(Data_Farmer!EF22="","",""&amp;Data_Farmer!EF22)</f>
        <v>326</v>
      </c>
      <c r="G134" s="69" t="str">
        <f aca="false">IF(Data_Farmer!EF23="","",""&amp;Data_Farmer!EF23)</f>
        <v>3</v>
      </c>
      <c r="H134" s="69" t="str">
        <f aca="false">IF(Data_Farmer!EF66="","",""&amp;Data_Farmer!EF66)</f>
        <v/>
      </c>
      <c r="I134" s="69" t="str">
        <f aca="false">IF(Data_Farmer!EF26="","",""&amp;Data_Farmer!EF26)</f>
        <v/>
      </c>
      <c r="J134" s="69" t="str">
        <f aca="false">IF(Data_Farmer!EF28="","",""&amp;Data_Farmer!EF28)</f>
        <v/>
      </c>
      <c r="K134" s="69" t="str">
        <f aca="false">IF(Data_Farmer!EF37="","",""&amp;Data_Farmer!EF37)</f>
        <v>399</v>
      </c>
      <c r="L134" s="69" t="str">
        <f aca="false">IF(Data_Farmer!EF38="","",""&amp;Data_Farmer!EF38)</f>
        <v>-1</v>
      </c>
      <c r="M134" s="69" t="str">
        <f aca="false">IF(Data_Farmer!EF46="","",""&amp;Data_Farmer!EF46)</f>
        <v/>
      </c>
      <c r="N134" s="69" t="str">
        <f aca="false">IF(Data_Farmer!EF47="","",""&amp;Data_Farmer!EF47)</f>
        <v>232</v>
      </c>
      <c r="O134" s="69" t="str">
        <f aca="false">IF(Data_Farmer!EF48="","",""&amp;Data_Farmer!EF48)</f>
        <v>30</v>
      </c>
      <c r="P134" s="69" t="str">
        <f aca="false">IF(Data_Farmer!EF73="","",""&amp;Data_Farmer!EF73)</f>
        <v/>
      </c>
      <c r="Q134" s="69" t="str">
        <f aca="false">IF(Data_Farmer!EF51="","",""&amp;Data_Farmer!EF51)</f>
        <v/>
      </c>
      <c r="R134" s="69" t="str">
        <f aca="false">IF(Data_Farmer!EF53="","",""&amp;Data_Farmer!EF53)</f>
        <v/>
      </c>
    </row>
    <row r="135" customFormat="false" ht="15" hidden="false" customHeight="false" outlineLevel="0" collapsed="false">
      <c r="A135" s="69" t="str">
        <f aca="false">IF(Data_Farmer!EG85="","",""&amp;Data_Farmer!EG85)</f>
        <v>46119</v>
      </c>
      <c r="B135" s="69" t="str">
        <f aca="false">IF(Data_Farmer!EG8="","",""&amp;Data_Farmer!EG8)</f>
        <v/>
      </c>
      <c r="C135" s="69" t="str">
        <f aca="false">IF(Data_Farmer!EG12="","",""&amp;Data_Farmer!EG12)</f>
        <v>281</v>
      </c>
      <c r="D135" s="69" t="str">
        <f aca="false">IF(Data_Farmer!EG13="","",""&amp;Data_Farmer!EG13)</f>
        <v>1</v>
      </c>
      <c r="E135" s="69" t="str">
        <f aca="false">IF(Data_Farmer!EG21="","",""&amp;Data_Farmer!EG21)</f>
        <v/>
      </c>
      <c r="F135" s="69" t="str">
        <f aca="false">IF(Data_Farmer!EG22="","",""&amp;Data_Farmer!EG22)</f>
        <v>326</v>
      </c>
      <c r="G135" s="69" t="str">
        <f aca="false">IF(Data_Farmer!EG23="","",""&amp;Data_Farmer!EG23)</f>
        <v>7</v>
      </c>
      <c r="H135" s="69" t="str">
        <f aca="false">IF(Data_Farmer!EG66="","",""&amp;Data_Farmer!EG66)</f>
        <v/>
      </c>
      <c r="I135" s="69" t="str">
        <f aca="false">IF(Data_Farmer!EG26="","",""&amp;Data_Farmer!EG26)</f>
        <v/>
      </c>
      <c r="J135" s="69" t="str">
        <f aca="false">IF(Data_Farmer!EG28="","",""&amp;Data_Farmer!EG28)</f>
        <v/>
      </c>
      <c r="K135" s="69" t="str">
        <f aca="false">IF(Data_Farmer!EG37="","",""&amp;Data_Farmer!EG37)</f>
        <v>394.3</v>
      </c>
      <c r="L135" s="69" t="str">
        <f aca="false">IF(Data_Farmer!EG38="","",""&amp;Data_Farmer!EG38)</f>
        <v>-5.7</v>
      </c>
      <c r="M135" s="69" t="str">
        <f aca="false">IF(Data_Farmer!EG46="","",""&amp;Data_Farmer!EG46)</f>
        <v/>
      </c>
      <c r="N135" s="69" t="str">
        <f aca="false">IF(Data_Farmer!EG47="","",""&amp;Data_Farmer!EG47)</f>
        <v>232</v>
      </c>
      <c r="O135" s="69" t="str">
        <f aca="false">IF(Data_Farmer!EG48="","",""&amp;Data_Farmer!EG48)</f>
        <v>47</v>
      </c>
      <c r="P135" s="69" t="str">
        <f aca="false">IF(Data_Farmer!EG73="","",""&amp;Data_Farmer!EG73)</f>
        <v/>
      </c>
      <c r="Q135" s="69" t="str">
        <f aca="false">IF(Data_Farmer!EG51="","",""&amp;Data_Farmer!EG51)</f>
        <v/>
      </c>
      <c r="R135" s="69" t="str">
        <f aca="false">IF(Data_Farmer!EG53="","",""&amp;Data_Farmer!EG53)</f>
        <v/>
      </c>
    </row>
    <row r="136" customFormat="false" ht="15" hidden="false" customHeight="false" outlineLevel="0" collapsed="false">
      <c r="A136" s="69" t="str">
        <f aca="false">IF(Data_Farmer!EH85="","",""&amp;Data_Farmer!EH85)</f>
        <v>46120</v>
      </c>
      <c r="B136" s="69" t="str">
        <f aca="false">IF(Data_Farmer!EH8="","",""&amp;Data_Farmer!EH8)</f>
        <v/>
      </c>
      <c r="C136" s="69" t="str">
        <f aca="false">IF(Data_Farmer!EH12="","",""&amp;Data_Farmer!EH12)</f>
        <v>280.6</v>
      </c>
      <c r="D136" s="69" t="str">
        <f aca="false">IF(Data_Farmer!EH13="","",""&amp;Data_Farmer!EH13)</f>
        <v>0.6</v>
      </c>
      <c r="E136" s="69" t="str">
        <f aca="false">IF(Data_Farmer!EH21="","",""&amp;Data_Farmer!EH21)</f>
        <v>13</v>
      </c>
      <c r="F136" s="69" t="str">
        <f aca="false">IF(Data_Farmer!EH22="","",""&amp;Data_Farmer!EH22)</f>
        <v>339</v>
      </c>
      <c r="G136" s="69" t="str">
        <f aca="false">IF(Data_Farmer!EH23="","",""&amp;Data_Farmer!EH23)</f>
        <v>4</v>
      </c>
      <c r="H136" s="69" t="str">
        <f aca="false">IF(Data_Farmer!EH66="","",""&amp;Data_Farmer!EH66)</f>
        <v/>
      </c>
      <c r="I136" s="69" t="str">
        <f aca="false">IF(Data_Farmer!EH26="","",""&amp;Data_Farmer!EH26)</f>
        <v>20</v>
      </c>
      <c r="J136" s="69" t="str">
        <f aca="false">IF(Data_Farmer!EH28="","",""&amp;Data_Farmer!EH28)</f>
        <v/>
      </c>
      <c r="K136" s="69" t="str">
        <f aca="false">IF(Data_Farmer!EH37="","",""&amp;Data_Farmer!EH37)</f>
        <v>389</v>
      </c>
      <c r="L136" s="69" t="str">
        <f aca="false">IF(Data_Farmer!EH38="","",""&amp;Data_Farmer!EH38)</f>
        <v>-11</v>
      </c>
      <c r="M136" s="69" t="str">
        <f aca="false">IF(Data_Farmer!EH46="","",""&amp;Data_Farmer!EH46)</f>
        <v/>
      </c>
      <c r="N136" s="69" t="str">
        <f aca="false">IF(Data_Farmer!EH47="","",""&amp;Data_Farmer!EH47)</f>
        <v>232</v>
      </c>
      <c r="O136" s="69" t="str">
        <f aca="false">IF(Data_Farmer!EH48="","",""&amp;Data_Farmer!EH48)</f>
        <v>53</v>
      </c>
      <c r="P136" s="69" t="str">
        <f aca="false">IF(Data_Farmer!EH73="","",""&amp;Data_Farmer!EH73)</f>
        <v/>
      </c>
      <c r="Q136" s="69" t="str">
        <f aca="false">IF(Data_Farmer!EH51="","",""&amp;Data_Farmer!EH51)</f>
        <v/>
      </c>
      <c r="R136" s="69" t="str">
        <f aca="false">IF(Data_Farmer!EH53="","",""&amp;Data_Farmer!EH53)</f>
        <v/>
      </c>
    </row>
    <row r="137" customFormat="false" ht="15" hidden="false" customHeight="false" outlineLevel="0" collapsed="false">
      <c r="A137" s="69" t="str">
        <f aca="false">IF(Data_Farmer!EI85="","",""&amp;Data_Farmer!EI85)</f>
        <v>46121</v>
      </c>
      <c r="B137" s="69" t="str">
        <f aca="false">IF(Data_Farmer!EI8="","",""&amp;Data_Farmer!EI8)</f>
        <v/>
      </c>
      <c r="C137" s="69" t="str">
        <f aca="false">IF(Data_Farmer!EI12="","",""&amp;Data_Farmer!EI12)</f>
        <v>281.5</v>
      </c>
      <c r="D137" s="69" t="str">
        <f aca="false">IF(Data_Farmer!EI13="","",""&amp;Data_Farmer!EI13)</f>
        <v>1.5</v>
      </c>
      <c r="E137" s="69" t="str">
        <f aca="false">IF(Data_Farmer!EI21="","",""&amp;Data_Farmer!EI21)</f>
        <v/>
      </c>
      <c r="F137" s="69" t="str">
        <f aca="false">IF(Data_Farmer!EI22="","",""&amp;Data_Farmer!EI22)</f>
        <v>339</v>
      </c>
      <c r="G137" s="69" t="str">
        <f aca="false">IF(Data_Farmer!EI23="","",""&amp;Data_Farmer!EI23)</f>
        <v>4</v>
      </c>
      <c r="H137" s="69" t="str">
        <f aca="false">IF(Data_Farmer!EI66="","",""&amp;Data_Farmer!EI66)</f>
        <v/>
      </c>
      <c r="I137" s="69" t="str">
        <f aca="false">IF(Data_Farmer!EI26="","",""&amp;Data_Farmer!EI26)</f>
        <v/>
      </c>
      <c r="J137" s="69" t="str">
        <f aca="false">IF(Data_Farmer!EI28="","",""&amp;Data_Farmer!EI28)</f>
        <v/>
      </c>
      <c r="K137" s="69" t="str">
        <f aca="false">IF(Data_Farmer!EI37="","",""&amp;Data_Farmer!EI37)</f>
        <v>386</v>
      </c>
      <c r="L137" s="69" t="str">
        <f aca="false">IF(Data_Farmer!EI38="","",""&amp;Data_Farmer!EI38)</f>
        <v>-14</v>
      </c>
      <c r="M137" s="69" t="str">
        <f aca="false">IF(Data_Farmer!EI46="","",""&amp;Data_Farmer!EI46)</f>
        <v/>
      </c>
      <c r="N137" s="69" t="str">
        <f aca="false">IF(Data_Farmer!EI47="","",""&amp;Data_Farmer!EI47)</f>
        <v>232</v>
      </c>
      <c r="O137" s="69" t="str">
        <f aca="false">IF(Data_Farmer!EI48="","",""&amp;Data_Farmer!EI48)</f>
        <v>30</v>
      </c>
      <c r="P137" s="69" t="str">
        <f aca="false">IF(Data_Farmer!EI73="","",""&amp;Data_Farmer!EI73)</f>
        <v/>
      </c>
      <c r="Q137" s="69" t="str">
        <f aca="false">IF(Data_Farmer!EI51="","",""&amp;Data_Farmer!EI51)</f>
        <v/>
      </c>
      <c r="R137" s="69" t="str">
        <f aca="false">IF(Data_Farmer!EI53="","",""&amp;Data_Farmer!EI53)</f>
        <v/>
      </c>
    </row>
    <row r="138" customFormat="false" ht="15" hidden="false" customHeight="false" outlineLevel="0" collapsed="false">
      <c r="A138" s="69" t="str">
        <f aca="false">IF(Data_Farmer!EJ85="","",""&amp;Data_Farmer!EJ85)</f>
        <v>46122</v>
      </c>
      <c r="B138" s="69" t="str">
        <f aca="false">IF(Data_Farmer!EJ8="","",""&amp;Data_Farmer!EJ8)</f>
        <v/>
      </c>
      <c r="C138" s="69" t="str">
        <f aca="false">IF(Data_Farmer!EJ12="","",""&amp;Data_Farmer!EJ12)</f>
        <v>281</v>
      </c>
      <c r="D138" s="69" t="str">
        <f aca="false">IF(Data_Farmer!EJ13="","",""&amp;Data_Farmer!EJ13)</f>
        <v>1</v>
      </c>
      <c r="E138" s="69" t="str">
        <f aca="false">IF(Data_Farmer!EJ21="","",""&amp;Data_Farmer!EJ21)</f>
        <v>24</v>
      </c>
      <c r="F138" s="69" t="str">
        <f aca="false">IF(Data_Farmer!EJ22="","",""&amp;Data_Farmer!EJ22)</f>
        <v>363</v>
      </c>
      <c r="G138" s="69" t="str">
        <f aca="false">IF(Data_Farmer!EJ23="","",""&amp;Data_Farmer!EJ23)</f>
        <v>5</v>
      </c>
      <c r="H138" s="69" t="str">
        <f aca="false">IF(Data_Farmer!EJ66="","",""&amp;Data_Farmer!EJ66)</f>
        <v/>
      </c>
      <c r="I138" s="69" t="str">
        <f aca="false">IF(Data_Farmer!EJ26="","",""&amp;Data_Farmer!EJ26)</f>
        <v>20</v>
      </c>
      <c r="J138" s="69" t="str">
        <f aca="false">IF(Data_Farmer!EJ28="","",""&amp;Data_Farmer!EJ28)</f>
        <v/>
      </c>
      <c r="K138" s="69" t="str">
        <f aca="false">IF(Data_Farmer!EJ37="","",""&amp;Data_Farmer!EJ37)</f>
        <v>385</v>
      </c>
      <c r="L138" s="69" t="str">
        <f aca="false">IF(Data_Farmer!EJ38="","",""&amp;Data_Farmer!EJ38)</f>
        <v>-15</v>
      </c>
      <c r="M138" s="69" t="str">
        <f aca="false">IF(Data_Farmer!EJ46="","",""&amp;Data_Farmer!EJ46)</f>
        <v>39</v>
      </c>
      <c r="N138" s="69" t="str">
        <f aca="false">IF(Data_Farmer!EJ47="","",""&amp;Data_Farmer!EJ47)</f>
        <v>271</v>
      </c>
      <c r="O138" s="69" t="str">
        <f aca="false">IF(Data_Farmer!EJ48="","",""&amp;Data_Farmer!EJ48)</f>
        <v>10</v>
      </c>
      <c r="P138" s="69" t="str">
        <f aca="false">IF(Data_Farmer!EJ73="","",""&amp;Data_Farmer!EJ73)</f>
        <v/>
      </c>
      <c r="Q138" s="69" t="str">
        <f aca="false">IF(Data_Farmer!EJ51="","",""&amp;Data_Farmer!EJ51)</f>
        <v>20</v>
      </c>
      <c r="R138" s="69" t="str">
        <f aca="false">IF(Data_Farmer!EJ53="","",""&amp;Data_Farmer!EJ53)</f>
        <v/>
      </c>
    </row>
    <row r="139" customFormat="false" ht="15" hidden="false" customHeight="false" outlineLevel="0" collapsed="false">
      <c r="A139" s="69" t="str">
        <f aca="false">IF(Data_Farmer!EK85="","",""&amp;Data_Farmer!EK85)</f>
        <v>46123</v>
      </c>
      <c r="B139" s="69" t="str">
        <f aca="false">IF(Data_Farmer!EK8="","",""&amp;Data_Farmer!EK8)</f>
        <v/>
      </c>
      <c r="C139" s="69" t="str">
        <f aca="false">IF(Data_Farmer!EK12="","",""&amp;Data_Farmer!EK12)</f>
        <v>282.5</v>
      </c>
      <c r="D139" s="69" t="str">
        <f aca="false">IF(Data_Farmer!EK13="","",""&amp;Data_Farmer!EK13)</f>
        <v>2.5</v>
      </c>
      <c r="E139" s="69" t="str">
        <f aca="false">IF(Data_Farmer!EK21="","",""&amp;Data_Farmer!EK21)</f>
        <v/>
      </c>
      <c r="F139" s="69" t="str">
        <f aca="false">IF(Data_Farmer!EK22="","",""&amp;Data_Farmer!EK22)</f>
        <v>363</v>
      </c>
      <c r="G139" s="69" t="str">
        <f aca="false">IF(Data_Farmer!EK23="","",""&amp;Data_Farmer!EK23)</f>
        <v>9</v>
      </c>
      <c r="H139" s="69" t="str">
        <f aca="false">IF(Data_Farmer!EK66="","",""&amp;Data_Farmer!EK66)</f>
        <v/>
      </c>
      <c r="I139" s="69" t="str">
        <f aca="false">IF(Data_Farmer!EK26="","",""&amp;Data_Farmer!EK26)</f>
        <v/>
      </c>
      <c r="J139" s="69" t="str">
        <f aca="false">IF(Data_Farmer!EK28="","",""&amp;Data_Farmer!EK28)</f>
        <v/>
      </c>
      <c r="K139" s="69" t="str">
        <f aca="false">IF(Data_Farmer!EK37="","",""&amp;Data_Farmer!EK37)</f>
        <v>403</v>
      </c>
      <c r="L139" s="69" t="str">
        <f aca="false">IF(Data_Farmer!EK38="","",""&amp;Data_Farmer!EK38)</f>
        <v>3</v>
      </c>
      <c r="M139" s="69" t="str">
        <f aca="false">IF(Data_Farmer!EK46="","",""&amp;Data_Farmer!EK46)</f>
        <v/>
      </c>
      <c r="N139" s="69" t="str">
        <f aca="false">IF(Data_Farmer!EK47="","",""&amp;Data_Farmer!EK47)</f>
        <v>271</v>
      </c>
      <c r="O139" s="69" t="str">
        <f aca="false">IF(Data_Farmer!EK48="","",""&amp;Data_Farmer!EK48)</f>
        <v>9</v>
      </c>
      <c r="P139" s="69" t="str">
        <f aca="false">IF(Data_Farmer!EK73="","",""&amp;Data_Farmer!EK73)</f>
        <v/>
      </c>
      <c r="Q139" s="69" t="str">
        <f aca="false">IF(Data_Farmer!EK51="","",""&amp;Data_Farmer!EK51)</f>
        <v/>
      </c>
      <c r="R139" s="69" t="str">
        <f aca="false">IF(Data_Farmer!EK53="","",""&amp;Data_Farmer!EK53)</f>
        <v/>
      </c>
    </row>
    <row r="140" customFormat="false" ht="15" hidden="false" customHeight="false" outlineLevel="0" collapsed="false">
      <c r="A140" s="69" t="str">
        <f aca="false">IF(Data_Farmer!EL85="","",""&amp;Data_Farmer!EL85)</f>
        <v>46124</v>
      </c>
      <c r="B140" s="69" t="str">
        <f aca="false">IF(Data_Farmer!EL8="","",""&amp;Data_Farmer!EL8)</f>
        <v/>
      </c>
      <c r="C140" s="69" t="str">
        <f aca="false">IF(Data_Farmer!EL12="","",""&amp;Data_Farmer!EL12)</f>
        <v>281.5</v>
      </c>
      <c r="D140" s="69" t="str">
        <f aca="false">IF(Data_Farmer!EL13="","",""&amp;Data_Farmer!EL13)</f>
        <v>1.5</v>
      </c>
      <c r="E140" s="69" t="str">
        <f aca="false">IF(Data_Farmer!EL21="","",""&amp;Data_Farmer!EL21)</f>
        <v/>
      </c>
      <c r="F140" s="69" t="str">
        <f aca="false">IF(Data_Farmer!EL22="","",""&amp;Data_Farmer!EL22)</f>
        <v>363</v>
      </c>
      <c r="G140" s="69" t="str">
        <f aca="false">IF(Data_Farmer!EL23="","",""&amp;Data_Farmer!EL23)</f>
        <v>10</v>
      </c>
      <c r="H140" s="69" t="str">
        <f aca="false">IF(Data_Farmer!EL66="","",""&amp;Data_Farmer!EL66)</f>
        <v/>
      </c>
      <c r="I140" s="69" t="str">
        <f aca="false">IF(Data_Farmer!EL26="","",""&amp;Data_Farmer!EL26)</f>
        <v/>
      </c>
      <c r="J140" s="69" t="str">
        <f aca="false">IF(Data_Farmer!EL28="","",""&amp;Data_Farmer!EL28)</f>
        <v/>
      </c>
      <c r="K140" s="69" t="str">
        <f aca="false">IF(Data_Farmer!EL37="","",""&amp;Data_Farmer!EL37)</f>
        <v>402</v>
      </c>
      <c r="L140" s="69" t="str">
        <f aca="false">IF(Data_Farmer!EL38="","",""&amp;Data_Farmer!EL38)</f>
        <v>2</v>
      </c>
      <c r="M140" s="69" t="str">
        <f aca="false">IF(Data_Farmer!EL46="","",""&amp;Data_Farmer!EL46)</f>
        <v/>
      </c>
      <c r="N140" s="69" t="str">
        <f aca="false">IF(Data_Farmer!EL47="","",""&amp;Data_Farmer!EL47)</f>
        <v>271</v>
      </c>
      <c r="O140" s="69" t="str">
        <f aca="false">IF(Data_Farmer!EL48="","",""&amp;Data_Farmer!EL48)</f>
        <v>10</v>
      </c>
      <c r="P140" s="69" t="str">
        <f aca="false">IF(Data_Farmer!EL73="","",""&amp;Data_Farmer!EL73)</f>
        <v/>
      </c>
      <c r="Q140" s="69" t="str">
        <f aca="false">IF(Data_Farmer!EL51="","",""&amp;Data_Farmer!EL51)</f>
        <v/>
      </c>
      <c r="R140" s="69" t="str">
        <f aca="false">IF(Data_Farmer!EL53="","",""&amp;Data_Farmer!EL53)</f>
        <v/>
      </c>
    </row>
    <row r="141" customFormat="false" ht="15" hidden="false" customHeight="false" outlineLevel="0" collapsed="false">
      <c r="A141" s="69" t="str">
        <f aca="false">IF(Data_Farmer!EM85="","",""&amp;Data_Farmer!EM85)</f>
        <v>46125</v>
      </c>
      <c r="B141" s="69" t="str">
        <f aca="false">IF(Data_Farmer!EM8="","",""&amp;Data_Farmer!EM8)</f>
        <v>15.8</v>
      </c>
      <c r="C141" s="69" t="str">
        <f aca="false">IF(Data_Farmer!EM12="","",""&amp;Data_Farmer!EM12)</f>
        <v>282.5</v>
      </c>
      <c r="D141" s="69" t="str">
        <f aca="false">IF(Data_Farmer!EM13="","",""&amp;Data_Farmer!EM13)</f>
        <v>2.5</v>
      </c>
      <c r="E141" s="69" t="str">
        <f aca="false">IF(Data_Farmer!EM21="","",""&amp;Data_Farmer!EM21)</f>
        <v/>
      </c>
      <c r="F141" s="69" t="str">
        <f aca="false">IF(Data_Farmer!EM22="","",""&amp;Data_Farmer!EM22)</f>
        <v>363</v>
      </c>
      <c r="G141" s="69" t="str">
        <f aca="false">IF(Data_Farmer!EM23="","",""&amp;Data_Farmer!EM23)</f>
        <v>-10</v>
      </c>
      <c r="H141" s="69" t="str">
        <f aca="false">IF(Data_Farmer!EM66="","",""&amp;Data_Farmer!EM66)</f>
        <v/>
      </c>
      <c r="I141" s="69" t="str">
        <f aca="false">IF(Data_Farmer!EM26="","",""&amp;Data_Farmer!EM26)</f>
        <v/>
      </c>
      <c r="J141" s="69" t="str">
        <f aca="false">IF(Data_Farmer!EM28="","",""&amp;Data_Farmer!EM28)</f>
        <v/>
      </c>
      <c r="K141" s="69" t="str">
        <f aca="false">IF(Data_Farmer!EM37="","",""&amp;Data_Farmer!EM37)</f>
        <v>403</v>
      </c>
      <c r="L141" s="69" t="str">
        <f aca="false">IF(Data_Farmer!EM38="","",""&amp;Data_Farmer!EM38)</f>
        <v>3</v>
      </c>
      <c r="M141" s="69" t="str">
        <f aca="false">IF(Data_Farmer!EM46="","",""&amp;Data_Farmer!EM46)</f>
        <v/>
      </c>
      <c r="N141" s="69" t="str">
        <f aca="false">IF(Data_Farmer!EM47="","",""&amp;Data_Farmer!EM47)</f>
        <v>271</v>
      </c>
      <c r="O141" s="69" t="str">
        <f aca="false">IF(Data_Farmer!EM48="","",""&amp;Data_Farmer!EM48)</f>
        <v>-10</v>
      </c>
      <c r="P141" s="69" t="str">
        <f aca="false">IF(Data_Farmer!EM73="","",""&amp;Data_Farmer!EM73)</f>
        <v/>
      </c>
      <c r="Q141" s="69" t="str">
        <f aca="false">IF(Data_Farmer!EM51="","",""&amp;Data_Farmer!EM51)</f>
        <v/>
      </c>
      <c r="R141" s="69" t="str">
        <f aca="false">IF(Data_Farmer!EM53="","",""&amp;Data_Farmer!EM53)</f>
        <v/>
      </c>
    </row>
    <row r="142" customFormat="false" ht="15" hidden="false" customHeight="false" outlineLevel="0" collapsed="false">
      <c r="A142" s="69" t="str">
        <f aca="false">IF(Data_Farmer!EN85="","",""&amp;Data_Farmer!EN85)</f>
        <v>46126</v>
      </c>
      <c r="B142" s="69" t="str">
        <f aca="false">IF(Data_Farmer!EN8="","",""&amp;Data_Farmer!EN8)</f>
        <v/>
      </c>
      <c r="C142" s="69" t="str">
        <f aca="false">IF(Data_Farmer!EN12="","",""&amp;Data_Farmer!EN12)</f>
        <v>282</v>
      </c>
      <c r="D142" s="69" t="str">
        <f aca="false">IF(Data_Farmer!EN13="","",""&amp;Data_Farmer!EN13)</f>
        <v>2</v>
      </c>
      <c r="E142" s="69" t="str">
        <f aca="false">IF(Data_Farmer!EN21="","",""&amp;Data_Farmer!EN21)</f>
        <v/>
      </c>
      <c r="F142" s="69" t="str">
        <f aca="false">IF(Data_Farmer!EN22="","",""&amp;Data_Farmer!EN22)</f>
        <v>363</v>
      </c>
      <c r="G142" s="69" t="str">
        <f aca="false">IF(Data_Farmer!EN23="","",""&amp;Data_Farmer!EN23)</f>
        <v>5</v>
      </c>
      <c r="H142" s="69" t="str">
        <f aca="false">IF(Data_Farmer!EN66="","",""&amp;Data_Farmer!EN66)</f>
        <v/>
      </c>
      <c r="I142" s="69" t="str">
        <f aca="false">IF(Data_Farmer!EN26="","",""&amp;Data_Farmer!EN26)</f>
        <v/>
      </c>
      <c r="J142" s="69" t="str">
        <f aca="false">IF(Data_Farmer!EN28="","",""&amp;Data_Farmer!EN28)</f>
        <v/>
      </c>
      <c r="K142" s="69" t="str">
        <f aca="false">IF(Data_Farmer!EN37="","",""&amp;Data_Farmer!EN37)</f>
        <v>402</v>
      </c>
      <c r="L142" s="69" t="str">
        <f aca="false">IF(Data_Farmer!EN38="","",""&amp;Data_Farmer!EN38)</f>
        <v>2</v>
      </c>
      <c r="M142" s="69" t="str">
        <f aca="false">IF(Data_Farmer!EN46="","",""&amp;Data_Farmer!EN46)</f>
        <v/>
      </c>
      <c r="N142" s="69" t="str">
        <f aca="false">IF(Data_Farmer!EN47="","",""&amp;Data_Farmer!EN47)</f>
        <v>271</v>
      </c>
      <c r="O142" s="69" t="str">
        <f aca="false">IF(Data_Farmer!EN48="","",""&amp;Data_Farmer!EN48)</f>
        <v>10</v>
      </c>
      <c r="P142" s="69" t="str">
        <f aca="false">IF(Data_Farmer!EN73="","",""&amp;Data_Farmer!EN73)</f>
        <v/>
      </c>
      <c r="Q142" s="69" t="str">
        <f aca="false">IF(Data_Farmer!EN51="","",""&amp;Data_Farmer!EN51)</f>
        <v/>
      </c>
      <c r="R142" s="69" t="str">
        <f aca="false">IF(Data_Farmer!EN53="","",""&amp;Data_Farmer!EN53)</f>
        <v/>
      </c>
    </row>
    <row r="143" customFormat="false" ht="15" hidden="false" customHeight="false" outlineLevel="0" collapsed="false">
      <c r="A143" s="69" t="str">
        <f aca="false">IF(Data_Farmer!EO85="","",""&amp;Data_Farmer!EO85)</f>
        <v>46127</v>
      </c>
      <c r="B143" s="69" t="str">
        <f aca="false">IF(Data_Farmer!EO8="","",""&amp;Data_Farmer!EO8)</f>
        <v/>
      </c>
      <c r="C143" s="69" t="str">
        <f aca="false">IF(Data_Farmer!EO12="","",""&amp;Data_Farmer!EO12)</f>
        <v>281.5</v>
      </c>
      <c r="D143" s="69" t="str">
        <f aca="false">IF(Data_Farmer!EO13="","",""&amp;Data_Farmer!EO13)</f>
        <v>1.5</v>
      </c>
      <c r="E143" s="69" t="str">
        <f aca="false">IF(Data_Farmer!EO21="","",""&amp;Data_Farmer!EO21)</f>
        <v/>
      </c>
      <c r="F143" s="69" t="str">
        <f aca="false">IF(Data_Farmer!EO22="","",""&amp;Data_Farmer!EO22)</f>
        <v>363</v>
      </c>
      <c r="G143" s="69" t="str">
        <f aca="false">IF(Data_Farmer!EO23="","",""&amp;Data_Farmer!EO23)</f>
        <v>5</v>
      </c>
      <c r="H143" s="69" t="str">
        <f aca="false">IF(Data_Farmer!EO66="","",""&amp;Data_Farmer!EO66)</f>
        <v/>
      </c>
      <c r="I143" s="69" t="str">
        <f aca="false">IF(Data_Farmer!EO26="","",""&amp;Data_Farmer!EO26)</f>
        <v/>
      </c>
      <c r="J143" s="69" t="str">
        <f aca="false">IF(Data_Farmer!EO28="","",""&amp;Data_Farmer!EO28)</f>
        <v/>
      </c>
      <c r="K143" s="69" t="str">
        <f aca="false">IF(Data_Farmer!EO37="","",""&amp;Data_Farmer!EO37)</f>
        <v>400</v>
      </c>
      <c r="L143" s="69" t="str">
        <f aca="false">IF(Data_Farmer!EO38="","",""&amp;Data_Farmer!EO38)</f>
        <v>0</v>
      </c>
      <c r="M143" s="69" t="str">
        <f aca="false">IF(Data_Farmer!EO46="","",""&amp;Data_Farmer!EO46)</f>
        <v/>
      </c>
      <c r="N143" s="69" t="str">
        <f aca="false">IF(Data_Farmer!EO47="","",""&amp;Data_Farmer!EO47)</f>
        <v>271</v>
      </c>
      <c r="O143" s="69" t="str">
        <f aca="false">IF(Data_Farmer!EO48="","",""&amp;Data_Farmer!EO48)</f>
        <v>20</v>
      </c>
      <c r="P143" s="69" t="str">
        <f aca="false">IF(Data_Farmer!EO73="","",""&amp;Data_Farmer!EO73)</f>
        <v/>
      </c>
      <c r="Q143" s="69" t="str">
        <f aca="false">IF(Data_Farmer!EO51="","",""&amp;Data_Farmer!EO51)</f>
        <v/>
      </c>
      <c r="R143" s="69" t="str">
        <f aca="false">IF(Data_Farmer!EO53="","",""&amp;Data_Farmer!EO53)</f>
        <v/>
      </c>
    </row>
    <row r="144" customFormat="false" ht="15" hidden="false" customHeight="false" outlineLevel="0" collapsed="false">
      <c r="A144" s="69" t="str">
        <f aca="false">IF(Data_Farmer!EP85="","",""&amp;Data_Farmer!EP85)</f>
        <v>46128</v>
      </c>
      <c r="B144" s="69" t="str">
        <f aca="false">IF(Data_Farmer!EP8="","",""&amp;Data_Farmer!EP8)</f>
        <v/>
      </c>
      <c r="C144" s="69" t="str">
        <f aca="false">IF(Data_Farmer!EP12="","",""&amp;Data_Farmer!EP12)</f>
        <v>280.5</v>
      </c>
      <c r="D144" s="69" t="str">
        <f aca="false">IF(Data_Farmer!EP13="","",""&amp;Data_Farmer!EP13)</f>
        <v>0.5</v>
      </c>
      <c r="E144" s="69" t="str">
        <f aca="false">IF(Data_Farmer!EP21="","",""&amp;Data_Farmer!EP21)</f>
        <v>14</v>
      </c>
      <c r="F144" s="69" t="str">
        <f aca="false">IF(Data_Farmer!EP22="","",""&amp;Data_Farmer!EP22)</f>
        <v>377</v>
      </c>
      <c r="G144" s="69" t="str">
        <f aca="false">IF(Data_Farmer!EP23="","",""&amp;Data_Farmer!EP23)</f>
        <v>10</v>
      </c>
      <c r="H144" s="69" t="str">
        <f aca="false">IF(Data_Farmer!EP66="","",""&amp;Data_Farmer!EP66)</f>
        <v/>
      </c>
      <c r="I144" s="69" t="str">
        <f aca="false">IF(Data_Farmer!EP26="","",""&amp;Data_Farmer!EP26)</f>
        <v>20</v>
      </c>
      <c r="J144" s="69" t="str">
        <f aca="false">IF(Data_Farmer!EP28="","",""&amp;Data_Farmer!EP28)</f>
        <v/>
      </c>
      <c r="K144" s="69" t="str">
        <f aca="false">IF(Data_Farmer!EP37="","",""&amp;Data_Farmer!EP37)</f>
        <v>397</v>
      </c>
      <c r="L144" s="69" t="str">
        <f aca="false">IF(Data_Farmer!EP38="","",""&amp;Data_Farmer!EP38)</f>
        <v>-3</v>
      </c>
      <c r="M144" s="69" t="str">
        <f aca="false">IF(Data_Farmer!EP46="","",""&amp;Data_Farmer!EP46)</f>
        <v/>
      </c>
      <c r="N144" s="69" t="str">
        <f aca="false">IF(Data_Farmer!EP47="","",""&amp;Data_Farmer!EP47)</f>
        <v>271</v>
      </c>
      <c r="O144" s="69" t="str">
        <f aca="false">IF(Data_Farmer!EP48="","",""&amp;Data_Farmer!EP48)</f>
        <v>30</v>
      </c>
      <c r="P144" s="69" t="str">
        <f aca="false">IF(Data_Farmer!EP73="","",""&amp;Data_Farmer!EP73)</f>
        <v/>
      </c>
      <c r="Q144" s="69" t="str">
        <f aca="false">IF(Data_Farmer!EP51="","",""&amp;Data_Farmer!EP51)</f>
        <v/>
      </c>
      <c r="R144" s="69" t="str">
        <f aca="false">IF(Data_Farmer!EP53="","",""&amp;Data_Farmer!EP53)</f>
        <v/>
      </c>
    </row>
    <row r="145" customFormat="false" ht="15" hidden="false" customHeight="false" outlineLevel="0" collapsed="false">
      <c r="A145" s="69" t="str">
        <f aca="false">IF(Data_Farmer!EQ85="","",""&amp;Data_Farmer!EQ85)</f>
        <v>46129</v>
      </c>
      <c r="B145" s="69" t="str">
        <f aca="false">IF(Data_Farmer!EQ8="","",""&amp;Data_Farmer!EQ8)</f>
        <v/>
      </c>
      <c r="C145" s="69" t="str">
        <f aca="false">IF(Data_Farmer!EQ12="","",""&amp;Data_Farmer!EQ12)</f>
        <v>281.5</v>
      </c>
      <c r="D145" s="69" t="str">
        <f aca="false">IF(Data_Farmer!EQ13="","",""&amp;Data_Farmer!EQ13)</f>
        <v>1.5</v>
      </c>
      <c r="E145" s="69" t="str">
        <f aca="false">IF(Data_Farmer!EQ21="","",""&amp;Data_Farmer!EQ21)</f>
        <v/>
      </c>
      <c r="F145" s="69" t="str">
        <f aca="false">IF(Data_Farmer!EQ22="","",""&amp;Data_Farmer!EQ22)</f>
        <v>377</v>
      </c>
      <c r="G145" s="69" t="str">
        <f aca="false">IF(Data_Farmer!EQ23="","",""&amp;Data_Farmer!EQ23)</f>
        <v>4</v>
      </c>
      <c r="H145" s="69" t="str">
        <f aca="false">IF(Data_Farmer!EQ66="","",""&amp;Data_Farmer!EQ66)</f>
        <v/>
      </c>
      <c r="I145" s="69" t="str">
        <f aca="false">IF(Data_Farmer!EQ26="","",""&amp;Data_Farmer!EQ26)</f>
        <v/>
      </c>
      <c r="J145" s="69" t="str">
        <f aca="false">IF(Data_Farmer!EQ28="","",""&amp;Data_Farmer!EQ28)</f>
        <v/>
      </c>
      <c r="K145" s="69" t="str">
        <f aca="false">IF(Data_Farmer!EQ37="","",""&amp;Data_Farmer!EQ37)</f>
        <v>390</v>
      </c>
      <c r="L145" s="69" t="str">
        <f aca="false">IF(Data_Farmer!EQ38="","",""&amp;Data_Farmer!EQ38)</f>
        <v>-10</v>
      </c>
      <c r="M145" s="69" t="str">
        <f aca="false">IF(Data_Farmer!EQ46="","",""&amp;Data_Farmer!EQ46)</f>
        <v/>
      </c>
      <c r="N145" s="69" t="str">
        <f aca="false">IF(Data_Farmer!EQ47="","",""&amp;Data_Farmer!EQ47)</f>
        <v>271</v>
      </c>
      <c r="O145" s="69" t="str">
        <f aca="false">IF(Data_Farmer!EQ48="","",""&amp;Data_Farmer!EQ48)</f>
        <v>70</v>
      </c>
      <c r="P145" s="69" t="str">
        <f aca="false">IF(Data_Farmer!EQ73="","",""&amp;Data_Farmer!EQ73)</f>
        <v/>
      </c>
      <c r="Q145" s="69" t="str">
        <f aca="false">IF(Data_Farmer!EQ51="","",""&amp;Data_Farmer!EQ51)</f>
        <v/>
      </c>
      <c r="R145" s="69" t="str">
        <f aca="false">IF(Data_Farmer!EQ53="","",""&amp;Data_Farmer!EQ53)</f>
        <v/>
      </c>
    </row>
    <row r="146" customFormat="false" ht="15" hidden="false" customHeight="false" outlineLevel="0" collapsed="false">
      <c r="A146" s="69" t="str">
        <f aca="false">IF(Data_Farmer!ER85="","",""&amp;Data_Farmer!ER85)</f>
        <v>46130</v>
      </c>
      <c r="B146" s="69" t="str">
        <f aca="false">IF(Data_Farmer!ER8="","",""&amp;Data_Farmer!ER8)</f>
        <v/>
      </c>
      <c r="C146" s="69" t="str">
        <f aca="false">IF(Data_Farmer!ER12="","",""&amp;Data_Farmer!ER12)</f>
        <v>280</v>
      </c>
      <c r="D146" s="69" t="str">
        <f aca="false">IF(Data_Farmer!ER13="","",""&amp;Data_Farmer!ER13)</f>
        <v>0</v>
      </c>
      <c r="E146" s="69" t="str">
        <f aca="false">IF(Data_Farmer!ER21="","",""&amp;Data_Farmer!ER21)</f>
        <v/>
      </c>
      <c r="F146" s="69" t="str">
        <f aca="false">IF(Data_Farmer!ER22="","",""&amp;Data_Farmer!ER22)</f>
        <v>377</v>
      </c>
      <c r="G146" s="69" t="str">
        <f aca="false">IF(Data_Farmer!ER23="","",""&amp;Data_Farmer!ER23)</f>
        <v>15</v>
      </c>
      <c r="H146" s="69" t="str">
        <f aca="false">IF(Data_Farmer!ER66="","",""&amp;Data_Farmer!ER66)</f>
        <v/>
      </c>
      <c r="I146" s="69" t="str">
        <f aca="false">IF(Data_Farmer!ER26="","",""&amp;Data_Farmer!ER26)</f>
        <v/>
      </c>
      <c r="J146" s="69" t="str">
        <f aca="false">IF(Data_Farmer!ER28="","",""&amp;Data_Farmer!ER28)</f>
        <v/>
      </c>
      <c r="K146" s="69" t="str">
        <f aca="false">IF(Data_Farmer!ER37="","",""&amp;Data_Farmer!ER37)</f>
        <v>385</v>
      </c>
      <c r="L146" s="69" t="str">
        <f aca="false">IF(Data_Farmer!ER38="","",""&amp;Data_Farmer!ER38)</f>
        <v>-15</v>
      </c>
      <c r="M146" s="69" t="str">
        <f aca="false">IF(Data_Farmer!ER46="","",""&amp;Data_Farmer!ER46)</f>
        <v/>
      </c>
      <c r="N146" s="69" t="str">
        <f aca="false">IF(Data_Farmer!ER47="","",""&amp;Data_Farmer!ER47)</f>
        <v>271</v>
      </c>
      <c r="O146" s="69" t="str">
        <f aca="false">IF(Data_Farmer!ER48="","",""&amp;Data_Farmer!ER48)</f>
        <v>50</v>
      </c>
      <c r="P146" s="69" t="str">
        <f aca="false">IF(Data_Farmer!ER73="","",""&amp;Data_Farmer!ER73)</f>
        <v/>
      </c>
      <c r="Q146" s="69" t="str">
        <f aca="false">IF(Data_Farmer!ER51="","",""&amp;Data_Farmer!ER51)</f>
        <v/>
      </c>
      <c r="R146" s="69" t="str">
        <f aca="false">IF(Data_Farmer!ER53="","",""&amp;Data_Farmer!ER53)</f>
        <v/>
      </c>
    </row>
    <row r="147" customFormat="false" ht="15" hidden="false" customHeight="false" outlineLevel="0" collapsed="false">
      <c r="A147" s="69" t="str">
        <f aca="false">IF(Data_Farmer!ES85="","",""&amp;Data_Farmer!ES85)</f>
        <v>46131</v>
      </c>
      <c r="B147" s="69" t="str">
        <f aca="false">IF(Data_Farmer!ES8="","",""&amp;Data_Farmer!ES8)</f>
        <v/>
      </c>
      <c r="C147" s="69" t="str">
        <f aca="false">IF(Data_Farmer!ES12="","",""&amp;Data_Farmer!ES12)</f>
        <v>273.5</v>
      </c>
      <c r="D147" s="69" t="str">
        <f aca="false">IF(Data_Farmer!ES13="","",""&amp;Data_Farmer!ES13)</f>
        <v>-6.5</v>
      </c>
      <c r="E147" s="69" t="str">
        <f aca="false">IF(Data_Farmer!ES21="","",""&amp;Data_Farmer!ES21)</f>
        <v/>
      </c>
      <c r="F147" s="69" t="str">
        <f aca="false">IF(Data_Farmer!ES22="","",""&amp;Data_Farmer!ES22)</f>
        <v>377</v>
      </c>
      <c r="G147" s="69" t="str">
        <f aca="false">IF(Data_Farmer!ES23="","",""&amp;Data_Farmer!ES23)</f>
        <v>65</v>
      </c>
      <c r="H147" s="69" t="str">
        <f aca="false">IF(Data_Farmer!ES66="","",""&amp;Data_Farmer!ES66)</f>
        <v/>
      </c>
      <c r="I147" s="69" t="str">
        <f aca="false">IF(Data_Farmer!ES26="","",""&amp;Data_Farmer!ES26)</f>
        <v/>
      </c>
      <c r="J147" s="69" t="str">
        <f aca="false">IF(Data_Farmer!ES28="","",""&amp;Data_Farmer!ES28)</f>
        <v/>
      </c>
      <c r="K147" s="69" t="str">
        <f aca="false">IF(Data_Farmer!ES37="","",""&amp;Data_Farmer!ES37)</f>
        <v>385</v>
      </c>
      <c r="L147" s="69" t="str">
        <f aca="false">IF(Data_Farmer!ES38="","",""&amp;Data_Farmer!ES38)</f>
        <v>-15</v>
      </c>
      <c r="M147" s="69" t="str">
        <f aca="false">IF(Data_Farmer!ES46="","",""&amp;Data_Farmer!ES46)</f>
        <v/>
      </c>
      <c r="N147" s="69" t="str">
        <f aca="false">IF(Data_Farmer!ES47="","",""&amp;Data_Farmer!ES47)</f>
        <v>271</v>
      </c>
      <c r="O147" s="69" t="str">
        <f aca="false">IF(Data_Farmer!ES48="","",""&amp;Data_Farmer!ES48)</f>
        <v>0</v>
      </c>
      <c r="P147" s="69" t="str">
        <f aca="false">IF(Data_Farmer!ES73="","",""&amp;Data_Farmer!ES73)</f>
        <v/>
      </c>
      <c r="Q147" s="69" t="str">
        <f aca="false">IF(Data_Farmer!ES51="","",""&amp;Data_Farmer!ES51)</f>
        <v/>
      </c>
      <c r="R147" s="69" t="str">
        <f aca="false">IF(Data_Farmer!ES53="","",""&amp;Data_Farmer!ES53)</f>
        <v/>
      </c>
    </row>
    <row r="148" customFormat="false" ht="15" hidden="false" customHeight="false" outlineLevel="0" collapsed="false">
      <c r="A148" s="69" t="str">
        <f aca="false">IF(Data_Farmer!ET85="","",""&amp;Data_Farmer!ET85)</f>
        <v>46132</v>
      </c>
      <c r="B148" s="69" t="str">
        <f aca="false">IF(Data_Farmer!ET8="","",""&amp;Data_Farmer!ET8)</f>
        <v/>
      </c>
      <c r="C148" s="69" t="str">
        <f aca="false">IF(Data_Farmer!ET12="","",""&amp;Data_Farmer!ET12)</f>
        <v>265</v>
      </c>
      <c r="D148" s="69" t="str">
        <f aca="false">IF(Data_Farmer!ET13="","",""&amp;Data_Farmer!ET13)</f>
        <v>-15</v>
      </c>
      <c r="E148" s="69" t="str">
        <f aca="false">IF(Data_Farmer!ET21="","",""&amp;Data_Farmer!ET21)</f>
        <v/>
      </c>
      <c r="F148" s="69" t="str">
        <f aca="false">IF(Data_Farmer!ET22="","",""&amp;Data_Farmer!ET22)</f>
        <v>377</v>
      </c>
      <c r="G148" s="69" t="str">
        <f aca="false">IF(Data_Farmer!ET23="","",""&amp;Data_Farmer!ET23)</f>
        <v>85</v>
      </c>
      <c r="H148" s="69" t="str">
        <f aca="false">IF(Data_Farmer!ET66="","",""&amp;Data_Farmer!ET66)</f>
        <v/>
      </c>
      <c r="I148" s="69" t="str">
        <f aca="false">IF(Data_Farmer!ET26="","",""&amp;Data_Farmer!ET26)</f>
        <v/>
      </c>
      <c r="J148" s="69" t="str">
        <f aca="false">IF(Data_Farmer!ET28="","",""&amp;Data_Farmer!ET28)</f>
        <v/>
      </c>
      <c r="K148" s="69" t="str">
        <f aca="false">IF(Data_Farmer!ET37="","",""&amp;Data_Farmer!ET37)</f>
        <v>385</v>
      </c>
      <c r="L148" s="69" t="str">
        <f aca="false">IF(Data_Farmer!ET38="","",""&amp;Data_Farmer!ET38)</f>
        <v>-15</v>
      </c>
      <c r="M148" s="69" t="str">
        <f aca="false">IF(Data_Farmer!ET46="","",""&amp;Data_Farmer!ET46)</f>
        <v/>
      </c>
      <c r="N148" s="69" t="str">
        <f aca="false">IF(Data_Farmer!ET47="","",""&amp;Data_Farmer!ET47)</f>
        <v>271</v>
      </c>
      <c r="O148" s="69" t="str">
        <f aca="false">IF(Data_Farmer!ET48="","",""&amp;Data_Farmer!ET48)</f>
        <v>0</v>
      </c>
      <c r="P148" s="69" t="str">
        <f aca="false">IF(Data_Farmer!ET73="","",""&amp;Data_Farmer!ET73)</f>
        <v/>
      </c>
      <c r="Q148" s="69" t="str">
        <f aca="false">IF(Data_Farmer!ET51="","",""&amp;Data_Farmer!ET51)</f>
        <v/>
      </c>
      <c r="R148" s="69" t="str">
        <f aca="false">IF(Data_Farmer!ET53="","",""&amp;Data_Farmer!ET53)</f>
        <v/>
      </c>
    </row>
    <row r="149" customFormat="false" ht="15" hidden="false" customHeight="false" outlineLevel="0" collapsed="false">
      <c r="A149" s="69" t="str">
        <f aca="false">IF(Data_Farmer!EU85="","",""&amp;Data_Farmer!EU85)</f>
        <v>46133</v>
      </c>
      <c r="B149" s="69" t="str">
        <f aca="false">IF(Data_Farmer!EU8="","",""&amp;Data_Farmer!EU8)</f>
        <v/>
      </c>
      <c r="C149" s="69" t="str">
        <f aca="false">IF(Data_Farmer!EU12="","",""&amp;Data_Farmer!EU12)</f>
        <v/>
      </c>
      <c r="D149" s="69" t="str">
        <f aca="false">IF(Data_Farmer!EU13="","",""&amp;Data_Farmer!EU13)</f>
        <v/>
      </c>
      <c r="E149" s="69" t="str">
        <f aca="false">IF(Data_Farmer!EU21="","",""&amp;Data_Farmer!EU21)</f>
        <v/>
      </c>
      <c r="F149" s="69" t="str">
        <f aca="false">IF(Data_Farmer!EU22="","",""&amp;Data_Farmer!EU22)</f>
        <v/>
      </c>
      <c r="G149" s="69" t="str">
        <f aca="false">IF(Data_Farmer!EU23="","",""&amp;Data_Farmer!EU23)</f>
        <v/>
      </c>
      <c r="H149" s="69" t="str">
        <f aca="false">IF(Data_Farmer!EU66="","",""&amp;Data_Farmer!EU66)</f>
        <v/>
      </c>
      <c r="I149" s="69" t="str">
        <f aca="false">IF(Data_Farmer!EU26="","",""&amp;Data_Farmer!EU26)</f>
        <v/>
      </c>
      <c r="J149" s="69" t="str">
        <f aca="false">IF(Data_Farmer!EU28="","",""&amp;Data_Farmer!EU28)</f>
        <v/>
      </c>
      <c r="K149" s="69" t="str">
        <f aca="false">IF(Data_Farmer!EU37="","",""&amp;Data_Farmer!EU37)</f>
        <v/>
      </c>
      <c r="L149" s="69" t="str">
        <f aca="false">IF(Data_Farmer!EU38="","",""&amp;Data_Farmer!EU38)</f>
        <v/>
      </c>
      <c r="M149" s="69" t="str">
        <f aca="false">IF(Data_Farmer!EU46="","",""&amp;Data_Farmer!EU46)</f>
        <v/>
      </c>
      <c r="N149" s="69" t="str">
        <f aca="false">IF(Data_Farmer!EU47="","",""&amp;Data_Farmer!EU47)</f>
        <v/>
      </c>
      <c r="O149" s="69" t="str">
        <f aca="false">IF(Data_Farmer!EU48="","",""&amp;Data_Farmer!EU48)</f>
        <v/>
      </c>
      <c r="P149" s="69" t="str">
        <f aca="false">IF(Data_Farmer!EU73="","",""&amp;Data_Farmer!EU73)</f>
        <v/>
      </c>
      <c r="Q149" s="69" t="str">
        <f aca="false">IF(Data_Farmer!EU51="","",""&amp;Data_Farmer!EU51)</f>
        <v/>
      </c>
      <c r="R149" s="69" t="str">
        <f aca="false">IF(Data_Farmer!EU53="","",""&amp;Data_Farmer!EU53)</f>
        <v/>
      </c>
    </row>
    <row r="150" customFormat="false" ht="15" hidden="false" customHeight="false" outlineLevel="0" collapsed="false">
      <c r="A150" s="69" t="str">
        <f aca="false">IF(Data_Farmer!EV85="","",""&amp;Data_Farmer!EV85)</f>
        <v>46134</v>
      </c>
      <c r="B150" s="69" t="str">
        <f aca="false">IF(Data_Farmer!EV8="","",""&amp;Data_Farmer!EV8)</f>
        <v/>
      </c>
      <c r="C150" s="69" t="str">
        <f aca="false">IF(Data_Farmer!EV12="","",""&amp;Data_Farmer!EV12)</f>
        <v/>
      </c>
      <c r="D150" s="69" t="str">
        <f aca="false">IF(Data_Farmer!EV13="","",""&amp;Data_Farmer!EV13)</f>
        <v/>
      </c>
      <c r="E150" s="69" t="str">
        <f aca="false">IF(Data_Farmer!EV21="","",""&amp;Data_Farmer!EV21)</f>
        <v/>
      </c>
      <c r="F150" s="69" t="str">
        <f aca="false">IF(Data_Farmer!EV22="","",""&amp;Data_Farmer!EV22)</f>
        <v/>
      </c>
      <c r="G150" s="69" t="str">
        <f aca="false">IF(Data_Farmer!EV23="","",""&amp;Data_Farmer!EV23)</f>
        <v/>
      </c>
      <c r="H150" s="69" t="str">
        <f aca="false">IF(Data_Farmer!EV66="","",""&amp;Data_Farmer!EV66)</f>
        <v/>
      </c>
      <c r="I150" s="69" t="str">
        <f aca="false">IF(Data_Farmer!EV26="","",""&amp;Data_Farmer!EV26)</f>
        <v/>
      </c>
      <c r="J150" s="69" t="str">
        <f aca="false">IF(Data_Farmer!EV28="","",""&amp;Data_Farmer!EV28)</f>
        <v/>
      </c>
      <c r="K150" s="69" t="str">
        <f aca="false">IF(Data_Farmer!EV37="","",""&amp;Data_Farmer!EV37)</f>
        <v/>
      </c>
      <c r="L150" s="69" t="str">
        <f aca="false">IF(Data_Farmer!EV38="","",""&amp;Data_Farmer!EV38)</f>
        <v/>
      </c>
      <c r="M150" s="69" t="str">
        <f aca="false">IF(Data_Farmer!EV46="","",""&amp;Data_Farmer!EV46)</f>
        <v/>
      </c>
      <c r="N150" s="69" t="str">
        <f aca="false">IF(Data_Farmer!EV47="","",""&amp;Data_Farmer!EV47)</f>
        <v/>
      </c>
      <c r="O150" s="69" t="str">
        <f aca="false">IF(Data_Farmer!EV48="","",""&amp;Data_Farmer!EV48)</f>
        <v/>
      </c>
      <c r="P150" s="69" t="str">
        <f aca="false">IF(Data_Farmer!EV73="","",""&amp;Data_Farmer!EV73)</f>
        <v/>
      </c>
      <c r="Q150" s="69" t="str">
        <f aca="false">IF(Data_Farmer!EV51="","",""&amp;Data_Farmer!EV51)</f>
        <v/>
      </c>
      <c r="R150" s="69" t="str">
        <f aca="false">IF(Data_Farmer!EV53="","",""&amp;Data_Farmer!EV53)</f>
        <v/>
      </c>
    </row>
    <row r="151" customFormat="false" ht="15" hidden="false" customHeight="false" outlineLevel="0" collapsed="false">
      <c r="A151" s="69" t="str">
        <f aca="false">IF(Data_Farmer!EW85="","",""&amp;Data_Farmer!EW85)</f>
        <v>46135</v>
      </c>
      <c r="B151" s="69" t="str">
        <f aca="false">IF(Data_Farmer!EW8="","",""&amp;Data_Farmer!EW8)</f>
        <v/>
      </c>
      <c r="C151" s="69" t="str">
        <f aca="false">IF(Data_Farmer!EW12="","",""&amp;Data_Farmer!EW12)</f>
        <v/>
      </c>
      <c r="D151" s="69" t="str">
        <f aca="false">IF(Data_Farmer!EW13="","",""&amp;Data_Farmer!EW13)</f>
        <v/>
      </c>
      <c r="E151" s="69" t="str">
        <f aca="false">IF(Data_Farmer!EW21="","",""&amp;Data_Farmer!EW21)</f>
        <v/>
      </c>
      <c r="F151" s="69" t="str">
        <f aca="false">IF(Data_Farmer!EW22="","",""&amp;Data_Farmer!EW22)</f>
        <v/>
      </c>
      <c r="G151" s="69" t="str">
        <f aca="false">IF(Data_Farmer!EW23="","",""&amp;Data_Farmer!EW23)</f>
        <v/>
      </c>
      <c r="H151" s="69" t="str">
        <f aca="false">IF(Data_Farmer!EW66="","",""&amp;Data_Farmer!EW66)</f>
        <v/>
      </c>
      <c r="I151" s="69" t="str">
        <f aca="false">IF(Data_Farmer!EW26="","",""&amp;Data_Farmer!EW26)</f>
        <v/>
      </c>
      <c r="J151" s="69" t="str">
        <f aca="false">IF(Data_Farmer!EW28="","",""&amp;Data_Farmer!EW28)</f>
        <v/>
      </c>
      <c r="K151" s="69" t="str">
        <f aca="false">IF(Data_Farmer!EW37="","",""&amp;Data_Farmer!EW37)</f>
        <v/>
      </c>
      <c r="L151" s="69" t="str">
        <f aca="false">IF(Data_Farmer!EW38="","",""&amp;Data_Farmer!EW38)</f>
        <v/>
      </c>
      <c r="M151" s="69" t="str">
        <f aca="false">IF(Data_Farmer!EW46="","",""&amp;Data_Farmer!EW46)</f>
        <v/>
      </c>
      <c r="N151" s="69" t="str">
        <f aca="false">IF(Data_Farmer!EW47="","",""&amp;Data_Farmer!EW47)</f>
        <v/>
      </c>
      <c r="O151" s="69" t="str">
        <f aca="false">IF(Data_Farmer!EW48="","",""&amp;Data_Farmer!EW48)</f>
        <v/>
      </c>
      <c r="P151" s="69" t="str">
        <f aca="false">IF(Data_Farmer!EW73="","",""&amp;Data_Farmer!EW73)</f>
        <v/>
      </c>
      <c r="Q151" s="69" t="str">
        <f aca="false">IF(Data_Farmer!EW51="","",""&amp;Data_Farmer!EW51)</f>
        <v/>
      </c>
      <c r="R151" s="69" t="str">
        <f aca="false">IF(Data_Farmer!EW53="","",""&amp;Data_Farmer!EW53)</f>
        <v/>
      </c>
    </row>
    <row r="152" customFormat="false" ht="15" hidden="false" customHeight="false" outlineLevel="0" collapsed="false">
      <c r="A152" s="69" t="str">
        <f aca="false">IF(Data_Farmer!EX85="","",""&amp;Data_Farmer!EX85)</f>
        <v>46136</v>
      </c>
      <c r="B152" s="69" t="str">
        <f aca="false">IF(Data_Farmer!EX8="","",""&amp;Data_Farmer!EX8)</f>
        <v/>
      </c>
      <c r="C152" s="69" t="str">
        <f aca="false">IF(Data_Farmer!EX12="","",""&amp;Data_Farmer!EX12)</f>
        <v/>
      </c>
      <c r="D152" s="69" t="str">
        <f aca="false">IF(Data_Farmer!EX13="","",""&amp;Data_Farmer!EX13)</f>
        <v/>
      </c>
      <c r="E152" s="69" t="str">
        <f aca="false">IF(Data_Farmer!EX21="","",""&amp;Data_Farmer!EX21)</f>
        <v/>
      </c>
      <c r="F152" s="69" t="str">
        <f aca="false">IF(Data_Farmer!EX22="","",""&amp;Data_Farmer!EX22)</f>
        <v/>
      </c>
      <c r="G152" s="69" t="str">
        <f aca="false">IF(Data_Farmer!EX23="","",""&amp;Data_Farmer!EX23)</f>
        <v/>
      </c>
      <c r="H152" s="69" t="str">
        <f aca="false">IF(Data_Farmer!EX66="","",""&amp;Data_Farmer!EX66)</f>
        <v/>
      </c>
      <c r="I152" s="69" t="str">
        <f aca="false">IF(Data_Farmer!EX26="","",""&amp;Data_Farmer!EX26)</f>
        <v/>
      </c>
      <c r="J152" s="69" t="str">
        <f aca="false">IF(Data_Farmer!EX28="","",""&amp;Data_Farmer!EX28)</f>
        <v/>
      </c>
      <c r="K152" s="69" t="str">
        <f aca="false">IF(Data_Farmer!EX37="","",""&amp;Data_Farmer!EX37)</f>
        <v/>
      </c>
      <c r="L152" s="69" t="str">
        <f aca="false">IF(Data_Farmer!EX38="","",""&amp;Data_Farmer!EX38)</f>
        <v/>
      </c>
      <c r="M152" s="69" t="str">
        <f aca="false">IF(Data_Farmer!EX46="","",""&amp;Data_Farmer!EX46)</f>
        <v/>
      </c>
      <c r="N152" s="69" t="str">
        <f aca="false">IF(Data_Farmer!EX47="","",""&amp;Data_Farmer!EX47)</f>
        <v/>
      </c>
      <c r="O152" s="69" t="str">
        <f aca="false">IF(Data_Farmer!EX48="","",""&amp;Data_Farmer!EX48)</f>
        <v/>
      </c>
      <c r="P152" s="69" t="str">
        <f aca="false">IF(Data_Farmer!EX73="","",""&amp;Data_Farmer!EX73)</f>
        <v/>
      </c>
      <c r="Q152" s="69" t="str">
        <f aca="false">IF(Data_Farmer!EX51="","",""&amp;Data_Farmer!EX51)</f>
        <v/>
      </c>
      <c r="R152" s="69" t="str">
        <f aca="false">IF(Data_Farmer!EX53="","",""&amp;Data_Farmer!EX53)</f>
        <v/>
      </c>
    </row>
    <row r="153" customFormat="false" ht="15" hidden="false" customHeight="false" outlineLevel="0" collapsed="false">
      <c r="A153" s="69" t="str">
        <f aca="false">IF(Data_Farmer!EY85="","",""&amp;Data_Farmer!EY85)</f>
        <v>46137</v>
      </c>
      <c r="B153" s="69" t="str">
        <f aca="false">IF(Data_Farmer!EY8="","",""&amp;Data_Farmer!EY8)</f>
        <v/>
      </c>
      <c r="C153" s="69" t="str">
        <f aca="false">IF(Data_Farmer!EY12="","",""&amp;Data_Farmer!EY12)</f>
        <v/>
      </c>
      <c r="D153" s="69" t="str">
        <f aca="false">IF(Data_Farmer!EY13="","",""&amp;Data_Farmer!EY13)</f>
        <v/>
      </c>
      <c r="E153" s="69" t="str">
        <f aca="false">IF(Data_Farmer!EY21="","",""&amp;Data_Farmer!EY21)</f>
        <v/>
      </c>
      <c r="F153" s="69" t="str">
        <f aca="false">IF(Data_Farmer!EY22="","",""&amp;Data_Farmer!EY22)</f>
        <v/>
      </c>
      <c r="G153" s="69" t="str">
        <f aca="false">IF(Data_Farmer!EY23="","",""&amp;Data_Farmer!EY23)</f>
        <v/>
      </c>
      <c r="H153" s="69" t="str">
        <f aca="false">IF(Data_Farmer!EY66="","",""&amp;Data_Farmer!EY66)</f>
        <v/>
      </c>
      <c r="I153" s="69" t="str">
        <f aca="false">IF(Data_Farmer!EY26="","",""&amp;Data_Farmer!EY26)</f>
        <v/>
      </c>
      <c r="J153" s="69" t="str">
        <f aca="false">IF(Data_Farmer!EY28="","",""&amp;Data_Farmer!EY28)</f>
        <v/>
      </c>
      <c r="K153" s="69" t="str">
        <f aca="false">IF(Data_Farmer!EY37="","",""&amp;Data_Farmer!EY37)</f>
        <v/>
      </c>
      <c r="L153" s="69" t="str">
        <f aca="false">IF(Data_Farmer!EY38="","",""&amp;Data_Farmer!EY38)</f>
        <v/>
      </c>
      <c r="M153" s="69" t="str">
        <f aca="false">IF(Data_Farmer!EY46="","",""&amp;Data_Farmer!EY46)</f>
        <v/>
      </c>
      <c r="N153" s="69" t="str">
        <f aca="false">IF(Data_Farmer!EY47="","",""&amp;Data_Farmer!EY47)</f>
        <v/>
      </c>
      <c r="O153" s="69" t="str">
        <f aca="false">IF(Data_Farmer!EY48="","",""&amp;Data_Farmer!EY48)</f>
        <v/>
      </c>
      <c r="P153" s="69" t="str">
        <f aca="false">IF(Data_Farmer!EY73="","",""&amp;Data_Farmer!EY73)</f>
        <v/>
      </c>
      <c r="Q153" s="69" t="str">
        <f aca="false">IF(Data_Farmer!EY51="","",""&amp;Data_Farmer!EY51)</f>
        <v/>
      </c>
      <c r="R153" s="69" t="str">
        <f aca="false">IF(Data_Farmer!EY53="","",""&amp;Data_Farmer!EY53)</f>
        <v/>
      </c>
    </row>
    <row r="154" customFormat="false" ht="15" hidden="false" customHeight="false" outlineLevel="0" collapsed="false">
      <c r="A154" s="69" t="str">
        <f aca="false">IF(Data_Farmer!EZ85="","",""&amp;Data_Farmer!EZ85)</f>
        <v>46138</v>
      </c>
      <c r="B154" s="69" t="str">
        <f aca="false">IF(Data_Farmer!EZ8="","",""&amp;Data_Farmer!EZ8)</f>
        <v/>
      </c>
      <c r="C154" s="69" t="str">
        <f aca="false">IF(Data_Farmer!EZ12="","",""&amp;Data_Farmer!EZ12)</f>
        <v/>
      </c>
      <c r="D154" s="69" t="str">
        <f aca="false">IF(Data_Farmer!EZ13="","",""&amp;Data_Farmer!EZ13)</f>
        <v/>
      </c>
      <c r="E154" s="69" t="str">
        <f aca="false">IF(Data_Farmer!EZ21="","",""&amp;Data_Farmer!EZ21)</f>
        <v/>
      </c>
      <c r="F154" s="69" t="str">
        <f aca="false">IF(Data_Farmer!EZ22="","",""&amp;Data_Farmer!EZ22)</f>
        <v/>
      </c>
      <c r="G154" s="69" t="str">
        <f aca="false">IF(Data_Farmer!EZ23="","",""&amp;Data_Farmer!EZ23)</f>
        <v/>
      </c>
      <c r="H154" s="69" t="str">
        <f aca="false">IF(Data_Farmer!EZ66="","",""&amp;Data_Farmer!EZ66)</f>
        <v/>
      </c>
      <c r="I154" s="69" t="str">
        <f aca="false">IF(Data_Farmer!EZ26="","",""&amp;Data_Farmer!EZ26)</f>
        <v/>
      </c>
      <c r="J154" s="69" t="str">
        <f aca="false">IF(Data_Farmer!EZ28="","",""&amp;Data_Farmer!EZ28)</f>
        <v/>
      </c>
      <c r="K154" s="69" t="str">
        <f aca="false">IF(Data_Farmer!EZ37="","",""&amp;Data_Farmer!EZ37)</f>
        <v/>
      </c>
      <c r="L154" s="69" t="str">
        <f aca="false">IF(Data_Farmer!EZ38="","",""&amp;Data_Farmer!EZ38)</f>
        <v/>
      </c>
      <c r="M154" s="69" t="str">
        <f aca="false">IF(Data_Farmer!EZ46="","",""&amp;Data_Farmer!EZ46)</f>
        <v/>
      </c>
      <c r="N154" s="69" t="str">
        <f aca="false">IF(Data_Farmer!EZ47="","",""&amp;Data_Farmer!EZ47)</f>
        <v/>
      </c>
      <c r="O154" s="69" t="str">
        <f aca="false">IF(Data_Farmer!EZ48="","",""&amp;Data_Farmer!EZ48)</f>
        <v/>
      </c>
      <c r="P154" s="69" t="str">
        <f aca="false">IF(Data_Farmer!EZ73="","",""&amp;Data_Farmer!EZ73)</f>
        <v/>
      </c>
      <c r="Q154" s="69" t="str">
        <f aca="false">IF(Data_Farmer!EZ51="","",""&amp;Data_Farmer!EZ51)</f>
        <v/>
      </c>
      <c r="R154" s="69" t="str">
        <f aca="false">IF(Data_Farmer!EZ53="","",""&amp;Data_Farmer!EZ53)</f>
        <v/>
      </c>
    </row>
    <row r="155" customFormat="false" ht="15" hidden="false" customHeight="false" outlineLevel="0" collapsed="false">
      <c r="A155" s="69" t="str">
        <f aca="false">IF(Data_Farmer!FA85="","",""&amp;Data_Farmer!FA85)</f>
        <v>46139</v>
      </c>
      <c r="B155" s="69" t="str">
        <f aca="false">IF(Data_Farmer!FA8="","",""&amp;Data_Farmer!FA8)</f>
        <v/>
      </c>
      <c r="C155" s="69" t="str">
        <f aca="false">IF(Data_Farmer!FA12="","",""&amp;Data_Farmer!FA12)</f>
        <v/>
      </c>
      <c r="D155" s="69" t="str">
        <f aca="false">IF(Data_Farmer!FA13="","",""&amp;Data_Farmer!FA13)</f>
        <v/>
      </c>
      <c r="E155" s="69" t="str">
        <f aca="false">IF(Data_Farmer!FA21="","",""&amp;Data_Farmer!FA21)</f>
        <v/>
      </c>
      <c r="F155" s="69" t="str">
        <f aca="false">IF(Data_Farmer!FA22="","",""&amp;Data_Farmer!FA22)</f>
        <v/>
      </c>
      <c r="G155" s="69" t="str">
        <f aca="false">IF(Data_Farmer!FA23="","",""&amp;Data_Farmer!FA23)</f>
        <v/>
      </c>
      <c r="H155" s="69" t="str">
        <f aca="false">IF(Data_Farmer!FA66="","",""&amp;Data_Farmer!FA66)</f>
        <v/>
      </c>
      <c r="I155" s="69" t="str">
        <f aca="false">IF(Data_Farmer!FA26="","",""&amp;Data_Farmer!FA26)</f>
        <v/>
      </c>
      <c r="J155" s="69" t="str">
        <f aca="false">IF(Data_Farmer!FA28="","",""&amp;Data_Farmer!FA28)</f>
        <v/>
      </c>
      <c r="K155" s="69" t="str">
        <f aca="false">IF(Data_Farmer!FA37="","",""&amp;Data_Farmer!FA37)</f>
        <v/>
      </c>
      <c r="L155" s="69" t="str">
        <f aca="false">IF(Data_Farmer!FA38="","",""&amp;Data_Farmer!FA38)</f>
        <v/>
      </c>
      <c r="M155" s="69" t="str">
        <f aca="false">IF(Data_Farmer!FA46="","",""&amp;Data_Farmer!FA46)</f>
        <v/>
      </c>
      <c r="N155" s="69" t="str">
        <f aca="false">IF(Data_Farmer!FA47="","",""&amp;Data_Farmer!FA47)</f>
        <v/>
      </c>
      <c r="O155" s="69" t="str">
        <f aca="false">IF(Data_Farmer!FA48="","",""&amp;Data_Farmer!FA48)</f>
        <v/>
      </c>
      <c r="P155" s="69" t="str">
        <f aca="false">IF(Data_Farmer!FA73="","",""&amp;Data_Farmer!FA73)</f>
        <v/>
      </c>
      <c r="Q155" s="69" t="str">
        <f aca="false">IF(Data_Farmer!FA51="","",""&amp;Data_Farmer!FA51)</f>
        <v/>
      </c>
      <c r="R155" s="69" t="str">
        <f aca="false">IF(Data_Farmer!FA53="","",""&amp;Data_Farmer!FA53)</f>
        <v/>
      </c>
    </row>
    <row r="156" customFormat="false" ht="15" hidden="false" customHeight="false" outlineLevel="0" collapsed="false">
      <c r="A156" s="69" t="str">
        <f aca="false">IF(Data_Farmer!FB85="","",""&amp;Data_Farmer!FB85)</f>
        <v>46140</v>
      </c>
      <c r="B156" s="69" t="str">
        <f aca="false">IF(Data_Farmer!FB8="","",""&amp;Data_Farmer!FB8)</f>
        <v/>
      </c>
      <c r="C156" s="69" t="str">
        <f aca="false">IF(Data_Farmer!FB12="","",""&amp;Data_Farmer!FB12)</f>
        <v/>
      </c>
      <c r="D156" s="69" t="str">
        <f aca="false">IF(Data_Farmer!FB13="","",""&amp;Data_Farmer!FB13)</f>
        <v/>
      </c>
      <c r="E156" s="69" t="str">
        <f aca="false">IF(Data_Farmer!FB21="","",""&amp;Data_Farmer!FB21)</f>
        <v/>
      </c>
      <c r="F156" s="69" t="str">
        <f aca="false">IF(Data_Farmer!FB22="","",""&amp;Data_Farmer!FB22)</f>
        <v/>
      </c>
      <c r="G156" s="69" t="str">
        <f aca="false">IF(Data_Farmer!FB23="","",""&amp;Data_Farmer!FB23)</f>
        <v/>
      </c>
      <c r="H156" s="69" t="str">
        <f aca="false">IF(Data_Farmer!FB66="","",""&amp;Data_Farmer!FB66)</f>
        <v/>
      </c>
      <c r="I156" s="69" t="str">
        <f aca="false">IF(Data_Farmer!FB26="","",""&amp;Data_Farmer!FB26)</f>
        <v/>
      </c>
      <c r="J156" s="69" t="str">
        <f aca="false">IF(Data_Farmer!FB28="","",""&amp;Data_Farmer!FB28)</f>
        <v/>
      </c>
      <c r="K156" s="69" t="str">
        <f aca="false">IF(Data_Farmer!FB37="","",""&amp;Data_Farmer!FB37)</f>
        <v/>
      </c>
      <c r="L156" s="69" t="str">
        <f aca="false">IF(Data_Farmer!FB38="","",""&amp;Data_Farmer!FB38)</f>
        <v/>
      </c>
      <c r="M156" s="69" t="str">
        <f aca="false">IF(Data_Farmer!FB46="","",""&amp;Data_Farmer!FB46)</f>
        <v/>
      </c>
      <c r="N156" s="69" t="str">
        <f aca="false">IF(Data_Farmer!FB47="","",""&amp;Data_Farmer!FB47)</f>
        <v/>
      </c>
      <c r="O156" s="69" t="str">
        <f aca="false">IF(Data_Farmer!FB48="","",""&amp;Data_Farmer!FB48)</f>
        <v/>
      </c>
      <c r="P156" s="69" t="str">
        <f aca="false">IF(Data_Farmer!FB73="","",""&amp;Data_Farmer!FB73)</f>
        <v/>
      </c>
      <c r="Q156" s="69" t="str">
        <f aca="false">IF(Data_Farmer!FB51="","",""&amp;Data_Farmer!FB51)</f>
        <v/>
      </c>
      <c r="R156" s="69" t="str">
        <f aca="false">IF(Data_Farmer!FB53="","",""&amp;Data_Farmer!FB53)</f>
        <v/>
      </c>
    </row>
    <row r="157" customFormat="false" ht="15" hidden="false" customHeight="false" outlineLevel="0" collapsed="false">
      <c r="A157" s="69" t="str">
        <f aca="false">IF(Data_Farmer!FC85="","",""&amp;Data_Farmer!FC85)</f>
        <v>46141</v>
      </c>
      <c r="B157" s="69" t="str">
        <f aca="false">IF(Data_Farmer!FC8="","",""&amp;Data_Farmer!FC8)</f>
        <v/>
      </c>
      <c r="C157" s="69" t="str">
        <f aca="false">IF(Data_Farmer!FC12="","",""&amp;Data_Farmer!FC12)</f>
        <v/>
      </c>
      <c r="D157" s="69" t="str">
        <f aca="false">IF(Data_Farmer!FC13="","",""&amp;Data_Farmer!FC13)</f>
        <v/>
      </c>
      <c r="E157" s="69" t="str">
        <f aca="false">IF(Data_Farmer!FC21="","",""&amp;Data_Farmer!FC21)</f>
        <v/>
      </c>
      <c r="F157" s="69" t="str">
        <f aca="false">IF(Data_Farmer!FC22="","",""&amp;Data_Farmer!FC22)</f>
        <v/>
      </c>
      <c r="G157" s="69" t="str">
        <f aca="false">IF(Data_Farmer!FC23="","",""&amp;Data_Farmer!FC23)</f>
        <v/>
      </c>
      <c r="H157" s="69" t="str">
        <f aca="false">IF(Data_Farmer!FC66="","",""&amp;Data_Farmer!FC66)</f>
        <v/>
      </c>
      <c r="I157" s="69" t="str">
        <f aca="false">IF(Data_Farmer!FC26="","",""&amp;Data_Farmer!FC26)</f>
        <v/>
      </c>
      <c r="J157" s="69" t="str">
        <f aca="false">IF(Data_Farmer!FC28="","",""&amp;Data_Farmer!FC28)</f>
        <v/>
      </c>
      <c r="K157" s="69" t="str">
        <f aca="false">IF(Data_Farmer!FC37="","",""&amp;Data_Farmer!FC37)</f>
        <v/>
      </c>
      <c r="L157" s="69" t="str">
        <f aca="false">IF(Data_Farmer!FC38="","",""&amp;Data_Farmer!FC38)</f>
        <v/>
      </c>
      <c r="M157" s="69" t="str">
        <f aca="false">IF(Data_Farmer!FC46="","",""&amp;Data_Farmer!FC46)</f>
        <v/>
      </c>
      <c r="N157" s="69" t="str">
        <f aca="false">IF(Data_Farmer!FC47="","",""&amp;Data_Farmer!FC47)</f>
        <v/>
      </c>
      <c r="O157" s="69" t="str">
        <f aca="false">IF(Data_Farmer!FC48="","",""&amp;Data_Farmer!FC48)</f>
        <v/>
      </c>
      <c r="P157" s="69" t="str">
        <f aca="false">IF(Data_Farmer!FC73="","",""&amp;Data_Farmer!FC73)</f>
        <v/>
      </c>
      <c r="Q157" s="69" t="str">
        <f aca="false">IF(Data_Farmer!FC51="","",""&amp;Data_Farmer!FC51)</f>
        <v/>
      </c>
      <c r="R157" s="69" t="str">
        <f aca="false">IF(Data_Farmer!FC53="","",""&amp;Data_Farmer!FC53)</f>
        <v/>
      </c>
    </row>
    <row r="158" customFormat="false" ht="15" hidden="false" customHeight="false" outlineLevel="0" collapsed="false">
      <c r="A158" s="69" t="str">
        <f aca="false">IF(Data_Farmer!FD85="","",""&amp;Data_Farmer!FD85)</f>
        <v>46142</v>
      </c>
      <c r="B158" s="69" t="str">
        <f aca="false">IF(Data_Farmer!FD8="","",""&amp;Data_Farmer!FD8)</f>
        <v/>
      </c>
      <c r="C158" s="69" t="str">
        <f aca="false">IF(Data_Farmer!FD12="","",""&amp;Data_Farmer!FD12)</f>
        <v/>
      </c>
      <c r="D158" s="69" t="str">
        <f aca="false">IF(Data_Farmer!FD13="","",""&amp;Data_Farmer!FD13)</f>
        <v/>
      </c>
      <c r="E158" s="69" t="str">
        <f aca="false">IF(Data_Farmer!FD21="","",""&amp;Data_Farmer!FD21)</f>
        <v/>
      </c>
      <c r="F158" s="69" t="str">
        <f aca="false">IF(Data_Farmer!FD22="","",""&amp;Data_Farmer!FD22)</f>
        <v/>
      </c>
      <c r="G158" s="69" t="str">
        <f aca="false">IF(Data_Farmer!FD23="","",""&amp;Data_Farmer!FD23)</f>
        <v/>
      </c>
      <c r="H158" s="69" t="str">
        <f aca="false">IF(Data_Farmer!FD66="","",""&amp;Data_Farmer!FD66)</f>
        <v/>
      </c>
      <c r="I158" s="69" t="str">
        <f aca="false">IF(Data_Farmer!FD26="","",""&amp;Data_Farmer!FD26)</f>
        <v/>
      </c>
      <c r="J158" s="69" t="str">
        <f aca="false">IF(Data_Farmer!FD28="","",""&amp;Data_Farmer!FD28)</f>
        <v/>
      </c>
      <c r="K158" s="69" t="str">
        <f aca="false">IF(Data_Farmer!FD37="","",""&amp;Data_Farmer!FD37)</f>
        <v/>
      </c>
      <c r="L158" s="69" t="str">
        <f aca="false">IF(Data_Farmer!FD38="","",""&amp;Data_Farmer!FD38)</f>
        <v/>
      </c>
      <c r="M158" s="69" t="str">
        <f aca="false">IF(Data_Farmer!FD46="","",""&amp;Data_Farmer!FD46)</f>
        <v/>
      </c>
      <c r="N158" s="69" t="str">
        <f aca="false">IF(Data_Farmer!FD47="","",""&amp;Data_Farmer!FD47)</f>
        <v/>
      </c>
      <c r="O158" s="69" t="str">
        <f aca="false">IF(Data_Farmer!FD48="","",""&amp;Data_Farmer!FD48)</f>
        <v/>
      </c>
      <c r="P158" s="69" t="str">
        <f aca="false">IF(Data_Farmer!FD73="","",""&amp;Data_Farmer!FD73)</f>
        <v/>
      </c>
      <c r="Q158" s="69" t="str">
        <f aca="false">IF(Data_Farmer!FD51="","",""&amp;Data_Farmer!FD51)</f>
        <v/>
      </c>
      <c r="R158" s="69" t="str">
        <f aca="false">IF(Data_Farmer!FD53="","",""&amp;Data_Farmer!FD53)</f>
        <v/>
      </c>
    </row>
    <row r="159" customFormat="false" ht="15" hidden="false" customHeight="false" outlineLevel="0" collapsed="false">
      <c r="A159" s="69" t="str">
        <f aca="false">IF(Data_Farmer!FE85="","",""&amp;Data_Farmer!FE85)</f>
        <v>46143</v>
      </c>
      <c r="B159" s="69" t="str">
        <f aca="false">IF(Data_Farmer!FE8="","",""&amp;Data_Farmer!FE8)</f>
        <v/>
      </c>
      <c r="C159" s="69" t="str">
        <f aca="false">IF(Data_Farmer!FE12="","",""&amp;Data_Farmer!FE12)</f>
        <v/>
      </c>
      <c r="D159" s="69" t="str">
        <f aca="false">IF(Data_Farmer!FE13="","",""&amp;Data_Farmer!FE13)</f>
        <v/>
      </c>
      <c r="E159" s="69" t="str">
        <f aca="false">IF(Data_Farmer!FE21="","",""&amp;Data_Farmer!FE21)</f>
        <v/>
      </c>
      <c r="F159" s="69" t="str">
        <f aca="false">IF(Data_Farmer!FE22="","",""&amp;Data_Farmer!FE22)</f>
        <v/>
      </c>
      <c r="G159" s="69" t="str">
        <f aca="false">IF(Data_Farmer!FE23="","",""&amp;Data_Farmer!FE23)</f>
        <v/>
      </c>
      <c r="H159" s="69" t="str">
        <f aca="false">IF(Data_Farmer!FE66="","",""&amp;Data_Farmer!FE66)</f>
        <v/>
      </c>
      <c r="I159" s="69" t="str">
        <f aca="false">IF(Data_Farmer!FE26="","",""&amp;Data_Farmer!FE26)</f>
        <v/>
      </c>
      <c r="J159" s="69" t="str">
        <f aca="false">IF(Data_Farmer!FE28="","",""&amp;Data_Farmer!FE28)</f>
        <v/>
      </c>
      <c r="K159" s="69" t="str">
        <f aca="false">IF(Data_Farmer!FE37="","",""&amp;Data_Farmer!FE37)</f>
        <v/>
      </c>
      <c r="L159" s="69" t="str">
        <f aca="false">IF(Data_Farmer!FE38="","",""&amp;Data_Farmer!FE38)</f>
        <v/>
      </c>
      <c r="M159" s="69" t="str">
        <f aca="false">IF(Data_Farmer!FE46="","",""&amp;Data_Farmer!FE46)</f>
        <v/>
      </c>
      <c r="N159" s="69" t="str">
        <f aca="false">IF(Data_Farmer!FE47="","",""&amp;Data_Farmer!FE47)</f>
        <v/>
      </c>
      <c r="O159" s="69" t="str">
        <f aca="false">IF(Data_Farmer!FE48="","",""&amp;Data_Farmer!FE48)</f>
        <v/>
      </c>
      <c r="P159" s="69" t="str">
        <f aca="false">IF(Data_Farmer!FE73="","",""&amp;Data_Farmer!FE73)</f>
        <v/>
      </c>
      <c r="Q159" s="69" t="str">
        <f aca="false">IF(Data_Farmer!FE51="","",""&amp;Data_Farmer!FE51)</f>
        <v/>
      </c>
      <c r="R159" s="69" t="str">
        <f aca="false">IF(Data_Farmer!FE53="","",""&amp;Data_Farmer!FE53)</f>
        <v/>
      </c>
    </row>
    <row r="160" customFormat="false" ht="15" hidden="false" customHeight="false" outlineLevel="0" collapsed="false">
      <c r="A160" s="69" t="str">
        <f aca="false">IF(Data_Farmer!FF85="","",""&amp;Data_Farmer!FF85)</f>
        <v>46144</v>
      </c>
      <c r="B160" s="69" t="str">
        <f aca="false">IF(Data_Farmer!FF8="","",""&amp;Data_Farmer!FF8)</f>
        <v/>
      </c>
      <c r="C160" s="69" t="str">
        <f aca="false">IF(Data_Farmer!FF12="","",""&amp;Data_Farmer!FF12)</f>
        <v/>
      </c>
      <c r="D160" s="69" t="str">
        <f aca="false">IF(Data_Farmer!FF13="","",""&amp;Data_Farmer!FF13)</f>
        <v/>
      </c>
      <c r="E160" s="69" t="str">
        <f aca="false">IF(Data_Farmer!FF21="","",""&amp;Data_Farmer!FF21)</f>
        <v/>
      </c>
      <c r="F160" s="69" t="str">
        <f aca="false">IF(Data_Farmer!FF22="","",""&amp;Data_Farmer!FF22)</f>
        <v/>
      </c>
      <c r="G160" s="69" t="str">
        <f aca="false">IF(Data_Farmer!FF23="","",""&amp;Data_Farmer!FF23)</f>
        <v/>
      </c>
      <c r="H160" s="69" t="str">
        <f aca="false">IF(Data_Farmer!FF66="","",""&amp;Data_Farmer!FF66)</f>
        <v/>
      </c>
      <c r="I160" s="69" t="str">
        <f aca="false">IF(Data_Farmer!FF26="","",""&amp;Data_Farmer!FF26)</f>
        <v/>
      </c>
      <c r="J160" s="69" t="str">
        <f aca="false">IF(Data_Farmer!FF28="","",""&amp;Data_Farmer!FF28)</f>
        <v/>
      </c>
      <c r="K160" s="69" t="str">
        <f aca="false">IF(Data_Farmer!FF37="","",""&amp;Data_Farmer!FF37)</f>
        <v/>
      </c>
      <c r="L160" s="69" t="str">
        <f aca="false">IF(Data_Farmer!FF38="","",""&amp;Data_Farmer!FF38)</f>
        <v/>
      </c>
      <c r="M160" s="69" t="str">
        <f aca="false">IF(Data_Farmer!FF46="","",""&amp;Data_Farmer!FF46)</f>
        <v/>
      </c>
      <c r="N160" s="69" t="str">
        <f aca="false">IF(Data_Farmer!FF47="","",""&amp;Data_Farmer!FF47)</f>
        <v/>
      </c>
      <c r="O160" s="69" t="str">
        <f aca="false">IF(Data_Farmer!FF48="","",""&amp;Data_Farmer!FF48)</f>
        <v/>
      </c>
      <c r="P160" s="69" t="str">
        <f aca="false">IF(Data_Farmer!FF73="","",""&amp;Data_Farmer!FF73)</f>
        <v/>
      </c>
      <c r="Q160" s="69" t="str">
        <f aca="false">IF(Data_Farmer!FF51="","",""&amp;Data_Farmer!FF51)</f>
        <v/>
      </c>
      <c r="R160" s="69" t="str">
        <f aca="false">IF(Data_Farmer!FF53="","",""&amp;Data_Farmer!FF53)</f>
        <v/>
      </c>
    </row>
    <row r="161" customFormat="false" ht="15" hidden="false" customHeight="false" outlineLevel="0" collapsed="false">
      <c r="A161" s="69" t="str">
        <f aca="false">IF(Data_Farmer!FG85="","",""&amp;Data_Farmer!FG85)</f>
        <v>46145</v>
      </c>
      <c r="B161" s="69" t="str">
        <f aca="false">IF(Data_Farmer!FG8="","",""&amp;Data_Farmer!FG8)</f>
        <v/>
      </c>
      <c r="C161" s="69" t="str">
        <f aca="false">IF(Data_Farmer!FG12="","",""&amp;Data_Farmer!FG12)</f>
        <v/>
      </c>
      <c r="D161" s="69" t="str">
        <f aca="false">IF(Data_Farmer!FG13="","",""&amp;Data_Farmer!FG13)</f>
        <v/>
      </c>
      <c r="E161" s="69" t="str">
        <f aca="false">IF(Data_Farmer!FG21="","",""&amp;Data_Farmer!FG21)</f>
        <v/>
      </c>
      <c r="F161" s="69" t="str">
        <f aca="false">IF(Data_Farmer!FG22="","",""&amp;Data_Farmer!FG22)</f>
        <v/>
      </c>
      <c r="G161" s="69" t="str">
        <f aca="false">IF(Data_Farmer!FG23="","",""&amp;Data_Farmer!FG23)</f>
        <v/>
      </c>
      <c r="H161" s="69" t="str">
        <f aca="false">IF(Data_Farmer!FG66="","",""&amp;Data_Farmer!FG66)</f>
        <v/>
      </c>
      <c r="I161" s="69" t="str">
        <f aca="false">IF(Data_Farmer!FG26="","",""&amp;Data_Farmer!FG26)</f>
        <v/>
      </c>
      <c r="J161" s="69" t="str">
        <f aca="false">IF(Data_Farmer!FG28="","",""&amp;Data_Farmer!FG28)</f>
        <v/>
      </c>
      <c r="K161" s="69" t="str">
        <f aca="false">IF(Data_Farmer!FG37="","",""&amp;Data_Farmer!FG37)</f>
        <v/>
      </c>
      <c r="L161" s="69" t="str">
        <f aca="false">IF(Data_Farmer!FG38="","",""&amp;Data_Farmer!FG38)</f>
        <v/>
      </c>
      <c r="M161" s="69" t="str">
        <f aca="false">IF(Data_Farmer!FG46="","",""&amp;Data_Farmer!FG46)</f>
        <v/>
      </c>
      <c r="N161" s="69" t="str">
        <f aca="false">IF(Data_Farmer!FG47="","",""&amp;Data_Farmer!FG47)</f>
        <v/>
      </c>
      <c r="O161" s="69" t="str">
        <f aca="false">IF(Data_Farmer!FG48="","",""&amp;Data_Farmer!FG48)</f>
        <v/>
      </c>
      <c r="P161" s="69" t="str">
        <f aca="false">IF(Data_Farmer!FG73="","",""&amp;Data_Farmer!FG73)</f>
        <v/>
      </c>
      <c r="Q161" s="69" t="str">
        <f aca="false">IF(Data_Farmer!FG51="","",""&amp;Data_Farmer!FG51)</f>
        <v/>
      </c>
      <c r="R161" s="69" t="str">
        <f aca="false">IF(Data_Farmer!FG53="","",""&amp;Data_Farmer!FG53)</f>
        <v/>
      </c>
    </row>
    <row r="162" customFormat="false" ht="15" hidden="false" customHeight="false" outlineLevel="0" collapsed="false">
      <c r="A162" s="69" t="str">
        <f aca="false">IF(Data_Farmer!FH85="","",""&amp;Data_Farmer!FH85)</f>
        <v>46146</v>
      </c>
      <c r="B162" s="69" t="str">
        <f aca="false">IF(Data_Farmer!FH8="","",""&amp;Data_Farmer!FH8)</f>
        <v/>
      </c>
      <c r="C162" s="69" t="str">
        <f aca="false">IF(Data_Farmer!FH12="","",""&amp;Data_Farmer!FH12)</f>
        <v/>
      </c>
      <c r="D162" s="69" t="str">
        <f aca="false">IF(Data_Farmer!FH13="","",""&amp;Data_Farmer!FH13)</f>
        <v/>
      </c>
      <c r="E162" s="69" t="str">
        <f aca="false">IF(Data_Farmer!FH21="","",""&amp;Data_Farmer!FH21)</f>
        <v/>
      </c>
      <c r="F162" s="69" t="str">
        <f aca="false">IF(Data_Farmer!FH22="","",""&amp;Data_Farmer!FH22)</f>
        <v/>
      </c>
      <c r="G162" s="69" t="str">
        <f aca="false">IF(Data_Farmer!FH23="","",""&amp;Data_Farmer!FH23)</f>
        <v/>
      </c>
      <c r="H162" s="69" t="str">
        <f aca="false">IF(Data_Farmer!FH66="","",""&amp;Data_Farmer!FH66)</f>
        <v/>
      </c>
      <c r="I162" s="69" t="str">
        <f aca="false">IF(Data_Farmer!FH26="","",""&amp;Data_Farmer!FH26)</f>
        <v/>
      </c>
      <c r="J162" s="69" t="str">
        <f aca="false">IF(Data_Farmer!FH28="","",""&amp;Data_Farmer!FH28)</f>
        <v/>
      </c>
      <c r="K162" s="69" t="str">
        <f aca="false">IF(Data_Farmer!FH37="","",""&amp;Data_Farmer!FH37)</f>
        <v/>
      </c>
      <c r="L162" s="69" t="str">
        <f aca="false">IF(Data_Farmer!FH38="","",""&amp;Data_Farmer!FH38)</f>
        <v/>
      </c>
      <c r="M162" s="69" t="str">
        <f aca="false">IF(Data_Farmer!FH46="","",""&amp;Data_Farmer!FH46)</f>
        <v/>
      </c>
      <c r="N162" s="69" t="str">
        <f aca="false">IF(Data_Farmer!FH47="","",""&amp;Data_Farmer!FH47)</f>
        <v/>
      </c>
      <c r="O162" s="69" t="str">
        <f aca="false">IF(Data_Farmer!FH48="","",""&amp;Data_Farmer!FH48)</f>
        <v/>
      </c>
      <c r="P162" s="69" t="str">
        <f aca="false">IF(Data_Farmer!FH73="","",""&amp;Data_Farmer!FH73)</f>
        <v/>
      </c>
      <c r="Q162" s="69" t="str">
        <f aca="false">IF(Data_Farmer!FH51="","",""&amp;Data_Farmer!FH51)</f>
        <v/>
      </c>
      <c r="R162" s="69" t="str">
        <f aca="false">IF(Data_Farmer!FH53="","",""&amp;Data_Farmer!FH53)</f>
        <v/>
      </c>
    </row>
    <row r="163" customFormat="false" ht="15" hidden="false" customHeight="false" outlineLevel="0" collapsed="false">
      <c r="A163" s="69" t="str">
        <f aca="false">IF(Data_Farmer!FI85="","",""&amp;Data_Farmer!FI85)</f>
        <v>46147</v>
      </c>
      <c r="B163" s="69" t="str">
        <f aca="false">IF(Data_Farmer!FI8="","",""&amp;Data_Farmer!FI8)</f>
        <v/>
      </c>
      <c r="C163" s="69" t="str">
        <f aca="false">IF(Data_Farmer!FI12="","",""&amp;Data_Farmer!FI12)</f>
        <v/>
      </c>
      <c r="D163" s="69" t="str">
        <f aca="false">IF(Data_Farmer!FI13="","",""&amp;Data_Farmer!FI13)</f>
        <v/>
      </c>
      <c r="E163" s="69" t="str">
        <f aca="false">IF(Data_Farmer!FI21="","",""&amp;Data_Farmer!FI21)</f>
        <v/>
      </c>
      <c r="F163" s="69" t="str">
        <f aca="false">IF(Data_Farmer!FI22="","",""&amp;Data_Farmer!FI22)</f>
        <v/>
      </c>
      <c r="G163" s="69" t="str">
        <f aca="false">IF(Data_Farmer!FI23="","",""&amp;Data_Farmer!FI23)</f>
        <v/>
      </c>
      <c r="H163" s="69" t="str">
        <f aca="false">IF(Data_Farmer!FI66="","",""&amp;Data_Farmer!FI66)</f>
        <v/>
      </c>
      <c r="I163" s="69" t="str">
        <f aca="false">IF(Data_Farmer!FI26="","",""&amp;Data_Farmer!FI26)</f>
        <v/>
      </c>
      <c r="J163" s="69" t="str">
        <f aca="false">IF(Data_Farmer!FI28="","",""&amp;Data_Farmer!FI28)</f>
        <v/>
      </c>
      <c r="K163" s="69" t="str">
        <f aca="false">IF(Data_Farmer!FI37="","",""&amp;Data_Farmer!FI37)</f>
        <v/>
      </c>
      <c r="L163" s="69" t="str">
        <f aca="false">IF(Data_Farmer!FI38="","",""&amp;Data_Farmer!FI38)</f>
        <v/>
      </c>
      <c r="M163" s="69" t="str">
        <f aca="false">IF(Data_Farmer!FI46="","",""&amp;Data_Farmer!FI46)</f>
        <v/>
      </c>
      <c r="N163" s="69" t="str">
        <f aca="false">IF(Data_Farmer!FI47="","",""&amp;Data_Farmer!FI47)</f>
        <v/>
      </c>
      <c r="O163" s="69" t="str">
        <f aca="false">IF(Data_Farmer!FI48="","",""&amp;Data_Farmer!FI48)</f>
        <v/>
      </c>
      <c r="P163" s="69" t="str">
        <f aca="false">IF(Data_Farmer!FI73="","",""&amp;Data_Farmer!FI73)</f>
        <v/>
      </c>
      <c r="Q163" s="69" t="str">
        <f aca="false">IF(Data_Farmer!FI51="","",""&amp;Data_Farmer!FI51)</f>
        <v/>
      </c>
      <c r="R163" s="69" t="str">
        <f aca="false">IF(Data_Farmer!FI53="","",""&amp;Data_Farmer!FI53)</f>
        <v/>
      </c>
    </row>
    <row r="164" customFormat="false" ht="15" hidden="false" customHeight="false" outlineLevel="0" collapsed="false">
      <c r="A164" s="69" t="str">
        <f aca="false">IF(Data_Farmer!FJ85="","",""&amp;Data_Farmer!FJ85)</f>
        <v>46148</v>
      </c>
      <c r="B164" s="69" t="str">
        <f aca="false">IF(Data_Farmer!FJ8="","",""&amp;Data_Farmer!FJ8)</f>
        <v/>
      </c>
      <c r="C164" s="69" t="str">
        <f aca="false">IF(Data_Farmer!FJ12="","",""&amp;Data_Farmer!FJ12)</f>
        <v/>
      </c>
      <c r="D164" s="69" t="str">
        <f aca="false">IF(Data_Farmer!FJ13="","",""&amp;Data_Farmer!FJ13)</f>
        <v/>
      </c>
      <c r="E164" s="69" t="str">
        <f aca="false">IF(Data_Farmer!FJ21="","",""&amp;Data_Farmer!FJ21)</f>
        <v/>
      </c>
      <c r="F164" s="69" t="str">
        <f aca="false">IF(Data_Farmer!FJ22="","",""&amp;Data_Farmer!FJ22)</f>
        <v/>
      </c>
      <c r="G164" s="69" t="str">
        <f aca="false">IF(Data_Farmer!FJ23="","",""&amp;Data_Farmer!FJ23)</f>
        <v/>
      </c>
      <c r="H164" s="69" t="str">
        <f aca="false">IF(Data_Farmer!FJ66="","",""&amp;Data_Farmer!FJ66)</f>
        <v/>
      </c>
      <c r="I164" s="69" t="str">
        <f aca="false">IF(Data_Farmer!FJ26="","",""&amp;Data_Farmer!FJ26)</f>
        <v/>
      </c>
      <c r="J164" s="69" t="str">
        <f aca="false">IF(Data_Farmer!FJ28="","",""&amp;Data_Farmer!FJ28)</f>
        <v/>
      </c>
      <c r="K164" s="69" t="str">
        <f aca="false">IF(Data_Farmer!FJ37="","",""&amp;Data_Farmer!FJ37)</f>
        <v/>
      </c>
      <c r="L164" s="69" t="str">
        <f aca="false">IF(Data_Farmer!FJ38="","",""&amp;Data_Farmer!FJ38)</f>
        <v/>
      </c>
      <c r="M164" s="69" t="str">
        <f aca="false">IF(Data_Farmer!FJ46="","",""&amp;Data_Farmer!FJ46)</f>
        <v/>
      </c>
      <c r="N164" s="69" t="str">
        <f aca="false">IF(Data_Farmer!FJ47="","",""&amp;Data_Farmer!FJ47)</f>
        <v/>
      </c>
      <c r="O164" s="69" t="str">
        <f aca="false">IF(Data_Farmer!FJ48="","",""&amp;Data_Farmer!FJ48)</f>
        <v/>
      </c>
      <c r="P164" s="69" t="str">
        <f aca="false">IF(Data_Farmer!FJ73="","",""&amp;Data_Farmer!FJ73)</f>
        <v/>
      </c>
      <c r="Q164" s="69" t="str">
        <f aca="false">IF(Data_Farmer!FJ51="","",""&amp;Data_Farmer!FJ51)</f>
        <v/>
      </c>
      <c r="R164" s="69" t="str">
        <f aca="false">IF(Data_Farmer!FJ53="","",""&amp;Data_Farmer!FJ53)</f>
        <v/>
      </c>
    </row>
    <row r="165" customFormat="false" ht="15" hidden="false" customHeight="false" outlineLevel="0" collapsed="false">
      <c r="A165" s="69" t="str">
        <f aca="false">IF(Data_Farmer!FK85="","",""&amp;Data_Farmer!FK85)</f>
        <v>46149</v>
      </c>
      <c r="B165" s="69" t="str">
        <f aca="false">IF(Data_Farmer!FK8="","",""&amp;Data_Farmer!FK8)</f>
        <v/>
      </c>
      <c r="C165" s="69" t="str">
        <f aca="false">IF(Data_Farmer!FK12="","",""&amp;Data_Farmer!FK12)</f>
        <v/>
      </c>
      <c r="D165" s="69" t="str">
        <f aca="false">IF(Data_Farmer!FK13="","",""&amp;Data_Farmer!FK13)</f>
        <v/>
      </c>
      <c r="E165" s="69" t="str">
        <f aca="false">IF(Data_Farmer!FK21="","",""&amp;Data_Farmer!FK21)</f>
        <v/>
      </c>
      <c r="F165" s="69" t="str">
        <f aca="false">IF(Data_Farmer!FK22="","",""&amp;Data_Farmer!FK22)</f>
        <v/>
      </c>
      <c r="G165" s="69" t="str">
        <f aca="false">IF(Data_Farmer!FK23="","",""&amp;Data_Farmer!FK23)</f>
        <v/>
      </c>
      <c r="H165" s="69" t="str">
        <f aca="false">IF(Data_Farmer!FK66="","",""&amp;Data_Farmer!FK66)</f>
        <v/>
      </c>
      <c r="I165" s="69" t="str">
        <f aca="false">IF(Data_Farmer!FK26="","",""&amp;Data_Farmer!FK26)</f>
        <v/>
      </c>
      <c r="J165" s="69" t="str">
        <f aca="false">IF(Data_Farmer!FK28="","",""&amp;Data_Farmer!FK28)</f>
        <v/>
      </c>
      <c r="K165" s="69" t="str">
        <f aca="false">IF(Data_Farmer!FK37="","",""&amp;Data_Farmer!FK37)</f>
        <v/>
      </c>
      <c r="L165" s="69" t="str">
        <f aca="false">IF(Data_Farmer!FK38="","",""&amp;Data_Farmer!FK38)</f>
        <v/>
      </c>
      <c r="M165" s="69" t="str">
        <f aca="false">IF(Data_Farmer!FK46="","",""&amp;Data_Farmer!FK46)</f>
        <v/>
      </c>
      <c r="N165" s="69" t="str">
        <f aca="false">IF(Data_Farmer!FK47="","",""&amp;Data_Farmer!FK47)</f>
        <v/>
      </c>
      <c r="O165" s="69" t="str">
        <f aca="false">IF(Data_Farmer!FK48="","",""&amp;Data_Farmer!FK48)</f>
        <v/>
      </c>
      <c r="P165" s="69" t="str">
        <f aca="false">IF(Data_Farmer!FK73="","",""&amp;Data_Farmer!FK73)</f>
        <v/>
      </c>
      <c r="Q165" s="69" t="str">
        <f aca="false">IF(Data_Farmer!FK51="","",""&amp;Data_Farmer!FK51)</f>
        <v/>
      </c>
      <c r="R165" s="69" t="str">
        <f aca="false">IF(Data_Farmer!FK53="","",""&amp;Data_Farmer!FK53)</f>
        <v/>
      </c>
    </row>
    <row r="166" customFormat="false" ht="15" hidden="false" customHeight="false" outlineLevel="0" collapsed="false">
      <c r="A166" s="69" t="str">
        <f aca="false">IF(Data_Farmer!FL85="","",""&amp;Data_Farmer!FL85)</f>
        <v>46150</v>
      </c>
      <c r="B166" s="69" t="str">
        <f aca="false">IF(Data_Farmer!FL8="","",""&amp;Data_Farmer!FL8)</f>
        <v/>
      </c>
      <c r="C166" s="69" t="str">
        <f aca="false">IF(Data_Farmer!FL12="","",""&amp;Data_Farmer!FL12)</f>
        <v/>
      </c>
      <c r="D166" s="69" t="str">
        <f aca="false">IF(Data_Farmer!FL13="","",""&amp;Data_Farmer!FL13)</f>
        <v/>
      </c>
      <c r="E166" s="69" t="str">
        <f aca="false">IF(Data_Farmer!FL21="","",""&amp;Data_Farmer!FL21)</f>
        <v/>
      </c>
      <c r="F166" s="69" t="str">
        <f aca="false">IF(Data_Farmer!FL22="","",""&amp;Data_Farmer!FL22)</f>
        <v/>
      </c>
      <c r="G166" s="69" t="str">
        <f aca="false">IF(Data_Farmer!FL23="","",""&amp;Data_Farmer!FL23)</f>
        <v/>
      </c>
      <c r="H166" s="69" t="str">
        <f aca="false">IF(Data_Farmer!FL66="","",""&amp;Data_Farmer!FL66)</f>
        <v/>
      </c>
      <c r="I166" s="69" t="str">
        <f aca="false">IF(Data_Farmer!FL26="","",""&amp;Data_Farmer!FL26)</f>
        <v/>
      </c>
      <c r="J166" s="69" t="str">
        <f aca="false">IF(Data_Farmer!FL28="","",""&amp;Data_Farmer!FL28)</f>
        <v/>
      </c>
      <c r="K166" s="69" t="str">
        <f aca="false">IF(Data_Farmer!FL37="","",""&amp;Data_Farmer!FL37)</f>
        <v/>
      </c>
      <c r="L166" s="69" t="str">
        <f aca="false">IF(Data_Farmer!FL38="","",""&amp;Data_Farmer!FL38)</f>
        <v/>
      </c>
      <c r="M166" s="69" t="str">
        <f aca="false">IF(Data_Farmer!FL46="","",""&amp;Data_Farmer!FL46)</f>
        <v/>
      </c>
      <c r="N166" s="69" t="str">
        <f aca="false">IF(Data_Farmer!FL47="","",""&amp;Data_Farmer!FL47)</f>
        <v/>
      </c>
      <c r="O166" s="69" t="str">
        <f aca="false">IF(Data_Farmer!FL48="","",""&amp;Data_Farmer!FL48)</f>
        <v/>
      </c>
      <c r="P166" s="69" t="str">
        <f aca="false">IF(Data_Farmer!FL73="","",""&amp;Data_Farmer!FL73)</f>
        <v/>
      </c>
      <c r="Q166" s="69" t="str">
        <f aca="false">IF(Data_Farmer!FL51="","",""&amp;Data_Farmer!FL51)</f>
        <v/>
      </c>
      <c r="R166" s="69" t="str">
        <f aca="false">IF(Data_Farmer!FL53="","",""&amp;Data_Farmer!FL53)</f>
        <v/>
      </c>
    </row>
    <row r="167" customFormat="false" ht="15" hidden="false" customHeight="false" outlineLevel="0" collapsed="false">
      <c r="A167" s="69" t="str">
        <f aca="false">IF(Data_Farmer!FM85="","",""&amp;Data_Farmer!FM85)</f>
        <v>46151</v>
      </c>
      <c r="B167" s="69" t="str">
        <f aca="false">IF(Data_Farmer!FM8="","",""&amp;Data_Farmer!FM8)</f>
        <v/>
      </c>
      <c r="C167" s="69" t="str">
        <f aca="false">IF(Data_Farmer!FM12="","",""&amp;Data_Farmer!FM12)</f>
        <v/>
      </c>
      <c r="D167" s="69" t="str">
        <f aca="false">IF(Data_Farmer!FM13="","",""&amp;Data_Farmer!FM13)</f>
        <v/>
      </c>
      <c r="E167" s="69" t="str">
        <f aca="false">IF(Data_Farmer!FM21="","",""&amp;Data_Farmer!FM21)</f>
        <v/>
      </c>
      <c r="F167" s="69" t="str">
        <f aca="false">IF(Data_Farmer!FM22="","",""&amp;Data_Farmer!FM22)</f>
        <v/>
      </c>
      <c r="G167" s="69" t="str">
        <f aca="false">IF(Data_Farmer!FM23="","",""&amp;Data_Farmer!FM23)</f>
        <v/>
      </c>
      <c r="H167" s="69" t="str">
        <f aca="false">IF(Data_Farmer!FM66="","",""&amp;Data_Farmer!FM66)</f>
        <v/>
      </c>
      <c r="I167" s="69" t="str">
        <f aca="false">IF(Data_Farmer!FM26="","",""&amp;Data_Farmer!FM26)</f>
        <v/>
      </c>
      <c r="J167" s="69" t="str">
        <f aca="false">IF(Data_Farmer!FM28="","",""&amp;Data_Farmer!FM28)</f>
        <v/>
      </c>
      <c r="K167" s="69" t="str">
        <f aca="false">IF(Data_Farmer!FM37="","",""&amp;Data_Farmer!FM37)</f>
        <v/>
      </c>
      <c r="L167" s="69" t="str">
        <f aca="false">IF(Data_Farmer!FM38="","",""&amp;Data_Farmer!FM38)</f>
        <v/>
      </c>
      <c r="M167" s="69" t="str">
        <f aca="false">IF(Data_Farmer!FM46="","",""&amp;Data_Farmer!FM46)</f>
        <v/>
      </c>
      <c r="N167" s="69" t="str">
        <f aca="false">IF(Data_Farmer!FM47="","",""&amp;Data_Farmer!FM47)</f>
        <v/>
      </c>
      <c r="O167" s="69" t="str">
        <f aca="false">IF(Data_Farmer!FM48="","",""&amp;Data_Farmer!FM48)</f>
        <v/>
      </c>
      <c r="P167" s="69" t="str">
        <f aca="false">IF(Data_Farmer!FM73="","",""&amp;Data_Farmer!FM73)</f>
        <v/>
      </c>
      <c r="Q167" s="69" t="str">
        <f aca="false">IF(Data_Farmer!FM51="","",""&amp;Data_Farmer!FM51)</f>
        <v/>
      </c>
      <c r="R167" s="69" t="str">
        <f aca="false">IF(Data_Farmer!FM53="","",""&amp;Data_Farmer!FM53)</f>
        <v/>
      </c>
    </row>
    <row r="168" customFormat="false" ht="15" hidden="false" customHeight="false" outlineLevel="0" collapsed="false">
      <c r="A168" s="69" t="str">
        <f aca="false">IF(Data_Farmer!FN85="","",""&amp;Data_Farmer!FN85)</f>
        <v>46152</v>
      </c>
      <c r="B168" s="69" t="str">
        <f aca="false">IF(Data_Farmer!FN8="","",""&amp;Data_Farmer!FN8)</f>
        <v/>
      </c>
      <c r="C168" s="69" t="str">
        <f aca="false">IF(Data_Farmer!FN12="","",""&amp;Data_Farmer!FN12)</f>
        <v/>
      </c>
      <c r="D168" s="69" t="str">
        <f aca="false">IF(Data_Farmer!FN13="","",""&amp;Data_Farmer!FN13)</f>
        <v/>
      </c>
      <c r="E168" s="69" t="str">
        <f aca="false">IF(Data_Farmer!FN21="","",""&amp;Data_Farmer!FN21)</f>
        <v/>
      </c>
      <c r="F168" s="69" t="str">
        <f aca="false">IF(Data_Farmer!FN22="","",""&amp;Data_Farmer!FN22)</f>
        <v/>
      </c>
      <c r="G168" s="69" t="str">
        <f aca="false">IF(Data_Farmer!FN23="","",""&amp;Data_Farmer!FN23)</f>
        <v/>
      </c>
      <c r="H168" s="69" t="str">
        <f aca="false">IF(Data_Farmer!FN66="","",""&amp;Data_Farmer!FN66)</f>
        <v/>
      </c>
      <c r="I168" s="69" t="str">
        <f aca="false">IF(Data_Farmer!FN26="","",""&amp;Data_Farmer!FN26)</f>
        <v/>
      </c>
      <c r="J168" s="69" t="str">
        <f aca="false">IF(Data_Farmer!FN28="","",""&amp;Data_Farmer!FN28)</f>
        <v/>
      </c>
      <c r="K168" s="69" t="str">
        <f aca="false">IF(Data_Farmer!FN37="","",""&amp;Data_Farmer!FN37)</f>
        <v/>
      </c>
      <c r="L168" s="69" t="str">
        <f aca="false">IF(Data_Farmer!FN38="","",""&amp;Data_Farmer!FN38)</f>
        <v/>
      </c>
      <c r="M168" s="69" t="str">
        <f aca="false">IF(Data_Farmer!FN46="","",""&amp;Data_Farmer!FN46)</f>
        <v/>
      </c>
      <c r="N168" s="69" t="str">
        <f aca="false">IF(Data_Farmer!FN47="","",""&amp;Data_Farmer!FN47)</f>
        <v/>
      </c>
      <c r="O168" s="69" t="str">
        <f aca="false">IF(Data_Farmer!FN48="","",""&amp;Data_Farmer!FN48)</f>
        <v/>
      </c>
      <c r="P168" s="69" t="str">
        <f aca="false">IF(Data_Farmer!FN73="","",""&amp;Data_Farmer!FN73)</f>
        <v/>
      </c>
      <c r="Q168" s="69" t="str">
        <f aca="false">IF(Data_Farmer!FN51="","",""&amp;Data_Farmer!FN51)</f>
        <v/>
      </c>
      <c r="R168" s="69" t="str">
        <f aca="false">IF(Data_Farmer!FN53="","",""&amp;Data_Farmer!FN53)</f>
        <v/>
      </c>
    </row>
    <row r="169" customFormat="false" ht="15" hidden="false" customHeight="false" outlineLevel="0" collapsed="false">
      <c r="A169" s="69" t="str">
        <f aca="false">IF(Data_Farmer!FO85="","",""&amp;Data_Farmer!FO85)</f>
        <v>46153</v>
      </c>
      <c r="B169" s="69" t="str">
        <f aca="false">IF(Data_Farmer!FO8="","",""&amp;Data_Farmer!FO8)</f>
        <v/>
      </c>
      <c r="C169" s="69" t="str">
        <f aca="false">IF(Data_Farmer!FO12="","",""&amp;Data_Farmer!FO12)</f>
        <v/>
      </c>
      <c r="D169" s="69" t="str">
        <f aca="false">IF(Data_Farmer!FO13="","",""&amp;Data_Farmer!FO13)</f>
        <v/>
      </c>
      <c r="E169" s="69" t="str">
        <f aca="false">IF(Data_Farmer!FO21="","",""&amp;Data_Farmer!FO21)</f>
        <v/>
      </c>
      <c r="F169" s="69" t="str">
        <f aca="false">IF(Data_Farmer!FO22="","",""&amp;Data_Farmer!FO22)</f>
        <v/>
      </c>
      <c r="G169" s="69" t="str">
        <f aca="false">IF(Data_Farmer!FO23="","",""&amp;Data_Farmer!FO23)</f>
        <v/>
      </c>
      <c r="H169" s="69" t="str">
        <f aca="false">IF(Data_Farmer!FO66="","",""&amp;Data_Farmer!FO66)</f>
        <v/>
      </c>
      <c r="I169" s="69" t="str">
        <f aca="false">IF(Data_Farmer!FO26="","",""&amp;Data_Farmer!FO26)</f>
        <v/>
      </c>
      <c r="J169" s="69" t="str">
        <f aca="false">IF(Data_Farmer!FO28="","",""&amp;Data_Farmer!FO28)</f>
        <v/>
      </c>
      <c r="K169" s="69" t="str">
        <f aca="false">IF(Data_Farmer!FO37="","",""&amp;Data_Farmer!FO37)</f>
        <v/>
      </c>
      <c r="L169" s="69" t="str">
        <f aca="false">IF(Data_Farmer!FO38="","",""&amp;Data_Farmer!FO38)</f>
        <v/>
      </c>
      <c r="M169" s="69" t="str">
        <f aca="false">IF(Data_Farmer!FO46="","",""&amp;Data_Farmer!FO46)</f>
        <v/>
      </c>
      <c r="N169" s="69" t="str">
        <f aca="false">IF(Data_Farmer!FO47="","",""&amp;Data_Farmer!FO47)</f>
        <v/>
      </c>
      <c r="O169" s="69" t="str">
        <f aca="false">IF(Data_Farmer!FO48="","",""&amp;Data_Farmer!FO48)</f>
        <v/>
      </c>
      <c r="P169" s="69" t="str">
        <f aca="false">IF(Data_Farmer!FO73="","",""&amp;Data_Farmer!FO73)</f>
        <v/>
      </c>
      <c r="Q169" s="69" t="str">
        <f aca="false">IF(Data_Farmer!FO51="","",""&amp;Data_Farmer!FO51)</f>
        <v/>
      </c>
      <c r="R169" s="69" t="str">
        <f aca="false">IF(Data_Farmer!FO53="","",""&amp;Data_Farmer!FO53)</f>
        <v/>
      </c>
    </row>
    <row r="170" customFormat="false" ht="15" hidden="false" customHeight="false" outlineLevel="0" collapsed="false">
      <c r="A170" s="69" t="str">
        <f aca="false">IF(Data_Farmer!FP85="","",""&amp;Data_Farmer!FP85)</f>
        <v>46154</v>
      </c>
      <c r="B170" s="69" t="str">
        <f aca="false">IF(Data_Farmer!FP8="","",""&amp;Data_Farmer!FP8)</f>
        <v/>
      </c>
      <c r="C170" s="69" t="str">
        <f aca="false">IF(Data_Farmer!FP12="","",""&amp;Data_Farmer!FP12)</f>
        <v/>
      </c>
      <c r="D170" s="69" t="str">
        <f aca="false">IF(Data_Farmer!FP13="","",""&amp;Data_Farmer!FP13)</f>
        <v/>
      </c>
      <c r="E170" s="69" t="str">
        <f aca="false">IF(Data_Farmer!FP21="","",""&amp;Data_Farmer!FP21)</f>
        <v/>
      </c>
      <c r="F170" s="69" t="str">
        <f aca="false">IF(Data_Farmer!FP22="","",""&amp;Data_Farmer!FP22)</f>
        <v/>
      </c>
      <c r="G170" s="69" t="str">
        <f aca="false">IF(Data_Farmer!FP23="","",""&amp;Data_Farmer!FP23)</f>
        <v/>
      </c>
      <c r="H170" s="69" t="str">
        <f aca="false">IF(Data_Farmer!FP66="","",""&amp;Data_Farmer!FP66)</f>
        <v/>
      </c>
      <c r="I170" s="69" t="str">
        <f aca="false">IF(Data_Farmer!FP26="","",""&amp;Data_Farmer!FP26)</f>
        <v/>
      </c>
      <c r="J170" s="69" t="str">
        <f aca="false">IF(Data_Farmer!FP28="","",""&amp;Data_Farmer!FP28)</f>
        <v/>
      </c>
      <c r="K170" s="69" t="str">
        <f aca="false">IF(Data_Farmer!FP37="","",""&amp;Data_Farmer!FP37)</f>
        <v/>
      </c>
      <c r="L170" s="69" t="str">
        <f aca="false">IF(Data_Farmer!FP38="","",""&amp;Data_Farmer!FP38)</f>
        <v/>
      </c>
      <c r="M170" s="69" t="str">
        <f aca="false">IF(Data_Farmer!FP46="","",""&amp;Data_Farmer!FP46)</f>
        <v/>
      </c>
      <c r="N170" s="69" t="str">
        <f aca="false">IF(Data_Farmer!FP47="","",""&amp;Data_Farmer!FP47)</f>
        <v/>
      </c>
      <c r="O170" s="69" t="str">
        <f aca="false">IF(Data_Farmer!FP48="","",""&amp;Data_Farmer!FP48)</f>
        <v/>
      </c>
      <c r="P170" s="69" t="str">
        <f aca="false">IF(Data_Farmer!FP73="","",""&amp;Data_Farmer!FP73)</f>
        <v/>
      </c>
      <c r="Q170" s="69" t="str">
        <f aca="false">IF(Data_Farmer!FP51="","",""&amp;Data_Farmer!FP51)</f>
        <v/>
      </c>
      <c r="R170" s="69" t="str">
        <f aca="false">IF(Data_Farmer!FP53="","",""&amp;Data_Farmer!FP53)</f>
        <v/>
      </c>
    </row>
    <row r="171" customFormat="false" ht="15" hidden="false" customHeight="false" outlineLevel="0" collapsed="false">
      <c r="A171" s="69" t="str">
        <f aca="false">IF(Data_Farmer!FQ85="","",""&amp;Data_Farmer!FQ85)</f>
        <v>46155</v>
      </c>
      <c r="B171" s="69" t="str">
        <f aca="false">IF(Data_Farmer!FQ8="","",""&amp;Data_Farmer!FQ8)</f>
        <v/>
      </c>
      <c r="C171" s="69" t="str">
        <f aca="false">IF(Data_Farmer!FQ12="","",""&amp;Data_Farmer!FQ12)</f>
        <v/>
      </c>
      <c r="D171" s="69" t="str">
        <f aca="false">IF(Data_Farmer!FQ13="","",""&amp;Data_Farmer!FQ13)</f>
        <v/>
      </c>
      <c r="E171" s="69" t="str">
        <f aca="false">IF(Data_Farmer!FQ21="","",""&amp;Data_Farmer!FQ21)</f>
        <v/>
      </c>
      <c r="F171" s="69" t="str">
        <f aca="false">IF(Data_Farmer!FQ22="","",""&amp;Data_Farmer!FQ22)</f>
        <v/>
      </c>
      <c r="G171" s="69" t="str">
        <f aca="false">IF(Data_Farmer!FQ23="","",""&amp;Data_Farmer!FQ23)</f>
        <v/>
      </c>
      <c r="H171" s="69" t="str">
        <f aca="false">IF(Data_Farmer!FQ66="","",""&amp;Data_Farmer!FQ66)</f>
        <v/>
      </c>
      <c r="I171" s="69" t="str">
        <f aca="false">IF(Data_Farmer!FQ26="","",""&amp;Data_Farmer!FQ26)</f>
        <v/>
      </c>
      <c r="J171" s="69" t="str">
        <f aca="false">IF(Data_Farmer!FQ28="","",""&amp;Data_Farmer!FQ28)</f>
        <v/>
      </c>
      <c r="K171" s="69" t="str">
        <f aca="false">IF(Data_Farmer!FQ37="","",""&amp;Data_Farmer!FQ37)</f>
        <v/>
      </c>
      <c r="L171" s="69" t="str">
        <f aca="false">IF(Data_Farmer!FQ38="","",""&amp;Data_Farmer!FQ38)</f>
        <v/>
      </c>
      <c r="M171" s="69" t="str">
        <f aca="false">IF(Data_Farmer!FQ46="","",""&amp;Data_Farmer!FQ46)</f>
        <v/>
      </c>
      <c r="N171" s="69" t="str">
        <f aca="false">IF(Data_Farmer!FQ47="","",""&amp;Data_Farmer!FQ47)</f>
        <v/>
      </c>
      <c r="O171" s="69" t="str">
        <f aca="false">IF(Data_Farmer!FQ48="","",""&amp;Data_Farmer!FQ48)</f>
        <v/>
      </c>
      <c r="P171" s="69" t="str">
        <f aca="false">IF(Data_Farmer!FQ73="","",""&amp;Data_Farmer!FQ73)</f>
        <v/>
      </c>
      <c r="Q171" s="69" t="str">
        <f aca="false">IF(Data_Farmer!FQ51="","",""&amp;Data_Farmer!FQ51)</f>
        <v/>
      </c>
      <c r="R171" s="69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2026-10-19T02:22:19Z</dcterms:created>
  <dc:creator>openpyxl</dc:creator>
  <dc:description/>
  <dc:language>en-US</dc:language>
  <cp:lastModifiedBy/>
  <dcterms:modified xsi:type="dcterms:W3CDTF">2026-10-19T08:23:06Z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