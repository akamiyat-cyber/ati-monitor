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<sst xmlns="http://schemas.openxmlformats.org/spreadsheetml/2006/main" count="904" uniqueCount="575">
  <si>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</si>
  <si>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</si>
  <si>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</si>
  <si>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</si>
  <si>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</si>
  <si>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</si>
  <si>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</si>
  <si>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</si>
  <si>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</si>
  <si>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</si>
  <si>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</si>
  <si>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</si>
  <si>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</si>
  <si>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</si>
  <si>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</si>
  <si>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</si>
  <si>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</si>
  <si>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</si>
  <si>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</si>
  <si>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</si>
  <si>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</si>
  <si>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</si>
  <si>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ইনপুট পরীক্ষা (স্বয়ংক্রিয়) - সতর্কতার অর্থ</t>
  </si>
  <si>
    <t xml:space="preserve">2_Daily_input-এর "FP: ইনপুট পরীক্ষা (স্বয়ংক্রিয়)" ও "3F4D+MD: ইনপুট পরীক্ষা (স্বয়ংক্রিয়)" সারি সব ঠিক থাকলে খালি থাকে। কিছু ভুল মনে হলে কমলা রঙে সতর্কতা দেখায় (একাধিক হলে ";" দিয়ে আলাদা)।</t>
  </si>
  <si>
    <t xml:space="preserve">পানির স্তর সীমার বাইরে = পানির স্তর -30 সেমির নিচে বা +20 সেমির উপরে: m (লেখার ভুল) এবং TP / b দেখুন।</t>
  </si>
  <si>
    <t xml:space="preserve">TP/b নেই = m লেখা আছে কিন্তু TP ও b নেই, তাই পানির স্তর হিসাব হয় না: 1_Settings-এ TP ও b লিখুন।</t>
  </si>
  <si>
    <t xml:space="preserve">সেচের পরে &lt; আগে = সেচের পরের স্তর আগের চেয়ে কম: "সেচের আগে m" ও "সেচের পরে m" উল্টে যায়নি তো দেখুন।</t>
  </si>
  <si>
    <t xml:space="preserve">সেচের মাপ অসম্পূর্ণ = "সেচের আগে m" ও "সেচের পরে m"-এর একটি মাত্র লেখা: অন্যটি লিখুন (খালি ঘর লাল)।</t>
  </si>
  <si>
    <t xml:space="preserve">পানির স্তর হঠাৎ &gt;5 সেমি বদল = বৃষ্টি ছাড়া আগের দিনের চেয়ে 5 সেমির বেশি বদলেছে: m দেখুন, অথবা বৃষ্টি লিখুন।</t>
  </si>
  <si>
    <t xml:space="preserve">পিটানের পরে TP/b আবার মাপুন (শুধু 3F4D+MD) = পিটান শেষ কিন্তু TP ও b আবার মাপা হয়নি: মেপে "TP ও b আবার মাপা হলে" সারিতে লিখুন।</t>
  </si>
  <si>
    <t xml:space="preserve">আবহাওয়া: বৃষ্টি, তাপমাত্রা বা আর্দ্রতা সীমার বাইরে হলে (বৃষ্টি 0-300 মিমি, তাপমাত্রা 0-45 °C, আর্দ্রতা 0-100 %) Data_Farmer-এর "Input check, weather (automatic)" সারিতে দেখায়।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</si>
  <si>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</si>
  <si>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</si>
  <si>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</si>
  <si>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</si>
  <si>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</si>
  <si>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</si>
  <si>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</si>
  <si>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</si>
  <si>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</si>
  <si>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যেমন Chougachha-01</t>
  </si>
  <si>
    <t xml:space="preserve">2</t>
  </si>
  <si>
    <t xml:space="preserve">স্থান (জেলা / উপজেলা) *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</si>
  <si>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</si>
  <si>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</si>
  <si>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</si>
  <si>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</si>
  <si>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</si>
  <si>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</si>
  <si>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</si>
  <si>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</si>
  <si>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</si>
  <si>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</si>
  <si>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</si>
  <si>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</si>
  <si>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</si>
  <si>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</si>
  <si>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</si>
  <si>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</si>
  <si>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</si>
  <si>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</si>
  <si>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</si>
  <si>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</si>
  <si>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</si>
  <si>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</si>
  <si>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</si>
  <si>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</si>
  <si>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</si>
  <si>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</si>
  <si>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</si>
  <si>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</si>
  <si>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</si>
  <si>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</si>
  <si>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</si>
  <si>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</si>
  <si>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</si>
  <si>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</si>
  <si>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</si>
  <si>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</si>
  <si>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</si>
  <si>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</si>
  <si>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</si>
  <si>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</si>
  <si>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</si>
  <si>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</si>
  <si>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</si>
  <si>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</si>
  <si>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</si>
  <si>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</si>
  <si>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</si>
  <si>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</si>
  <si>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</si>
  <si>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</si>
  <si>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</si>
  <si>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</si>
  <si>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</si>
  <si>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</si>
  <si>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</si>
  <si>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</si>
  <si>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</si>
  <si>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</si>
  <si>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</si>
  <si>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</si>
  <si>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</si>
  <si>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</si>
  <si>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</si>
  <si>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</si>
  <si>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</si>
  <si>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</si>
  <si>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</si>
  <si>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</si>
  <si>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</si>
  <si>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</si>
  <si>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</si>
  <si>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</si>
  <si>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</si>
  <si>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</si>
  <si>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</si>
  <si>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</si>
  <si>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</si>
  <si>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</si>
  <si>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</si>
  <si>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</si>
  <si>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</si>
  <si>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</si>
  <si>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2  দৈনিক তথ্য (Daily input)</t>
  </si>
  <si>
    <t xml:space="preserve">তারিখ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</si>
  <si>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</si>
  <si>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</si>
  <si>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</si>
  <si>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</si>
  <si>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</si>
  <si>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</si>
  <si>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</si>
  <si>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</si>
  <si>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</si>
  <si>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</si>
  <si>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</si>
  <si>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</si>
  <si>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ইনপুট পরীক্ষা (স্বয়ংক্রিয়)</t>
  </si>
  <si>
    <t xml:space="preserve">সতর্কতা, Guide দেখুন</t>
  </si>
  <si>
    <t xml:space="preserve">3F4D+MD: ইনপুট পরীক্ষা (স্বয়ংক্রিয়)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</si>
  <si>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</si>
  <si>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</si>
  <si>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</si>
  <si>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</si>
  <si>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</si>
  <si>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</si>
  <si>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</si>
  <si>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</si>
  <si>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</si>
  <si>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</si>
  <si>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</si>
  <si>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</si>
  <si>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</si>
  <si>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</si>
  <si>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</si>
  <si>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</si>
  <si>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</si>
  <si>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</si>
  <si>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</si>
  <si>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</si>
  <si>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</si>
  <si>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</si>
  <si>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</si>
  <si>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</si>
  <si>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</si>
  <si>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</si>
  <si>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</si>
  <si>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</si>
  <si>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</si>
  <si>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</si>
  <si>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</si>
  <si>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</si>
  <si>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</si>
  <si>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</si>
  <si>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</si>
  <si>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</si>
  <si>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</si>
  <si>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</si>
  <si>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</si>
  <si>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</si>
  <si>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</si>
  <si>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</si>
  <si>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</si>
  <si>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</si>
  <si>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</si>
  <si>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</si>
  <si>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</si>
  <si>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</si>
  <si>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</si>
  <si>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</si>
  <si>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</si>
  <si>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</si>
  <si>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</si>
  <si>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</si>
  <si>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</si>
  <si>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</si>
  <si>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</si>
  <si>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</si>
  <si>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</si>
  <si>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</si>
  <si>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</si>
  <si>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</si>
  <si>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</si>
  <si>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</si>
  <si>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</si>
  <si>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</si>
  <si>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</si>
  <si>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</si>
  <si>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</si>
  <si>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</si>
  <si>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</si>
  <si>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</si>
  <si>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</si>
  <si>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</si>
  <si>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</si>
  <si>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</si>
  <si>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</si>
  <si>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</si>
  <si>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</si>
  <si>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</si>
  <si>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</si>
  <si>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</si>
  <si>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</si>
  <si>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</si>
  <si>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</si>
  <si>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</si>
  <si>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</si>
  <si>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</si>
  <si>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</si>
  <si>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</si>
  <si>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</si>
  <si>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FP: বালাইনাশকের নাম</t>
  </si>
  <si>
    <t xml:space="preserve">FP: উদ্দেশ্য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</si>
  <si>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</si>
  <si>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</si>
  <si>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</si>
  <si>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</si>
  <si>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</si>
  <si>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</si>
  <si>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</si>
  <si>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</si>
  <si>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</si>
  <si>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</si>
  <si>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</si>
  <si>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</si>
  <si>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</si>
  <si>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</si>
  <si>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</si>
  <si>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</si>
  <si>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</si>
  <si>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</si>
  <si>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</si>
  <si>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</si>
  <si>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</si>
  <si>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</si>
  <si>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</si>
  <si>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</si>
  <si>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</si>
  <si>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</si>
  <si>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</si>
  <si>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</si>
  <si>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</si>
  <si>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</si>
  <si>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</si>
  <si>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</si>
  <si>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</si>
  <si>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</si>
  <si>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</si>
  <si>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</si>
  <si>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</si>
  <si>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</si>
  <si>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</si>
  <si>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</si>
  <si>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</si>
  <si>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</si>
  <si>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</si>
  <si>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</si>
  <si>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</si>
  <si>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</si>
  <si>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</si>
  <si>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</si>
  <si>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</si>
  <si>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</si>
  <si>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</si>
  <si>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</si>
  <si>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</si>
  <si>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</si>
  <si>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</si>
  <si>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</si>
  <si>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</si>
  <si>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</si>
  <si>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</si>
  <si>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</si>
  <si>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</si>
  <si>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</si>
  <si>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</si>
  <si>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</si>
  <si>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</si>
  <si>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</si>
  <si>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</si>
  <si>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</si>
  <si>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</si>
  <si>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</si>
  <si>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</si>
  <si>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</si>
  <si>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</si>
  <si>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</si>
  <si>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</si>
  <si>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</si>
  <si>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</si>
  <si>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</si>
  <si>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</si>
  <si>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</si>
  <si>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</si>
  <si>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</si>
  <si>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</si>
  <si>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</si>
  <si>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</si>
  <si>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</si>
  <si>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</si>
  <si>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</si>
  <si>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</si>
  <si>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</si>
  <si>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</si>
  <si>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বীজ ভেজানো</t>
  </si>
  <si>
    <t xml:space="preserve">বীজ বপন</t>
  </si>
  <si>
    <t xml:space="preserve">বপন</t>
  </si>
  <si>
    <t xml:space="preserve">চাষ</t>
  </si>
  <si>
    <t xml:space="preserve">কাদা করা</t>
  </si>
  <si>
    <t xml:space="preserve">চারা রোপণ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</si>
  <si>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</si>
  <si>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</si>
  <si>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</si>
  <si>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</si>
  <si>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</si>
  <si>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</si>
  <si>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</si>
  <si>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</si>
  <si>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</si>
  <si>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</si>
  <si>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</si>
  <si>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</si>
  <si>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</si>
  <si>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</si>
  <si>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</si>
  <si>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</si>
  <si>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</si>
  <si>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</si>
  <si>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</si>
  <si>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</si>
  <si>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</si>
  <si>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</si>
  <si>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</si>
  <si>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</si>
  <si>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</si>
  <si>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শেষ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</si>
  <si>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</si>
  <si>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</si>
  <si>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</si>
  <si>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</si>
  <si>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</si>
  <si>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</si>
  <si>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</si>
  <si>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</si>
  <si>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</si>
  <si>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</si>
  <si>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</si>
  <si>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</si>
  <si>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</si>
  <si>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</si>
  <si>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</si>
  <si>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</si>
  <si>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</si>
  <si>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</si>
  <si>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</si>
  <si>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</si>
  <si>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</si>
  <si>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</si>
  <si>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</si>
  <si>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</si>
  <si>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</si>
  <si>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</si>
  <si>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</si>
  <si>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</si>
  <si>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</si>
  <si>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</si>
  <si>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</si>
  <si>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</si>
  <si>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</si>
  <si>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</si>
  <si>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</si>
  <si>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</si>
  <si>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</si>
  <si>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</si>
  <si>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</si>
  <si>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</si>
  <si>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</si>
  <si>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</si>
  <si>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</si>
  <si>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</si>
  <si>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</si>
  <si>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</si>
  <si>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</si>
  <si>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</si>
  <si>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</si>
  <si>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</si>
  <si>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</si>
  <si>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</si>
  <si>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</si>
  <si>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</si>
  <si>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</si>
  <si>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</si>
  <si>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</si>
  <si>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</si>
  <si>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</si>
  <si>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</si>
  <si>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</si>
  <si>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</si>
  <si>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</si>
  <si>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</si>
  <si>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</si>
  <si>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</si>
  <si>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</si>
  <si>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</si>
  <si>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</si>
  <si>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</si>
  <si>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</si>
  <si>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</si>
  <si>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</si>
  <si>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</si>
  <si>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</si>
  <si>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</si>
  <si>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</si>
  <si>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</si>
  <si>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</si>
  <si>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</si>
  <si>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</si>
  <si>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</si>
  <si>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</si>
  <si>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</si>
  <si>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</si>
  <si>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</si>
  <si>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</si>
  <si>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</si>
  <si>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</si>
  <si>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</si>
  <si>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</si>
  <si>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</si>
  <si>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</si>
  <si>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</si>
  <si>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</si>
  <si>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</si>
  <si>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</si>
  <si>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</si>
  <si>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</si>
  <si>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</si>
  <si>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</si>
  <si>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</si>
  <si>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</si>
  <si>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</si>
  <si>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</si>
  <si>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</si>
  <si>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</si>
  <si>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</si>
  <si>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</si>
  <si>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</si>
  <si>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</si>
  <si>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</si>
  <si>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</si>
  <si>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</si>
  <si>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</si>
  <si>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</si>
  <si>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</si>
  <si>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</si>
  <si>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</si>
  <si>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ভালো</t>
  </si>
  <si>
    <t xml:space="preserve">সেচ</t>
  </si>
  <si>
    <t xml:space="preserve">কীটনাশক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</si>
  <si>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</si>
  <si>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</si>
  <si>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</si>
  <si>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</si>
  <si>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</si>
  <si>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ছত্রাকনাশক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</si>
  <si>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</si>
  <si>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</si>
  <si>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</si>
  <si>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</si>
  <si>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</si>
  <si>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</si>
  <si>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</si>
  <si>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</si>
  <si>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</si>
  <si>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</si>
  <si>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</si>
  <si>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</si>
  <si>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</si>
  <si>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</si>
  <si>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</si>
  <si>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</si>
  <si>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</si>
  <si>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</si>
  <si>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</si>
  <si>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</si>
  <si>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স্প্রে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</si>
  <si>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</si>
  <si>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</si>
  <si>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</si>
  <si>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</si>
  <si>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</si>
  <si>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</si>
  <si>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</si>
  <si>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</si>
  <si>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</si>
  <si>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</si>
  <si>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</si>
  <si>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</si>
  <si>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পানি বের করা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</si>
  <si>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</si>
  <si>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</si>
  <si>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</si>
  <si>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</si>
  <si>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</si>
  <si>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</si>
  <si>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</si>
  <si>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</si>
  <si>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</si>
  <si>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</si>
  <si>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3F4D-5 শুরু</t>
  </si>
  <si>
    <t xml:space="preserve">3F4D-6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</si>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</sst>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93518527"/>
        <c:axId val="6804391"/>
      </c:scatterChart>
      <c:valAx>
        <c:axId val="935185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4391"/>
        <c:crosses val="autoZero"/>
        <c:crossBetween val="midCat"/>
      </c:valAx>
      <c:valAx>
        <c:axId val="6804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1852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81239190"/>
        <c:axId val="54136591"/>
      </c:scatterChart>
      <c:valAx>
        <c:axId val="8123919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36591"/>
        <c:crosses val="autoZero"/>
        <c:crossBetween val="midCat"/>
      </c:valAx>
      <c:valAx>
        <c:axId val="54136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3919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77983924"/>
        <c:axId val="54144992"/>
      </c:scatterChart>
      <c:valAx>
        <c:axId val="7798392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44992"/>
        <c:crosses val="autoZero"/>
        <c:crossBetween val="midCat"/>
      </c:valAx>
      <c:valAx>
        <c:axId val="541449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8392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93589360"/>
        <c:axId val="5265731"/>
      </c:scatterChart>
      <c:valAx>
        <c:axId val="9358936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5731"/>
        <c:crosses val="autoZero"/>
        <c:crossBetween val="midCat"/>
      </c:valAx>
      <c:valAx>
        <c:axId val="52657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8936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37381422"/>
        <c:axId val="37014736"/>
      </c:scatterChart>
      <c:valAx>
        <c:axId val="3738142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14736"/>
        <c:crosses val="autoZero"/>
        <c:crossBetween val="midCat"/>
      </c:valAx>
      <c:valAx>
        <c:axId val="37014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8142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1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/>
      <c r="D5" s="12" t="s">
        <v>40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41</v>
      </c>
      <c r="B6" s="10" t="s">
        <v>42</v>
      </c>
      <c r="C6" s="11"/>
      <c r="D6" s="12" t="s">
        <v>43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44</v>
      </c>
      <c r="B7" s="10" t="s">
        <v>45</v>
      </c>
      <c r="C7" s="11"/>
      <c r="D7" s="12" t="s">
        <v>46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47</v>
      </c>
      <c r="B8" s="10" t="s">
        <v>48</v>
      </c>
      <c r="C8" s="11"/>
      <c r="D8" s="12" t="s">
        <v>49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50</v>
      </c>
      <c r="B9" s="10" t="s">
        <v>51</v>
      </c>
      <c r="C9" s="11"/>
      <c r="D9" s="12" t="s">
        <v>52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53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54</v>
      </c>
      <c r="B12" s="10" t="s">
        <v>55</v>
      </c>
      <c r="C12" s="13"/>
      <c r="D12" s="12" t="s">
        <v>56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57</v>
      </c>
      <c r="B13" s="10" t="s">
        <v>58</v>
      </c>
      <c r="C13" s="11"/>
      <c r="D13" s="12" t="s">
        <v>59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60</v>
      </c>
      <c r="C14" s="14" t="str">
        <f aca="false">IF(AND(ISNUMBER(C12),ISNUMBER(C13)),C12+C13,"")</f>
        <v/>
      </c>
      <c r="D14" s="12" t="s">
        <v>61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62</v>
      </c>
      <c r="C15" s="14" t="str">
        <f aca="false">IF(C14="","",C14-35)</f>
        <v/>
      </c>
      <c r="D15" s="12" t="s">
        <v>63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64</v>
      </c>
      <c r="B16" s="10" t="s">
        <v>65</v>
      </c>
      <c r="C16" s="13"/>
      <c r="D16" s="12" t="s">
        <v>66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67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68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69</v>
      </c>
      <c r="C20" s="15" t="s">
        <v>70</v>
      </c>
      <c r="D20" s="15" t="s">
        <v>71</v>
      </c>
      <c r="E20" s="15" t="s">
        <v>72</v>
      </c>
      <c r="F20" s="15" t="s">
        <v>73</v>
      </c>
      <c r="G20" s="15" t="s">
        <v>74</v>
      </c>
      <c r="H20" s="16" t="s">
        <v>75</v>
      </c>
    </row>
    <row r="21" customFormat="false" ht="15" hidden="false" customHeight="false" outlineLevel="0" collapsed="false">
      <c r="A21" s="9" t="s">
        <v>76</v>
      </c>
      <c r="B21" s="17" t="s">
        <v>77</v>
      </c>
      <c r="C21" s="18" t="s">
        <v>78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79</v>
      </c>
      <c r="B22" s="20" t="s">
        <v>80</v>
      </c>
      <c r="C22" s="18" t="s">
        <v>81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82</v>
      </c>
      <c r="B23" s="10" t="s">
        <v>83</v>
      </c>
      <c r="C23" s="13"/>
      <c r="D23" s="12" t="s">
        <v>84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85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86</v>
      </c>
      <c r="B26" s="10" t="s">
        <v>87</v>
      </c>
      <c r="C26" s="13"/>
      <c r="D26" s="12" t="s">
        <v>88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89</v>
      </c>
      <c r="B27" s="10" t="s">
        <v>90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91</v>
      </c>
      <c r="B28" s="10" t="s">
        <v>92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93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94</v>
      </c>
      <c r="C31" s="18" t="n">
        <v>35</v>
      </c>
    </row>
    <row r="32" customFormat="false" ht="15" hidden="false" customHeight="false" outlineLevel="0" collapsed="false">
      <c r="A32" s="10"/>
      <c r="B32" s="10" t="s">
        <v>95</v>
      </c>
      <c r="C32" s="18" t="n">
        <v>30</v>
      </c>
    </row>
    <row r="33" customFormat="false" ht="15" hidden="false" customHeight="false" outlineLevel="0" collapsed="false">
      <c r="A33" s="10"/>
      <c r="B33" s="10" t="s">
        <v>96</v>
      </c>
      <c r="C33" s="18" t="n">
        <v>3</v>
      </c>
    </row>
    <row r="34" customFormat="false" ht="15" hidden="false" customHeight="false" outlineLevel="0" collapsed="false">
      <c r="A34" s="10"/>
      <c r="B34" s="10" t="s">
        <v>97</v>
      </c>
      <c r="C34" s="18" t="n">
        <v>66</v>
      </c>
    </row>
    <row r="35" customFormat="false" ht="15" hidden="false" customHeight="false" outlineLevel="0" collapsed="false">
      <c r="A35" s="10"/>
      <c r="B35" s="10" t="s">
        <v>98</v>
      </c>
      <c r="C35" s="18" t="n">
        <v>8</v>
      </c>
    </row>
    <row r="36" customFormat="false" ht="15" hidden="false" customHeight="false" outlineLevel="0" collapsed="false">
      <c r="A36" s="10"/>
      <c r="B36" s="10" t="s">
        <v>99</v>
      </c>
      <c r="C36" s="18" t="n">
        <v>6</v>
      </c>
    </row>
    <row r="37" customFormat="false" ht="15" hidden="false" customHeight="false" outlineLevel="0" collapsed="false">
      <c r="A37" s="10"/>
      <c r="B37" s="10" t="s">
        <v>100</v>
      </c>
      <c r="C37" s="18" t="n">
        <v>111</v>
      </c>
    </row>
    <row r="38" customFormat="false" ht="15" hidden="false" customHeight="false" outlineLevel="0" collapsed="false">
      <c r="A38" s="10"/>
      <c r="B38" s="10" t="s">
        <v>101</v>
      </c>
      <c r="C38" s="18" t="n">
        <v>25</v>
      </c>
    </row>
    <row r="39" customFormat="false" ht="15" hidden="false" customHeight="false" outlineLevel="0" collapsed="false">
      <c r="A39" s="10"/>
      <c r="B39" s="10" t="s">
        <v>102</v>
      </c>
      <c r="C39" s="18" t="n">
        <v>21</v>
      </c>
    </row>
    <row r="40" customFormat="false" ht="15" hidden="false" customHeight="false" outlineLevel="0" collapsed="false">
      <c r="A40" s="10"/>
      <c r="B40" s="10" t="s">
        <v>103</v>
      </c>
      <c r="C40" s="18" t="n">
        <v>28</v>
      </c>
    </row>
    <row r="41" customFormat="false" ht="15" hidden="false" customHeight="false" outlineLevel="0" collapsed="false">
      <c r="A41" s="10"/>
      <c r="B41" s="10" t="s">
        <v>104</v>
      </c>
      <c r="C41" s="18" t="n">
        <v>8</v>
      </c>
    </row>
    <row r="42" customFormat="false" ht="15" hidden="false" customHeight="false" outlineLevel="0" collapsed="false">
      <c r="A42" s="10"/>
      <c r="B42" s="10" t="s">
        <v>105</v>
      </c>
      <c r="C42" s="18" t="n">
        <v>15</v>
      </c>
    </row>
    <row r="43" customFormat="false" ht="15" hidden="false" customHeight="false" outlineLevel="0" collapsed="false">
      <c r="A43" s="10"/>
      <c r="B43" s="10" t="s">
        <v>106</v>
      </c>
      <c r="C43" s="18" t="n">
        <v>4</v>
      </c>
    </row>
    <row r="44" customFormat="false" ht="15" hidden="false" customHeight="false" outlineLevel="0" collapsed="false">
      <c r="A44" s="10"/>
      <c r="B44" s="10" t="s">
        <v>107</v>
      </c>
      <c r="C44" s="18" t="n">
        <v>7</v>
      </c>
    </row>
    <row r="46" customFormat="false" ht="15" hidden="false" customHeight="false" outlineLevel="0" collapsed="false">
      <c r="A46" s="7" t="s">
        <v>108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109</v>
      </c>
      <c r="C47" s="15" t="s">
        <v>110</v>
      </c>
      <c r="D47" s="15" t="s">
        <v>111</v>
      </c>
    </row>
    <row r="48" customFormat="false" ht="15" hidden="false" customHeight="false" outlineLevel="0" collapsed="false">
      <c r="B48" s="21" t="s">
        <v>112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113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114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115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116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117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118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119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120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121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122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123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124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125</v>
      </c>
      <c r="C1" s="24" t="s">
        <v>126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26" t="s">
        <v>127</v>
      </c>
      <c r="C2" s="27" t="s">
        <v>128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28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27" t="s">
        <v>129</v>
      </c>
      <c r="D3" s="27" t="str">
        <f aca="false">IF(OR(D1="",NOT(ISNUMBER(TransDate))),"",D1-TransDate)</f>
        <v/>
      </c>
      <c r="E3" s="27" t="str">
        <f aca="false">IF(OR(E1="",NOT(ISNUMBER(TransDate))),"",E1-TransDate)</f>
        <v/>
      </c>
      <c r="F3" s="27" t="str">
        <f aca="false">IF(OR(F1="",NOT(ISNUMBER(TransDate))),"",F1-TransDate)</f>
        <v/>
      </c>
      <c r="G3" s="27" t="str">
        <f aca="false">IF(OR(G1="",NOT(ISNUMBER(TransDate))),"",G1-TransDate)</f>
        <v/>
      </c>
      <c r="H3" s="27" t="str">
        <f aca="false">IF(OR(H1="",NOT(ISNUMBER(TransDate))),"",H1-TransDate)</f>
        <v/>
      </c>
      <c r="I3" s="27" t="str">
        <f aca="false">IF(OR(I1="",NOT(ISNUMBER(TransDate))),"",I1-TransDate)</f>
        <v/>
      </c>
      <c r="J3" s="27" t="str">
        <f aca="false">IF(OR(J1="",NOT(ISNUMBER(TransDate))),"",J1-TransDate)</f>
        <v/>
      </c>
      <c r="K3" s="27" t="str">
        <f aca="false">IF(OR(K1="",NOT(ISNUMBER(TransDate))),"",K1-TransDate)</f>
        <v/>
      </c>
      <c r="L3" s="27" t="str">
        <f aca="false">IF(OR(L1="",NOT(ISNUMBER(TransDate))),"",L1-TransDate)</f>
        <v/>
      </c>
      <c r="M3" s="27" t="str">
        <f aca="false">IF(OR(M1="",NOT(ISNUMBER(TransDate))),"",M1-TransDate)</f>
        <v/>
      </c>
      <c r="N3" s="27" t="str">
        <f aca="false">IF(OR(N1="",NOT(ISNUMBER(TransDate))),"",N1-TransDate)</f>
        <v/>
      </c>
      <c r="O3" s="27" t="str">
        <f aca="false">IF(OR(O1="",NOT(ISNUMBER(TransDate))),"",O1-TransDate)</f>
        <v/>
      </c>
      <c r="P3" s="27" t="str">
        <f aca="false">IF(OR(P1="",NOT(ISNUMBER(TransDate))),"",P1-TransDate)</f>
        <v/>
      </c>
      <c r="Q3" s="27" t="str">
        <f aca="false">IF(OR(Q1="",NOT(ISNUMBER(TransDate))),"",Q1-TransDate)</f>
        <v/>
      </c>
      <c r="R3" s="27" t="str">
        <f aca="false">IF(OR(R1="",NOT(ISNUMBER(TransDate))),"",R1-TransDate)</f>
        <v/>
      </c>
      <c r="S3" s="27" t="str">
        <f aca="false">IF(OR(S1="",NOT(ISNUMBER(TransDate))),"",S1-TransDate)</f>
        <v/>
      </c>
      <c r="T3" s="27" t="str">
        <f aca="false">IF(OR(T1="",NOT(ISNUMBER(TransDate))),"",T1-TransDate)</f>
        <v/>
      </c>
      <c r="U3" s="27" t="str">
        <f aca="false">IF(OR(U1="",NOT(ISNUMBER(TransDate))),"",U1-TransDate)</f>
        <v/>
      </c>
      <c r="V3" s="27" t="str">
        <f aca="false">IF(OR(V1="",NOT(ISNUMBER(TransDate))),"",V1-TransDate)</f>
        <v/>
      </c>
      <c r="W3" s="27" t="str">
        <f aca="false">IF(OR(W1="",NOT(ISNUMBER(TransDate))),"",W1-TransDate)</f>
        <v/>
      </c>
      <c r="X3" s="27" t="str">
        <f aca="false">IF(OR(X1="",NOT(ISNUMBER(TransDate))),"",X1-TransDate)</f>
        <v/>
      </c>
      <c r="Y3" s="27" t="str">
        <f aca="false">IF(OR(Y1="",NOT(ISNUMBER(TransDate))),"",Y1-TransDate)</f>
        <v/>
      </c>
      <c r="Z3" s="27" t="str">
        <f aca="false">IF(OR(Z1="",NOT(ISNUMBER(TransDate))),"",Z1-TransDate)</f>
        <v/>
      </c>
      <c r="AA3" s="27" t="str">
        <f aca="false">IF(OR(AA1="",NOT(ISNUMBER(TransDate))),"",AA1-TransDate)</f>
        <v/>
      </c>
      <c r="AB3" s="27" t="str">
        <f aca="false">IF(OR(AB1="",NOT(ISNUMBER(TransDate))),"",AB1-TransDate)</f>
        <v/>
      </c>
      <c r="AC3" s="27" t="str">
        <f aca="false">IF(OR(AC1="",NOT(ISNUMBER(TransDate))),"",AC1-TransDate)</f>
        <v/>
      </c>
      <c r="AD3" s="27" t="str">
        <f aca="false">IF(OR(AD1="",NOT(ISNUMBER(TransDate))),"",AD1-TransDate)</f>
        <v/>
      </c>
      <c r="AE3" s="27" t="str">
        <f aca="false">IF(OR(AE1="",NOT(ISNUMBER(TransDate))),"",AE1-TransDate)</f>
        <v/>
      </c>
      <c r="AF3" s="27" t="str">
        <f aca="false">IF(OR(AF1="",NOT(ISNUMBER(TransDate))),"",AF1-TransDate)</f>
        <v/>
      </c>
      <c r="AG3" s="27" t="str">
        <f aca="false">IF(OR(AG1="",NOT(ISNUMBER(TransDate))),"",AG1-TransDate)</f>
        <v/>
      </c>
      <c r="AH3" s="27" t="str">
        <f aca="false">IF(OR(AH1="",NOT(ISNUMBER(TransDate))),"",AH1-TransDate)</f>
        <v/>
      </c>
      <c r="AI3" s="27" t="str">
        <f aca="false">IF(OR(AI1="",NOT(ISNUMBER(TransDate))),"",AI1-TransDate)</f>
        <v/>
      </c>
      <c r="AJ3" s="27" t="str">
        <f aca="false">IF(OR(AJ1="",NOT(ISNUMBER(TransDate))),"",AJ1-TransDate)</f>
        <v/>
      </c>
      <c r="AK3" s="27" t="str">
        <f aca="false">IF(OR(AK1="",NOT(ISNUMBER(TransDate))),"",AK1-TransDate)</f>
        <v/>
      </c>
      <c r="AL3" s="27" t="str">
        <f aca="false">IF(OR(AL1="",NOT(ISNUMBER(TransDate))),"",AL1-TransDate)</f>
        <v/>
      </c>
      <c r="AM3" s="27" t="str">
        <f aca="false">IF(OR(AM1="",NOT(ISNUMBER(TransDate))),"",AM1-TransDate)</f>
        <v/>
      </c>
      <c r="AN3" s="27" t="str">
        <f aca="false">IF(OR(AN1="",NOT(ISNUMBER(TransDate))),"",AN1-TransDate)</f>
        <v/>
      </c>
      <c r="AO3" s="27" t="str">
        <f aca="false">IF(OR(AO1="",NOT(ISNUMBER(TransDate))),"",AO1-TransDate)</f>
        <v/>
      </c>
      <c r="AP3" s="27" t="str">
        <f aca="false">IF(OR(AP1="",NOT(ISNUMBER(TransDate))),"",AP1-TransDate)</f>
        <v/>
      </c>
      <c r="AQ3" s="27" t="str">
        <f aca="false">IF(OR(AQ1="",NOT(ISNUMBER(TransDate))),"",AQ1-TransDate)</f>
        <v/>
      </c>
      <c r="AR3" s="27" t="str">
        <f aca="false">IF(OR(AR1="",NOT(ISNUMBER(TransDate))),"",AR1-TransDate)</f>
        <v/>
      </c>
      <c r="AS3" s="27" t="str">
        <f aca="false">IF(OR(AS1="",NOT(ISNUMBER(TransDate))),"",AS1-TransDate)</f>
        <v/>
      </c>
      <c r="AT3" s="27" t="str">
        <f aca="false">IF(OR(AT1="",NOT(ISNUMBER(TransDate))),"",AT1-TransDate)</f>
        <v/>
      </c>
      <c r="AU3" s="27" t="str">
        <f aca="false">IF(OR(AU1="",NOT(ISNUMBER(TransDate))),"",AU1-TransDate)</f>
        <v/>
      </c>
      <c r="AV3" s="27" t="str">
        <f aca="false">IF(OR(AV1="",NOT(ISNUMBER(TransDate))),"",AV1-TransDate)</f>
        <v/>
      </c>
      <c r="AW3" s="27" t="str">
        <f aca="false">IF(OR(AW1="",NOT(ISNUMBER(TransDate))),"",AW1-TransDate)</f>
        <v/>
      </c>
      <c r="AX3" s="27" t="str">
        <f aca="false">IF(OR(AX1="",NOT(ISNUMBER(TransDate))),"",AX1-TransDate)</f>
        <v/>
      </c>
      <c r="AY3" s="27" t="str">
        <f aca="false">IF(OR(AY1="",NOT(ISNUMBER(TransDate))),"",AY1-TransDate)</f>
        <v/>
      </c>
      <c r="AZ3" s="27" t="str">
        <f aca="false">IF(OR(AZ1="",NOT(ISNUMBER(TransDate))),"",AZ1-TransDate)</f>
        <v/>
      </c>
      <c r="BA3" s="27" t="str">
        <f aca="false">IF(OR(BA1="",NOT(ISNUMBER(TransDate))),"",BA1-TransDate)</f>
        <v/>
      </c>
      <c r="BB3" s="27" t="str">
        <f aca="false">IF(OR(BB1="",NOT(ISNUMBER(TransDate))),"",BB1-TransDate)</f>
        <v/>
      </c>
      <c r="BC3" s="27" t="str">
        <f aca="false">IF(OR(BC1="",NOT(ISNUMBER(TransDate))),"",BC1-TransDate)</f>
        <v/>
      </c>
      <c r="BD3" s="27" t="str">
        <f aca="false">IF(OR(BD1="",NOT(ISNUMBER(TransDate))),"",BD1-TransDate)</f>
        <v/>
      </c>
      <c r="BE3" s="27" t="str">
        <f aca="false">IF(OR(BE1="",NOT(ISNUMBER(TransDate))),"",BE1-TransDate)</f>
        <v/>
      </c>
      <c r="BF3" s="27" t="str">
        <f aca="false">IF(OR(BF1="",NOT(ISNUMBER(TransDate))),"",BF1-TransDate)</f>
        <v/>
      </c>
      <c r="BG3" s="27" t="str">
        <f aca="false">IF(OR(BG1="",NOT(ISNUMBER(TransDate))),"",BG1-TransDate)</f>
        <v/>
      </c>
      <c r="BH3" s="27" t="str">
        <f aca="false">IF(OR(BH1="",NOT(ISNUMBER(TransDate))),"",BH1-TransDate)</f>
        <v/>
      </c>
      <c r="BI3" s="27" t="str">
        <f aca="false">IF(OR(BI1="",NOT(ISNUMBER(TransDate))),"",BI1-TransDate)</f>
        <v/>
      </c>
      <c r="BJ3" s="27" t="str">
        <f aca="false">IF(OR(BJ1="",NOT(ISNUMBER(TransDate))),"",BJ1-TransDate)</f>
        <v/>
      </c>
      <c r="BK3" s="27" t="str">
        <f aca="false">IF(OR(BK1="",NOT(ISNUMBER(TransDate))),"",BK1-TransDate)</f>
        <v/>
      </c>
      <c r="BL3" s="27" t="str">
        <f aca="false">IF(OR(BL1="",NOT(ISNUMBER(TransDate))),"",BL1-TransDate)</f>
        <v/>
      </c>
      <c r="BM3" s="27" t="str">
        <f aca="false">IF(OR(BM1="",NOT(ISNUMBER(TransDate))),"",BM1-TransDate)</f>
        <v/>
      </c>
      <c r="BN3" s="27" t="str">
        <f aca="false">IF(OR(BN1="",NOT(ISNUMBER(TransDate))),"",BN1-TransDate)</f>
        <v/>
      </c>
      <c r="BO3" s="27" t="str">
        <f aca="false">IF(OR(BO1="",NOT(ISNUMBER(TransDate))),"",BO1-TransDate)</f>
        <v/>
      </c>
      <c r="BP3" s="27" t="str">
        <f aca="false">IF(OR(BP1="",NOT(ISNUMBER(TransDate))),"",BP1-TransDate)</f>
        <v/>
      </c>
      <c r="BQ3" s="27" t="str">
        <f aca="false">IF(OR(BQ1="",NOT(ISNUMBER(TransDate))),"",BQ1-TransDate)</f>
        <v/>
      </c>
      <c r="BR3" s="27" t="str">
        <f aca="false">IF(OR(BR1="",NOT(ISNUMBER(TransDate))),"",BR1-TransDate)</f>
        <v/>
      </c>
      <c r="BS3" s="27" t="str">
        <f aca="false">IF(OR(BS1="",NOT(ISNUMBER(TransDate))),"",BS1-TransDate)</f>
        <v/>
      </c>
      <c r="BT3" s="27" t="str">
        <f aca="false">IF(OR(BT1="",NOT(ISNUMBER(TransDate))),"",BT1-TransDate)</f>
        <v/>
      </c>
      <c r="BU3" s="27" t="str">
        <f aca="false">IF(OR(BU1="",NOT(ISNUMBER(TransDate))),"",BU1-TransDate)</f>
        <v/>
      </c>
      <c r="BV3" s="27" t="str">
        <f aca="false">IF(OR(BV1="",NOT(ISNUMBER(TransDate))),"",BV1-TransDate)</f>
        <v/>
      </c>
      <c r="BW3" s="27" t="str">
        <f aca="false">IF(OR(BW1="",NOT(ISNUMBER(TransDate))),"",BW1-TransDate)</f>
        <v/>
      </c>
      <c r="BX3" s="27" t="str">
        <f aca="false">IF(OR(BX1="",NOT(ISNUMBER(TransDate))),"",BX1-TransDate)</f>
        <v/>
      </c>
      <c r="BY3" s="27" t="str">
        <f aca="false">IF(OR(BY1="",NOT(ISNUMBER(TransDate))),"",BY1-TransDate)</f>
        <v/>
      </c>
      <c r="BZ3" s="27" t="str">
        <f aca="false">IF(OR(BZ1="",NOT(ISNUMBER(TransDate))),"",BZ1-TransDate)</f>
        <v/>
      </c>
      <c r="CA3" s="27" t="str">
        <f aca="false">IF(OR(CA1="",NOT(ISNUMBER(TransDate))),"",CA1-TransDate)</f>
        <v/>
      </c>
      <c r="CB3" s="27" t="str">
        <f aca="false">IF(OR(CB1="",NOT(ISNUMBER(TransDate))),"",CB1-TransDate)</f>
        <v/>
      </c>
      <c r="CC3" s="27" t="str">
        <f aca="false">IF(OR(CC1="",NOT(ISNUMBER(TransDate))),"",CC1-TransDate)</f>
        <v/>
      </c>
      <c r="CD3" s="27" t="str">
        <f aca="false">IF(OR(CD1="",NOT(ISNUMBER(TransDate))),"",CD1-TransDate)</f>
        <v/>
      </c>
      <c r="CE3" s="27" t="str">
        <f aca="false">IF(OR(CE1="",NOT(ISNUMBER(TransDate))),"",CE1-TransDate)</f>
        <v/>
      </c>
      <c r="CF3" s="27" t="str">
        <f aca="false">IF(OR(CF1="",NOT(ISNUMBER(TransDate))),"",CF1-TransDate)</f>
        <v/>
      </c>
      <c r="CG3" s="27" t="str">
        <f aca="false">IF(OR(CG1="",NOT(ISNUMBER(TransDate))),"",CG1-TransDate)</f>
        <v/>
      </c>
      <c r="CH3" s="27" t="str">
        <f aca="false">IF(OR(CH1="",NOT(ISNUMBER(TransDate))),"",CH1-TransDate)</f>
        <v/>
      </c>
      <c r="CI3" s="27" t="str">
        <f aca="false">IF(OR(CI1="",NOT(ISNUMBER(TransDate))),"",CI1-TransDate)</f>
        <v/>
      </c>
      <c r="CJ3" s="27" t="str">
        <f aca="false">IF(OR(CJ1="",NOT(ISNUMBER(TransDate))),"",CJ1-TransDate)</f>
        <v/>
      </c>
      <c r="CK3" s="27" t="str">
        <f aca="false">IF(OR(CK1="",NOT(ISNUMBER(TransDate))),"",CK1-TransDate)</f>
        <v/>
      </c>
      <c r="CL3" s="27" t="str">
        <f aca="false">IF(OR(CL1="",NOT(ISNUMBER(TransDate))),"",CL1-TransDate)</f>
        <v/>
      </c>
      <c r="CM3" s="27" t="str">
        <f aca="false">IF(OR(CM1="",NOT(ISNUMBER(TransDate))),"",CM1-TransDate)</f>
        <v/>
      </c>
      <c r="CN3" s="27" t="str">
        <f aca="false">IF(OR(CN1="",NOT(ISNUMBER(TransDate))),"",CN1-TransDate)</f>
        <v/>
      </c>
      <c r="CO3" s="27" t="str">
        <f aca="false">IF(OR(CO1="",NOT(ISNUMBER(TransDate))),"",CO1-TransDate)</f>
        <v/>
      </c>
      <c r="CP3" s="27" t="str">
        <f aca="false">IF(OR(CP1="",NOT(ISNUMBER(TransDate))),"",CP1-TransDate)</f>
        <v/>
      </c>
      <c r="CQ3" s="27" t="str">
        <f aca="false">IF(OR(CQ1="",NOT(ISNUMBER(TransDate))),"",CQ1-TransDate)</f>
        <v/>
      </c>
      <c r="CR3" s="27" t="str">
        <f aca="false">IF(OR(CR1="",NOT(ISNUMBER(TransDate))),"",CR1-TransDate)</f>
        <v/>
      </c>
      <c r="CS3" s="27" t="str">
        <f aca="false">IF(OR(CS1="",NOT(ISNUMBER(TransDate))),"",CS1-TransDate)</f>
        <v/>
      </c>
      <c r="CT3" s="27" t="str">
        <f aca="false">IF(OR(CT1="",NOT(ISNUMBER(TransDate))),"",CT1-TransDate)</f>
        <v/>
      </c>
      <c r="CU3" s="27" t="str">
        <f aca="false">IF(OR(CU1="",NOT(ISNUMBER(TransDate))),"",CU1-TransDate)</f>
        <v/>
      </c>
      <c r="CV3" s="27" t="str">
        <f aca="false">IF(OR(CV1="",NOT(ISNUMBER(TransDate))),"",CV1-TransDate)</f>
        <v/>
      </c>
      <c r="CW3" s="27" t="str">
        <f aca="false">IF(OR(CW1="",NOT(ISNUMBER(TransDate))),"",CW1-TransDate)</f>
        <v/>
      </c>
      <c r="CX3" s="27" t="str">
        <f aca="false">IF(OR(CX1="",NOT(ISNUMBER(TransDate))),"",CX1-TransDate)</f>
        <v/>
      </c>
      <c r="CY3" s="27" t="str">
        <f aca="false">IF(OR(CY1="",NOT(ISNUMBER(TransDate))),"",CY1-TransDate)</f>
        <v/>
      </c>
      <c r="CZ3" s="27" t="str">
        <f aca="false">IF(OR(CZ1="",NOT(ISNUMBER(TransDate))),"",CZ1-TransDate)</f>
        <v/>
      </c>
      <c r="DA3" s="27" t="str">
        <f aca="false">IF(OR(DA1="",NOT(ISNUMBER(TransDate))),"",DA1-TransDate)</f>
        <v/>
      </c>
      <c r="DB3" s="27" t="str">
        <f aca="false">IF(OR(DB1="",NOT(ISNUMBER(TransDate))),"",DB1-TransDate)</f>
        <v/>
      </c>
      <c r="DC3" s="27" t="str">
        <f aca="false">IF(OR(DC1="",NOT(ISNUMBER(TransDate))),"",DC1-TransDate)</f>
        <v/>
      </c>
      <c r="DD3" s="27" t="str">
        <f aca="false">IF(OR(DD1="",NOT(ISNUMBER(TransDate))),"",DD1-TransDate)</f>
        <v/>
      </c>
      <c r="DE3" s="27" t="str">
        <f aca="false">IF(OR(DE1="",NOT(ISNUMBER(TransDate))),"",DE1-TransDate)</f>
        <v/>
      </c>
      <c r="DF3" s="27" t="str">
        <f aca="false">IF(OR(DF1="",NOT(ISNUMBER(TransDate))),"",DF1-TransDate)</f>
        <v/>
      </c>
      <c r="DG3" s="27" t="str">
        <f aca="false">IF(OR(DG1="",NOT(ISNUMBER(TransDate))),"",DG1-TransDate)</f>
        <v/>
      </c>
      <c r="DH3" s="27" t="str">
        <f aca="false">IF(OR(DH1="",NOT(ISNUMBER(TransDate))),"",DH1-TransDate)</f>
        <v/>
      </c>
      <c r="DI3" s="27" t="str">
        <f aca="false">IF(OR(DI1="",NOT(ISNUMBER(TransDate))),"",DI1-TransDate)</f>
        <v/>
      </c>
      <c r="DJ3" s="27" t="str">
        <f aca="false">IF(OR(DJ1="",NOT(ISNUMBER(TransDate))),"",DJ1-TransDate)</f>
        <v/>
      </c>
      <c r="DK3" s="27" t="str">
        <f aca="false">IF(OR(DK1="",NOT(ISNUMBER(TransDate))),"",DK1-TransDate)</f>
        <v/>
      </c>
      <c r="DL3" s="27" t="str">
        <f aca="false">IF(OR(DL1="",NOT(ISNUMBER(TransDate))),"",DL1-TransDate)</f>
        <v/>
      </c>
      <c r="DM3" s="27" t="str">
        <f aca="false">IF(OR(DM1="",NOT(ISNUMBER(TransDate))),"",DM1-TransDate)</f>
        <v/>
      </c>
      <c r="DN3" s="27" t="str">
        <f aca="false">IF(OR(DN1="",NOT(ISNUMBER(TransDate))),"",DN1-TransDate)</f>
        <v/>
      </c>
      <c r="DO3" s="27" t="str">
        <f aca="false">IF(OR(DO1="",NOT(ISNUMBER(TransDate))),"",DO1-TransDate)</f>
        <v/>
      </c>
      <c r="DP3" s="27" t="str">
        <f aca="false">IF(OR(DP1="",NOT(ISNUMBER(TransDate))),"",DP1-TransDate)</f>
        <v/>
      </c>
      <c r="DQ3" s="27" t="str">
        <f aca="false">IF(OR(DQ1="",NOT(ISNUMBER(TransDate))),"",DQ1-TransDate)</f>
        <v/>
      </c>
      <c r="DR3" s="27" t="str">
        <f aca="false">IF(OR(DR1="",NOT(ISNUMBER(TransDate))),"",DR1-TransDate)</f>
        <v/>
      </c>
      <c r="DS3" s="27" t="str">
        <f aca="false">IF(OR(DS1="",NOT(ISNUMBER(TransDate))),"",DS1-TransDate)</f>
        <v/>
      </c>
      <c r="DT3" s="27" t="str">
        <f aca="false">IF(OR(DT1="",NOT(ISNUMBER(TransDate))),"",DT1-TransDate)</f>
        <v/>
      </c>
      <c r="DU3" s="27" t="str">
        <f aca="false">IF(OR(DU1="",NOT(ISNUMBER(TransDate))),"",DU1-TransDate)</f>
        <v/>
      </c>
      <c r="DV3" s="27" t="str">
        <f aca="false">IF(OR(DV1="",NOT(ISNUMBER(TransDate))),"",DV1-TransDate)</f>
        <v/>
      </c>
      <c r="DW3" s="27" t="str">
        <f aca="false">IF(OR(DW1="",NOT(ISNUMBER(TransDate))),"",DW1-TransDate)</f>
        <v/>
      </c>
      <c r="DX3" s="27" t="str">
        <f aca="false">IF(OR(DX1="",NOT(ISNUMBER(TransDate))),"",DX1-TransDate)</f>
        <v/>
      </c>
      <c r="DY3" s="27" t="str">
        <f aca="false">IF(OR(DY1="",NOT(ISNUMBER(TransDate))),"",DY1-TransDate)</f>
        <v/>
      </c>
      <c r="DZ3" s="27" t="str">
        <f aca="false">IF(OR(DZ1="",NOT(ISNUMBER(TransDate))),"",DZ1-TransDate)</f>
        <v/>
      </c>
      <c r="EA3" s="27" t="str">
        <f aca="false">IF(OR(EA1="",NOT(ISNUMBER(TransDate))),"",EA1-TransDate)</f>
        <v/>
      </c>
      <c r="EB3" s="27" t="str">
        <f aca="false">IF(OR(EB1="",NOT(ISNUMBER(TransDate))),"",EB1-TransDate)</f>
        <v/>
      </c>
      <c r="EC3" s="27" t="str">
        <f aca="false">IF(OR(EC1="",NOT(ISNUMBER(TransDate))),"",EC1-TransDate)</f>
        <v/>
      </c>
      <c r="ED3" s="27" t="str">
        <f aca="false">IF(OR(ED1="",NOT(ISNUMBER(TransDate))),"",ED1-TransDate)</f>
        <v/>
      </c>
      <c r="EE3" s="27" t="str">
        <f aca="false">IF(OR(EE1="",NOT(ISNUMBER(TransDate))),"",EE1-TransDate)</f>
        <v/>
      </c>
      <c r="EF3" s="27" t="str">
        <f aca="false">IF(OR(EF1="",NOT(ISNUMBER(TransDate))),"",EF1-TransDate)</f>
        <v/>
      </c>
      <c r="EG3" s="27" t="str">
        <f aca="false">IF(OR(EG1="",NOT(ISNUMBER(TransDate))),"",EG1-TransDate)</f>
        <v/>
      </c>
      <c r="EH3" s="27" t="str">
        <f aca="false">IF(OR(EH1="",NOT(ISNUMBER(TransDate))),"",EH1-TransDate)</f>
        <v/>
      </c>
      <c r="EI3" s="27" t="str">
        <f aca="false">IF(OR(EI1="",NOT(ISNUMBER(TransDate))),"",EI1-TransDate)</f>
        <v/>
      </c>
      <c r="EJ3" s="27" t="str">
        <f aca="false">IF(OR(EJ1="",NOT(ISNUMBER(TransDate))),"",EJ1-TransDate)</f>
        <v/>
      </c>
      <c r="EK3" s="27" t="str">
        <f aca="false">IF(OR(EK1="",NOT(ISNUMBER(TransDate))),"",EK1-TransDate)</f>
        <v/>
      </c>
      <c r="EL3" s="27" t="str">
        <f aca="false">IF(OR(EL1="",NOT(ISNUMBER(TransDate))),"",EL1-TransDate)</f>
        <v/>
      </c>
      <c r="EM3" s="27" t="str">
        <f aca="false">IF(OR(EM1="",NOT(ISNUMBER(TransDate))),"",EM1-TransDate)</f>
        <v/>
      </c>
      <c r="EN3" s="27" t="str">
        <f aca="false">IF(OR(EN1="",NOT(ISNUMBER(TransDate))),"",EN1-TransDate)</f>
        <v/>
      </c>
      <c r="EO3" s="27" t="str">
        <f aca="false">IF(OR(EO1="",NOT(ISNUMBER(TransDate))),"",EO1-TransDate)</f>
        <v/>
      </c>
      <c r="EP3" s="27" t="str">
        <f aca="false">IF(OR(EP1="",NOT(ISNUMBER(TransDate))),"",EP1-TransDate)</f>
        <v/>
      </c>
      <c r="EQ3" s="27" t="str">
        <f aca="false">IF(OR(EQ1="",NOT(ISNUMBER(TransDate))),"",EQ1-TransDate)</f>
        <v/>
      </c>
      <c r="ER3" s="27" t="str">
        <f aca="false">IF(OR(ER1="",NOT(ISNUMBER(TransDate))),"",ER1-TransDate)</f>
        <v/>
      </c>
      <c r="ES3" s="27" t="str">
        <f aca="false">IF(OR(ES1="",NOT(ISNUMBER(TransDate))),"",ES1-TransDate)</f>
        <v/>
      </c>
      <c r="ET3" s="27" t="str">
        <f aca="false">IF(OR(ET1="",NOT(ISNUMBER(TransDate))),"",ET1-TransDate)</f>
        <v/>
      </c>
      <c r="EU3" s="27" t="str">
        <f aca="false">IF(OR(EU1="",NOT(ISNUMBER(TransDate))),"",EU1-TransDate)</f>
        <v/>
      </c>
      <c r="EV3" s="27" t="str">
        <f aca="false">IF(OR(EV1="",NOT(ISNUMBER(TransDate))),"",EV1-TransDate)</f>
        <v/>
      </c>
      <c r="EW3" s="27" t="str">
        <f aca="false">IF(OR(EW1="",NOT(ISNUMBER(TransDate))),"",EW1-TransDate)</f>
        <v/>
      </c>
      <c r="EX3" s="27" t="str">
        <f aca="false">IF(OR(EX1="",NOT(ISNUMBER(TransDate))),"",EX1-TransDate)</f>
        <v/>
      </c>
      <c r="EY3" s="27" t="str">
        <f aca="false">IF(OR(EY1="",NOT(ISNUMBER(TransDate))),"",EY1-TransDate)</f>
        <v/>
      </c>
      <c r="EZ3" s="27" t="str">
        <f aca="false">IF(OR(EZ1="",NOT(ISNUMBER(TransDate))),"",EZ1-TransDate)</f>
        <v/>
      </c>
      <c r="FA3" s="27" t="str">
        <f aca="false">IF(OR(FA1="",NOT(ISNUMBER(TransDate))),"",FA1-TransDate)</f>
        <v/>
      </c>
      <c r="FB3" s="27" t="str">
        <f aca="false">IF(OR(FB1="",NOT(ISNUMBER(TransDate))),"",FB1-TransDate)</f>
        <v/>
      </c>
      <c r="FC3" s="27" t="str">
        <f aca="false">IF(OR(FC1="",NOT(ISNUMBER(TransDate))),"",FC1-TransDate)</f>
        <v/>
      </c>
      <c r="FD3" s="27" t="str">
        <f aca="false">IF(OR(FD1="",NOT(ISNUMBER(TransDate))),"",FD1-TransDate)</f>
        <v/>
      </c>
      <c r="FE3" s="27" t="str">
        <f aca="false">IF(OR(FE1="",NOT(ISNUMBER(TransDate))),"",FE1-TransDate)</f>
        <v/>
      </c>
      <c r="FF3" s="27" t="str">
        <f aca="false">IF(OR(FF1="",NOT(ISNUMBER(TransDate))),"",FF1-TransDate)</f>
        <v/>
      </c>
      <c r="FG3" s="27" t="str">
        <f aca="false">IF(OR(FG1="",NOT(ISNUMBER(TransDate))),"",FG1-TransDate)</f>
        <v/>
      </c>
      <c r="FH3" s="27" t="str">
        <f aca="false">IF(OR(FH1="",NOT(ISNUMBER(TransDate))),"",FH1-TransDate)</f>
        <v/>
      </c>
      <c r="FI3" s="27" t="str">
        <f aca="false">IF(OR(FI1="",NOT(ISNUMBER(TransDate))),"",FI1-TransDate)</f>
        <v/>
      </c>
      <c r="FJ3" s="27" t="str">
        <f aca="false">IF(OR(FJ1="",NOT(ISNUMBER(TransDate))),"",FJ1-TransDate)</f>
        <v/>
      </c>
      <c r="FK3" s="27" t="str">
        <f aca="false">IF(OR(FK1="",NOT(ISNUMBER(TransDate))),"",FK1-TransDate)</f>
        <v/>
      </c>
      <c r="FL3" s="27" t="str">
        <f aca="false">IF(OR(FL1="",NOT(ISNUMBER(TransDate))),"",FL1-TransDate)</f>
        <v/>
      </c>
      <c r="FM3" s="27" t="str">
        <f aca="false">IF(OR(FM1="",NOT(ISNUMBER(TransDate))),"",FM1-TransDate)</f>
        <v/>
      </c>
      <c r="FN3" s="27" t="str">
        <f aca="false">IF(OR(FN1="",NOT(ISNUMBER(TransDate))),"",FN1-TransDate)</f>
        <v/>
      </c>
      <c r="FO3" s="27" t="str">
        <f aca="false">IF(OR(FO1="",NOT(ISNUMBER(TransDate))),"",FO1-TransDate)</f>
        <v/>
      </c>
      <c r="FP3" s="27" t="str">
        <f aca="false">IF(OR(FP1="",NOT(ISNUMBER(TransDate))),"",FP1-TransDate)</f>
        <v/>
      </c>
      <c r="FQ3" s="27" t="str">
        <f aca="false">IF(OR(FQ1="",NOT(ISNUMBER(TransDate))),"",FQ1-TransDate)</f>
        <v/>
      </c>
    </row>
    <row r="4" customFormat="false" ht="15" hidden="false" customHeight="false" outlineLevel="0" collapsed="false">
      <c r="B4" s="26" t="s">
        <v>130</v>
      </c>
      <c r="C4" s="27" t="s">
        <v>131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/>
      </c>
      <c r="CI4" s="29" t="str">
        <f aca="false">Data_Farmer!CI6</f>
        <v/>
      </c>
      <c r="CJ4" s="29" t="str">
        <f aca="false">Data_Farmer!CJ6</f>
        <v/>
      </c>
      <c r="CK4" s="29" t="str">
        <f aca="false">Data_Farmer!CK6</f>
        <v/>
      </c>
      <c r="CL4" s="29" t="str">
        <f aca="false">Data_Farmer!CL6</f>
        <v/>
      </c>
      <c r="CM4" s="29" t="str">
        <f aca="false">Data_Farmer!CM6</f>
        <v/>
      </c>
      <c r="CN4" s="29" t="str">
        <f aca="false">Data_Farmer!CN6</f>
        <v/>
      </c>
      <c r="CO4" s="29" t="str">
        <f aca="false">Data_Farmer!CO6</f>
        <v/>
      </c>
      <c r="CP4" s="29" t="str">
        <f aca="false">Data_Farmer!CP6</f>
        <v/>
      </c>
      <c r="CQ4" s="29" t="str">
        <f aca="false">Data_Farmer!CQ6</f>
        <v/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/>
      </c>
      <c r="DD4" s="29" t="str">
        <f aca="false">Data_Farmer!DD6</f>
        <v/>
      </c>
      <c r="DE4" s="29" t="str">
        <f aca="false">Data_Farmer!DE6</f>
        <v/>
      </c>
      <c r="DF4" s="29" t="str">
        <f aca="false">Data_Farmer!DF6</f>
        <v/>
      </c>
      <c r="DG4" s="29" t="str">
        <f aca="false">Data_Farmer!DG6</f>
        <v/>
      </c>
      <c r="DH4" s="29" t="str">
        <f aca="false">Data_Farmer!DH6</f>
        <v/>
      </c>
      <c r="DI4" s="29" t="str">
        <f aca="false">Data_Farmer!DI6</f>
        <v/>
      </c>
      <c r="DJ4" s="29" t="str">
        <f aca="false">Data_Farmer!DJ6</f>
        <v/>
      </c>
      <c r="DK4" s="29" t="str">
        <f aca="false">Data_Farmer!DK6</f>
        <v/>
      </c>
      <c r="DL4" s="29" t="str">
        <f aca="false">Data_Farmer!DL6</f>
        <v/>
      </c>
      <c r="DM4" s="29" t="str">
        <f aca="false">Data_Farmer!DM6</f>
        <v/>
      </c>
      <c r="DN4" s="29" t="str">
        <f aca="false">Data_Farmer!DN6</f>
        <v/>
      </c>
      <c r="DO4" s="29" t="str">
        <f aca="false">Data_Farmer!DO6</f>
        <v/>
      </c>
      <c r="DP4" s="29" t="str">
        <f aca="false">Data_Farmer!DP6</f>
        <v/>
      </c>
      <c r="DQ4" s="29" t="str">
        <f aca="false">Data_Farmer!DQ6</f>
        <v/>
      </c>
      <c r="DR4" s="29" t="str">
        <f aca="false">Data_Farmer!DR6</f>
        <v/>
      </c>
      <c r="DS4" s="29" t="str">
        <f aca="false">Data_Farmer!DS6</f>
        <v/>
      </c>
      <c r="DT4" s="29" t="str">
        <f aca="false">Data_Farmer!DT6</f>
        <v/>
      </c>
      <c r="DU4" s="29" t="str">
        <f aca="false">Data_Farmer!DU6</f>
        <v/>
      </c>
      <c r="DV4" s="29" t="str">
        <f aca="false">Data_Farmer!DV6</f>
        <v/>
      </c>
      <c r="DW4" s="29" t="str">
        <f aca="false">Data_Farmer!DW6</f>
        <v/>
      </c>
      <c r="DX4" s="29" t="str">
        <f aca="false">Data_Farmer!DX6</f>
        <v/>
      </c>
      <c r="DY4" s="29" t="str">
        <f aca="false">Data_Farmer!DY6</f>
        <v/>
      </c>
      <c r="DZ4" s="29" t="str">
        <f aca="false">Data_Farmer!DZ6</f>
        <v/>
      </c>
      <c r="EA4" s="29" t="str">
        <f aca="false">Data_Farmer!EA6</f>
        <v/>
      </c>
      <c r="EB4" s="29" t="str">
        <f aca="false">Data_Farmer!EB6</f>
        <v/>
      </c>
      <c r="EC4" s="29" t="str">
        <f aca="false">Data_Farmer!EC6</f>
        <v/>
      </c>
      <c r="ED4" s="29" t="str">
        <f aca="false">Data_Farmer!ED6</f>
        <v/>
      </c>
      <c r="EE4" s="29" t="str">
        <f aca="false">Data_Farmer!EE6</f>
        <v/>
      </c>
      <c r="EF4" s="29" t="str">
        <f aca="false">Data_Farmer!EF6</f>
        <v/>
      </c>
      <c r="EG4" s="29" t="str">
        <f aca="false">Data_Farmer!EG6</f>
        <v/>
      </c>
      <c r="EH4" s="29" t="str">
        <f aca="false">Data_Farmer!EH6</f>
        <v/>
      </c>
      <c r="EI4" s="29" t="str">
        <f aca="false">Data_Farmer!EI6</f>
        <v/>
      </c>
      <c r="EJ4" s="29" t="str">
        <f aca="false">Data_Farmer!EJ6</f>
        <v/>
      </c>
      <c r="EK4" s="29" t="str">
        <f aca="false">Data_Farmer!EK6</f>
        <v/>
      </c>
      <c r="EL4" s="29" t="str">
        <f aca="false">Data_Farmer!EL6</f>
        <v/>
      </c>
      <c r="EM4" s="29" t="str">
        <f aca="false">Data_Farmer!EM6</f>
        <v/>
      </c>
      <c r="EN4" s="29" t="str">
        <f aca="false">Data_Farmer!EN6</f>
        <v/>
      </c>
      <c r="EO4" s="29" t="str">
        <f aca="false">Data_Farmer!EO6</f>
        <v/>
      </c>
      <c r="EP4" s="29" t="str">
        <f aca="false">Data_Farmer!EP6</f>
        <v/>
      </c>
      <c r="EQ4" s="29" t="str">
        <f aca="false">Data_Farmer!EQ6</f>
        <v/>
      </c>
      <c r="ER4" s="29" t="str">
        <f aca="false">Data_Farmer!ER6</f>
        <v/>
      </c>
      <c r="ES4" s="29" t="str">
        <f aca="false">Data_Farmer!ES6</f>
        <v/>
      </c>
      <c r="ET4" s="29" t="str">
        <f aca="false">Data_Farmer!ET6</f>
        <v/>
      </c>
      <c r="EU4" s="29" t="str">
        <f aca="false">Data_Farmer!EU6</f>
        <v/>
      </c>
      <c r="EV4" s="29" t="str">
        <f aca="false">Data_Farmer!EV6</f>
        <v/>
      </c>
      <c r="EW4" s="29" t="str">
        <f aca="false">Data_Farmer!EW6</f>
        <v/>
      </c>
      <c r="EX4" s="29" t="str">
        <f aca="false">Data_Farmer!EX6</f>
        <v/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132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133</v>
      </c>
      <c r="C7" s="32" t="s">
        <v>134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135</v>
      </c>
      <c r="C8" s="34" t="s">
        <v>134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136</v>
      </c>
      <c r="C9" s="32" t="s">
        <v>137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str">
        <f aca="false">IF(Data_Farmer!BD13="","",Data_Farmer!BD13)</f>
        <v/>
      </c>
      <c r="BE9" s="35" t="str">
        <f aca="false">IF(Data_Farmer!BE13="","",Data_Farmer!BE13)</f>
        <v/>
      </c>
      <c r="BF9" s="35" t="str">
        <f aca="false">IF(Data_Farmer!BF13="","",Data_Farmer!BF13)</f>
        <v/>
      </c>
      <c r="BG9" s="35" t="str">
        <f aca="false">IF(Data_Farmer!BG13="","",Data_Farmer!BG13)</f>
        <v/>
      </c>
      <c r="BH9" s="35" t="str">
        <f aca="false">IF(Data_Farmer!BH13="","",Data_Farmer!BH13)</f>
        <v/>
      </c>
      <c r="BI9" s="35" t="str">
        <f aca="false">IF(Data_Farmer!BI13="","",Data_Farmer!BI13)</f>
        <v/>
      </c>
      <c r="BJ9" s="35" t="str">
        <f aca="false">IF(Data_Farmer!BJ13="","",Data_Farmer!BJ13)</f>
        <v/>
      </c>
      <c r="BK9" s="35" t="str">
        <f aca="false">IF(Data_Farmer!BK13="","",Data_Farmer!BK13)</f>
        <v/>
      </c>
      <c r="BL9" s="35" t="str">
        <f aca="false">IF(Data_Farmer!BL13="","",Data_Farmer!BL13)</f>
        <v/>
      </c>
      <c r="BM9" s="35" t="str">
        <f aca="false">IF(Data_Farmer!BM13="","",Data_Farmer!BM13)</f>
        <v/>
      </c>
      <c r="BN9" s="35" t="str">
        <f aca="false">IF(Data_Farmer!BN13="","",Data_Farmer!BN13)</f>
        <v/>
      </c>
      <c r="BO9" s="35" t="str">
        <f aca="false">IF(Data_Farmer!BO13="","",Data_Farmer!BO13)</f>
        <v/>
      </c>
      <c r="BP9" s="35" t="str">
        <f aca="false">IF(Data_Farmer!BP13="","",Data_Farmer!BP13)</f>
        <v/>
      </c>
      <c r="BQ9" s="35" t="str">
        <f aca="false">IF(Data_Farmer!BQ13="","",Data_Farmer!BQ13)</f>
        <v/>
      </c>
      <c r="BR9" s="35" t="str">
        <f aca="false">IF(Data_Farmer!BR13="","",Data_Farmer!BR13)</f>
        <v/>
      </c>
      <c r="BS9" s="35" t="str">
        <f aca="false">IF(Data_Farmer!BS13="","",Data_Farmer!BS13)</f>
        <v/>
      </c>
      <c r="BT9" s="35" t="str">
        <f aca="false">IF(Data_Farmer!BT13="","",Data_Farmer!BT13)</f>
        <v/>
      </c>
      <c r="BU9" s="35" t="str">
        <f aca="false">IF(Data_Farmer!BU13="","",Data_Farmer!BU13)</f>
        <v/>
      </c>
      <c r="BV9" s="35" t="str">
        <f aca="false">IF(Data_Farmer!BV13="","",Data_Farmer!BV13)</f>
        <v/>
      </c>
      <c r="BW9" s="35" t="str">
        <f aca="false">IF(Data_Farmer!BW13="","",Data_Farmer!BW13)</f>
        <v/>
      </c>
      <c r="BX9" s="35" t="str">
        <f aca="false">IF(Data_Farmer!BX13="","",Data_Farmer!BX13)</f>
        <v/>
      </c>
      <c r="BY9" s="35" t="str">
        <f aca="false">IF(Data_Farmer!BY13="","",Data_Farmer!BY13)</f>
        <v/>
      </c>
      <c r="BZ9" s="35" t="str">
        <f aca="false">IF(Data_Farmer!BZ13="","",Data_Farmer!BZ13)</f>
        <v/>
      </c>
      <c r="CA9" s="35" t="str">
        <f aca="false">IF(Data_Farmer!CA13="","",Data_Farmer!CA13)</f>
        <v/>
      </c>
      <c r="CB9" s="35" t="str">
        <f aca="false">IF(Data_Farmer!CB13="","",Data_Farmer!CB13)</f>
        <v/>
      </c>
      <c r="CC9" s="35" t="str">
        <f aca="false">IF(Data_Farmer!CC13="","",Data_Farmer!CC13)</f>
        <v/>
      </c>
      <c r="CD9" s="35" t="str">
        <f aca="false">IF(Data_Farmer!CD13="","",Data_Farmer!CD13)</f>
        <v/>
      </c>
      <c r="CE9" s="35" t="str">
        <f aca="false">IF(Data_Farmer!CE13="","",Data_Farmer!CE13)</f>
        <v/>
      </c>
      <c r="CF9" s="35" t="str">
        <f aca="false">IF(Data_Farmer!CF13="","",Data_Farmer!CF13)</f>
        <v/>
      </c>
      <c r="CG9" s="35" t="str">
        <f aca="false">IF(Data_Farmer!CG13="","",Data_Farmer!CG13)</f>
        <v/>
      </c>
      <c r="CH9" s="35" t="str">
        <f aca="false">IF(Data_Farmer!CH13="","",Data_Farmer!CH13)</f>
        <v/>
      </c>
      <c r="CI9" s="35" t="str">
        <f aca="false">IF(Data_Farmer!CI13="","",Data_Farmer!CI13)</f>
        <v/>
      </c>
      <c r="CJ9" s="35" t="str">
        <f aca="false">IF(Data_Farmer!CJ13="","",Data_Farmer!CJ13)</f>
        <v/>
      </c>
      <c r="CK9" s="35" t="str">
        <f aca="false">IF(Data_Farmer!CK13="","",Data_Farmer!CK13)</f>
        <v/>
      </c>
      <c r="CL9" s="35" t="str">
        <f aca="false">IF(Data_Farmer!CL13="","",Data_Farmer!CL13)</f>
        <v/>
      </c>
      <c r="CM9" s="35" t="str">
        <f aca="false">IF(Data_Farmer!CM13="","",Data_Farmer!CM13)</f>
        <v/>
      </c>
      <c r="CN9" s="35" t="str">
        <f aca="false">IF(Data_Farmer!CN13="","",Data_Farmer!CN13)</f>
        <v/>
      </c>
      <c r="CO9" s="35" t="str">
        <f aca="false">IF(Data_Farmer!CO13="","",Data_Farmer!CO13)</f>
        <v/>
      </c>
      <c r="CP9" s="35" t="str">
        <f aca="false">IF(Data_Farmer!CP13="","",Data_Farmer!CP13)</f>
        <v/>
      </c>
      <c r="CQ9" s="35" t="str">
        <f aca="false">IF(Data_Farmer!CQ13="","",Data_Farmer!CQ13)</f>
        <v/>
      </c>
      <c r="CR9" s="35" t="str">
        <f aca="false">IF(Data_Farmer!CR13="","",Data_Farmer!CR13)</f>
        <v/>
      </c>
      <c r="CS9" s="35" t="str">
        <f aca="false">IF(Data_Farmer!CS13="","",Data_Farmer!CS13)</f>
        <v/>
      </c>
      <c r="CT9" s="35" t="str">
        <f aca="false">IF(Data_Farmer!CT13="","",Data_Farmer!CT13)</f>
        <v/>
      </c>
      <c r="CU9" s="35" t="str">
        <f aca="false">IF(Data_Farmer!CU13="","",Data_Farmer!CU13)</f>
        <v/>
      </c>
      <c r="CV9" s="35" t="str">
        <f aca="false">IF(Data_Farmer!CV13="","",Data_Farmer!CV13)</f>
        <v/>
      </c>
      <c r="CW9" s="35" t="str">
        <f aca="false">IF(Data_Farmer!CW13="","",Data_Farmer!CW13)</f>
        <v/>
      </c>
      <c r="CX9" s="35" t="str">
        <f aca="false">IF(Data_Farmer!CX13="","",Data_Farmer!CX13)</f>
        <v/>
      </c>
      <c r="CY9" s="35" t="str">
        <f aca="false">IF(Data_Farmer!CY13="","",Data_Farmer!CY13)</f>
        <v/>
      </c>
      <c r="CZ9" s="35" t="str">
        <f aca="false">IF(Data_Farmer!CZ13="","",Data_Farmer!CZ13)</f>
        <v/>
      </c>
      <c r="DA9" s="35" t="str">
        <f aca="false">IF(Data_Farmer!DA13="","",Data_Farmer!DA13)</f>
        <v/>
      </c>
      <c r="DB9" s="35" t="str">
        <f aca="false">IF(Data_Farmer!DB13="","",Data_Farmer!DB13)</f>
        <v/>
      </c>
      <c r="DC9" s="35" t="str">
        <f aca="false">IF(Data_Farmer!DC13="","",Data_Farmer!DC13)</f>
        <v/>
      </c>
      <c r="DD9" s="35" t="str">
        <f aca="false">IF(Data_Farmer!DD13="","",Data_Farmer!DD13)</f>
        <v/>
      </c>
      <c r="DE9" s="35" t="str">
        <f aca="false">IF(Data_Farmer!DE13="","",Data_Farmer!DE13)</f>
        <v/>
      </c>
      <c r="DF9" s="35" t="str">
        <f aca="false">IF(Data_Farmer!DF13="","",Data_Farmer!DF13)</f>
        <v/>
      </c>
      <c r="DG9" s="35" t="str">
        <f aca="false">IF(Data_Farmer!DG13="","",Data_Farmer!DG13)</f>
        <v/>
      </c>
      <c r="DH9" s="35" t="str">
        <f aca="false">IF(Data_Farmer!DH13="","",Data_Farmer!DH13)</f>
        <v/>
      </c>
      <c r="DI9" s="35" t="str">
        <f aca="false">IF(Data_Farmer!DI13="","",Data_Farmer!DI13)</f>
        <v/>
      </c>
      <c r="DJ9" s="35" t="str">
        <f aca="false">IF(Data_Farmer!DJ13="","",Data_Farmer!DJ13)</f>
        <v/>
      </c>
      <c r="DK9" s="35" t="str">
        <f aca="false">IF(Data_Farmer!DK13="","",Data_Farmer!DK13)</f>
        <v/>
      </c>
      <c r="DL9" s="35" t="str">
        <f aca="false">IF(Data_Farmer!DL13="","",Data_Farmer!DL13)</f>
        <v/>
      </c>
      <c r="DM9" s="35" t="str">
        <f aca="false">IF(Data_Farmer!DM13="","",Data_Farmer!DM13)</f>
        <v/>
      </c>
      <c r="DN9" s="35" t="str">
        <f aca="false">IF(Data_Farmer!DN13="","",Data_Farmer!DN13)</f>
        <v/>
      </c>
      <c r="DO9" s="35" t="str">
        <f aca="false">IF(Data_Farmer!DO13="","",Data_Farmer!DO13)</f>
        <v/>
      </c>
      <c r="DP9" s="35" t="str">
        <f aca="false">IF(Data_Farmer!DP13="","",Data_Farmer!DP13)</f>
        <v/>
      </c>
      <c r="DQ9" s="35" t="str">
        <f aca="false">IF(Data_Farmer!DQ13="","",Data_Farmer!DQ13)</f>
        <v/>
      </c>
      <c r="DR9" s="35" t="str">
        <f aca="false">IF(Data_Farmer!DR13="","",Data_Farmer!DR13)</f>
        <v/>
      </c>
      <c r="DS9" s="35" t="str">
        <f aca="false">IF(Data_Farmer!DS13="","",Data_Farmer!DS13)</f>
        <v/>
      </c>
      <c r="DT9" s="35" t="str">
        <f aca="false">IF(Data_Farmer!DT13="","",Data_Farmer!DT13)</f>
        <v/>
      </c>
      <c r="DU9" s="35" t="str">
        <f aca="false">IF(Data_Farmer!DU13="","",Data_Farmer!DU13)</f>
        <v/>
      </c>
      <c r="DV9" s="35" t="str">
        <f aca="false">IF(Data_Farmer!DV13="","",Data_Farmer!DV13)</f>
        <v/>
      </c>
      <c r="DW9" s="35" t="str">
        <f aca="false">IF(Data_Farmer!DW13="","",Data_Farmer!DW13)</f>
        <v/>
      </c>
      <c r="DX9" s="35" t="str">
        <f aca="false">IF(Data_Farmer!DX13="","",Data_Farmer!DX13)</f>
        <v/>
      </c>
      <c r="DY9" s="35" t="str">
        <f aca="false">IF(Data_Farmer!DY13="","",Data_Farmer!DY13)</f>
        <v/>
      </c>
      <c r="DZ9" s="35" t="str">
        <f aca="false">IF(Data_Farmer!DZ13="","",Data_Farmer!DZ13)</f>
        <v/>
      </c>
      <c r="EA9" s="35" t="str">
        <f aca="false">IF(Data_Farmer!EA13="","",Data_Farmer!EA13)</f>
        <v/>
      </c>
      <c r="EB9" s="35" t="str">
        <f aca="false">IF(Data_Farmer!EB13="","",Data_Farmer!EB13)</f>
        <v/>
      </c>
      <c r="EC9" s="35" t="str">
        <f aca="false">IF(Data_Farmer!EC13="","",Data_Farmer!EC13)</f>
        <v/>
      </c>
      <c r="ED9" s="35" t="str">
        <f aca="false">IF(Data_Farmer!ED13="","",Data_Farmer!ED13)</f>
        <v/>
      </c>
      <c r="EE9" s="35" t="str">
        <f aca="false">IF(Data_Farmer!EE13="","",Data_Farmer!EE13)</f>
        <v/>
      </c>
      <c r="EF9" s="35" t="str">
        <f aca="false">IF(Data_Farmer!EF13="","",Data_Farmer!EF13)</f>
        <v/>
      </c>
      <c r="EG9" s="35" t="str">
        <f aca="false">IF(Data_Farmer!EG13="","",Data_Farmer!EG13)</f>
        <v/>
      </c>
      <c r="EH9" s="35" t="str">
        <f aca="false">IF(Data_Farmer!EH13="","",Data_Farmer!EH13)</f>
        <v/>
      </c>
      <c r="EI9" s="35" t="str">
        <f aca="false">IF(Data_Farmer!EI13="","",Data_Farmer!EI13)</f>
        <v/>
      </c>
      <c r="EJ9" s="35" t="str">
        <f aca="false">IF(Data_Farmer!EJ13="","",Data_Farmer!EJ13)</f>
        <v/>
      </c>
      <c r="EK9" s="35" t="str">
        <f aca="false">IF(Data_Farmer!EK13="","",Data_Farmer!EK13)</f>
        <v/>
      </c>
      <c r="EL9" s="35" t="str">
        <f aca="false">IF(Data_Farmer!EL13="","",Data_Farmer!EL13)</f>
        <v/>
      </c>
      <c r="EM9" s="35" t="str">
        <f aca="false">IF(Data_Farmer!EM13="","",Data_Farmer!EM13)</f>
        <v/>
      </c>
      <c r="EN9" s="35" t="str">
        <f aca="false">IF(Data_Farmer!EN13="","",Data_Farmer!EN13)</f>
        <v/>
      </c>
      <c r="EO9" s="35" t="str">
        <f aca="false">IF(Data_Farmer!EO13="","",Data_Farmer!EO13)</f>
        <v/>
      </c>
      <c r="EP9" s="35" t="str">
        <f aca="false">IF(Data_Farmer!EP13="","",Data_Farmer!EP13)</f>
        <v/>
      </c>
      <c r="EQ9" s="35" t="str">
        <f aca="false">IF(Data_Farmer!EQ13="","",Data_Farmer!EQ13)</f>
        <v/>
      </c>
      <c r="ER9" s="35" t="str">
        <f aca="false">IF(Data_Farmer!ER13="","",Data_Farmer!ER13)</f>
        <v/>
      </c>
      <c r="ES9" s="35" t="str">
        <f aca="false">IF(Data_Farmer!ES13="","",Data_Farmer!ES13)</f>
        <v/>
      </c>
      <c r="ET9" s="35" t="str">
        <f aca="false">IF(Data_Farmer!ET13="","",Data_Farmer!ET13)</f>
        <v/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138</v>
      </c>
      <c r="C10" s="34" t="s">
        <v>137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str">
        <f aca="false">IF(Data_Farmer!BD38="","",Data_Farmer!BD38)</f>
        <v/>
      </c>
      <c r="BE10" s="35" t="str">
        <f aca="false">IF(Data_Farmer!BE38="","",Data_Farmer!BE38)</f>
        <v/>
      </c>
      <c r="BF10" s="35" t="str">
        <f aca="false">IF(Data_Farmer!BF38="","",Data_Farmer!BF38)</f>
        <v/>
      </c>
      <c r="BG10" s="35" t="str">
        <f aca="false">IF(Data_Farmer!BG38="","",Data_Farmer!BG38)</f>
        <v/>
      </c>
      <c r="BH10" s="35" t="str">
        <f aca="false">IF(Data_Farmer!BH38="","",Data_Farmer!BH38)</f>
        <v/>
      </c>
      <c r="BI10" s="35" t="str">
        <f aca="false">IF(Data_Farmer!BI38="","",Data_Farmer!BI38)</f>
        <v/>
      </c>
      <c r="BJ10" s="35" t="str">
        <f aca="false">IF(Data_Farmer!BJ38="","",Data_Farmer!BJ38)</f>
        <v/>
      </c>
      <c r="BK10" s="35" t="str">
        <f aca="false">IF(Data_Farmer!BK38="","",Data_Farmer!BK38)</f>
        <v/>
      </c>
      <c r="BL10" s="35" t="str">
        <f aca="false">IF(Data_Farmer!BL38="","",Data_Farmer!BL38)</f>
        <v/>
      </c>
      <c r="BM10" s="35" t="str">
        <f aca="false">IF(Data_Farmer!BM38="","",Data_Farmer!BM38)</f>
        <v/>
      </c>
      <c r="BN10" s="35" t="str">
        <f aca="false">IF(Data_Farmer!BN38="","",Data_Farmer!BN38)</f>
        <v/>
      </c>
      <c r="BO10" s="35" t="str">
        <f aca="false">IF(Data_Farmer!BO38="","",Data_Farmer!BO38)</f>
        <v/>
      </c>
      <c r="BP10" s="35" t="str">
        <f aca="false">IF(Data_Farmer!BP38="","",Data_Farmer!BP38)</f>
        <v/>
      </c>
      <c r="BQ10" s="35" t="str">
        <f aca="false">IF(Data_Farmer!BQ38="","",Data_Farmer!BQ38)</f>
        <v/>
      </c>
      <c r="BR10" s="35" t="str">
        <f aca="false">IF(Data_Farmer!BR38="","",Data_Farmer!BR38)</f>
        <v/>
      </c>
      <c r="BS10" s="35" t="str">
        <f aca="false">IF(Data_Farmer!BS38="","",Data_Farmer!BS38)</f>
        <v/>
      </c>
      <c r="BT10" s="35" t="str">
        <f aca="false">IF(Data_Farmer!BT38="","",Data_Farmer!BT38)</f>
        <v/>
      </c>
      <c r="BU10" s="35" t="str">
        <f aca="false">IF(Data_Farmer!BU38="","",Data_Farmer!BU38)</f>
        <v/>
      </c>
      <c r="BV10" s="35" t="str">
        <f aca="false">IF(Data_Farmer!BV38="","",Data_Farmer!BV38)</f>
        <v/>
      </c>
      <c r="BW10" s="35" t="str">
        <f aca="false">IF(Data_Farmer!BW38="","",Data_Farmer!BW38)</f>
        <v/>
      </c>
      <c r="BX10" s="35" t="str">
        <f aca="false">IF(Data_Farmer!BX38="","",Data_Farmer!BX38)</f>
        <v/>
      </c>
      <c r="BY10" s="35" t="str">
        <f aca="false">IF(Data_Farmer!BY38="","",Data_Farmer!BY38)</f>
        <v/>
      </c>
      <c r="BZ10" s="35" t="str">
        <f aca="false">IF(Data_Farmer!BZ38="","",Data_Farmer!BZ38)</f>
        <v/>
      </c>
      <c r="CA10" s="35" t="str">
        <f aca="false">IF(Data_Farmer!CA38="","",Data_Farmer!CA38)</f>
        <v/>
      </c>
      <c r="CB10" s="35" t="str">
        <f aca="false">IF(Data_Farmer!CB38="","",Data_Farmer!CB38)</f>
        <v/>
      </c>
      <c r="CC10" s="35" t="str">
        <f aca="false">IF(Data_Farmer!CC38="","",Data_Farmer!CC38)</f>
        <v/>
      </c>
      <c r="CD10" s="35" t="str">
        <f aca="false">IF(Data_Farmer!CD38="","",Data_Farmer!CD38)</f>
        <v/>
      </c>
      <c r="CE10" s="35" t="str">
        <f aca="false">IF(Data_Farmer!CE38="","",Data_Farmer!CE38)</f>
        <v/>
      </c>
      <c r="CF10" s="35" t="str">
        <f aca="false">IF(Data_Farmer!CF38="","",Data_Farmer!CF38)</f>
        <v/>
      </c>
      <c r="CG10" s="35" t="str">
        <f aca="false">IF(Data_Farmer!CG38="","",Data_Farmer!CG38)</f>
        <v/>
      </c>
      <c r="CH10" s="35" t="str">
        <f aca="false">IF(Data_Farmer!CH38="","",Data_Farmer!CH38)</f>
        <v/>
      </c>
      <c r="CI10" s="35" t="str">
        <f aca="false">IF(Data_Farmer!CI38="","",Data_Farmer!CI38)</f>
        <v/>
      </c>
      <c r="CJ10" s="35" t="str">
        <f aca="false">IF(Data_Farmer!CJ38="","",Data_Farmer!CJ38)</f>
        <v/>
      </c>
      <c r="CK10" s="35" t="str">
        <f aca="false">IF(Data_Farmer!CK38="","",Data_Farmer!CK38)</f>
        <v/>
      </c>
      <c r="CL10" s="35" t="str">
        <f aca="false">IF(Data_Farmer!CL38="","",Data_Farmer!CL38)</f>
        <v/>
      </c>
      <c r="CM10" s="35" t="str">
        <f aca="false">IF(Data_Farmer!CM38="","",Data_Farmer!CM38)</f>
        <v/>
      </c>
      <c r="CN10" s="35" t="str">
        <f aca="false">IF(Data_Farmer!CN38="","",Data_Farmer!CN38)</f>
        <v/>
      </c>
      <c r="CO10" s="35" t="str">
        <f aca="false">IF(Data_Farmer!CO38="","",Data_Farmer!CO38)</f>
        <v/>
      </c>
      <c r="CP10" s="35" t="str">
        <f aca="false">IF(Data_Farmer!CP38="","",Data_Farmer!CP38)</f>
        <v/>
      </c>
      <c r="CQ10" s="35" t="str">
        <f aca="false">IF(Data_Farmer!CQ38="","",Data_Farmer!CQ38)</f>
        <v/>
      </c>
      <c r="CR10" s="35" t="str">
        <f aca="false">IF(Data_Farmer!CR38="","",Data_Farmer!CR38)</f>
        <v/>
      </c>
      <c r="CS10" s="35" t="str">
        <f aca="false">IF(Data_Farmer!CS38="","",Data_Farmer!CS38)</f>
        <v/>
      </c>
      <c r="CT10" s="35" t="str">
        <f aca="false">IF(Data_Farmer!CT38="","",Data_Farmer!CT38)</f>
        <v/>
      </c>
      <c r="CU10" s="35" t="str">
        <f aca="false">IF(Data_Farmer!CU38="","",Data_Farmer!CU38)</f>
        <v/>
      </c>
      <c r="CV10" s="35" t="str">
        <f aca="false">IF(Data_Farmer!CV38="","",Data_Farmer!CV38)</f>
        <v/>
      </c>
      <c r="CW10" s="35" t="str">
        <f aca="false">IF(Data_Farmer!CW38="","",Data_Farmer!CW38)</f>
        <v/>
      </c>
      <c r="CX10" s="35" t="str">
        <f aca="false">IF(Data_Farmer!CX38="","",Data_Farmer!CX38)</f>
        <v/>
      </c>
      <c r="CY10" s="35" t="str">
        <f aca="false">IF(Data_Farmer!CY38="","",Data_Farmer!CY38)</f>
        <v/>
      </c>
      <c r="CZ10" s="35" t="str">
        <f aca="false">IF(Data_Farmer!CZ38="","",Data_Farmer!CZ38)</f>
        <v/>
      </c>
      <c r="DA10" s="35" t="str">
        <f aca="false">IF(Data_Farmer!DA38="","",Data_Farmer!DA38)</f>
        <v/>
      </c>
      <c r="DB10" s="35" t="str">
        <f aca="false">IF(Data_Farmer!DB38="","",Data_Farmer!DB38)</f>
        <v/>
      </c>
      <c r="DC10" s="35" t="str">
        <f aca="false">IF(Data_Farmer!DC38="","",Data_Farmer!DC38)</f>
        <v/>
      </c>
      <c r="DD10" s="35" t="str">
        <f aca="false">IF(Data_Farmer!DD38="","",Data_Farmer!DD38)</f>
        <v/>
      </c>
      <c r="DE10" s="35" t="str">
        <f aca="false">IF(Data_Farmer!DE38="","",Data_Farmer!DE38)</f>
        <v/>
      </c>
      <c r="DF10" s="35" t="str">
        <f aca="false">IF(Data_Farmer!DF38="","",Data_Farmer!DF38)</f>
        <v/>
      </c>
      <c r="DG10" s="35" t="str">
        <f aca="false">IF(Data_Farmer!DG38="","",Data_Farmer!DG38)</f>
        <v/>
      </c>
      <c r="DH10" s="35" t="str">
        <f aca="false">IF(Data_Farmer!DH38="","",Data_Farmer!DH38)</f>
        <v/>
      </c>
      <c r="DI10" s="35" t="str">
        <f aca="false">IF(Data_Farmer!DI38="","",Data_Farmer!DI38)</f>
        <v/>
      </c>
      <c r="DJ10" s="35" t="str">
        <f aca="false">IF(Data_Farmer!DJ38="","",Data_Farmer!DJ38)</f>
        <v/>
      </c>
      <c r="DK10" s="35" t="str">
        <f aca="false">IF(Data_Farmer!DK38="","",Data_Farmer!DK38)</f>
        <v/>
      </c>
      <c r="DL10" s="35" t="str">
        <f aca="false">IF(Data_Farmer!DL38="","",Data_Farmer!DL38)</f>
        <v/>
      </c>
      <c r="DM10" s="35" t="str">
        <f aca="false">IF(Data_Farmer!DM38="","",Data_Farmer!DM38)</f>
        <v/>
      </c>
      <c r="DN10" s="35" t="str">
        <f aca="false">IF(Data_Farmer!DN38="","",Data_Farmer!DN38)</f>
        <v/>
      </c>
      <c r="DO10" s="35" t="str">
        <f aca="false">IF(Data_Farmer!DO38="","",Data_Farmer!DO38)</f>
        <v/>
      </c>
      <c r="DP10" s="35" t="str">
        <f aca="false">IF(Data_Farmer!DP38="","",Data_Farmer!DP38)</f>
        <v/>
      </c>
      <c r="DQ10" s="35" t="str">
        <f aca="false">IF(Data_Farmer!DQ38="","",Data_Farmer!DQ38)</f>
        <v/>
      </c>
      <c r="DR10" s="35" t="str">
        <f aca="false">IF(Data_Farmer!DR38="","",Data_Farmer!DR38)</f>
        <v/>
      </c>
      <c r="DS10" s="35" t="str">
        <f aca="false">IF(Data_Farmer!DS38="","",Data_Farmer!DS38)</f>
        <v/>
      </c>
      <c r="DT10" s="35" t="str">
        <f aca="false">IF(Data_Farmer!DT38="","",Data_Farmer!DT38)</f>
        <v/>
      </c>
      <c r="DU10" s="35" t="str">
        <f aca="false">IF(Data_Farmer!DU38="","",Data_Farmer!DU38)</f>
        <v/>
      </c>
      <c r="DV10" s="35" t="str">
        <f aca="false">IF(Data_Farmer!DV38="","",Data_Farmer!DV38)</f>
        <v/>
      </c>
      <c r="DW10" s="35" t="str">
        <f aca="false">IF(Data_Farmer!DW38="","",Data_Farmer!DW38)</f>
        <v/>
      </c>
      <c r="DX10" s="35" t="str">
        <f aca="false">IF(Data_Farmer!DX38="","",Data_Farmer!DX38)</f>
        <v/>
      </c>
      <c r="DY10" s="35" t="str">
        <f aca="false">IF(Data_Farmer!DY38="","",Data_Farmer!DY38)</f>
        <v/>
      </c>
      <c r="DZ10" s="35" t="str">
        <f aca="false">IF(Data_Farmer!DZ38="","",Data_Farmer!DZ38)</f>
        <v/>
      </c>
      <c r="EA10" s="35" t="str">
        <f aca="false">IF(Data_Farmer!EA38="","",Data_Farmer!EA38)</f>
        <v/>
      </c>
      <c r="EB10" s="35" t="str">
        <f aca="false">IF(Data_Farmer!EB38="","",Data_Farmer!EB38)</f>
        <v/>
      </c>
      <c r="EC10" s="35" t="str">
        <f aca="false">IF(Data_Farmer!EC38="","",Data_Farmer!EC38)</f>
        <v/>
      </c>
      <c r="ED10" s="35" t="str">
        <f aca="false">IF(Data_Farmer!ED38="","",Data_Farmer!ED38)</f>
        <v/>
      </c>
      <c r="EE10" s="35" t="str">
        <f aca="false">IF(Data_Farmer!EE38="","",Data_Farmer!EE38)</f>
        <v/>
      </c>
      <c r="EF10" s="35" t="str">
        <f aca="false">IF(Data_Farmer!EF38="","",Data_Farmer!EF38)</f>
        <v/>
      </c>
      <c r="EG10" s="35" t="str">
        <f aca="false">IF(Data_Farmer!EG38="","",Data_Farmer!EG38)</f>
        <v/>
      </c>
      <c r="EH10" s="35" t="str">
        <f aca="false">IF(Data_Farmer!EH38="","",Data_Farmer!EH38)</f>
        <v/>
      </c>
      <c r="EI10" s="35" t="str">
        <f aca="false">IF(Data_Farmer!EI38="","",Data_Farmer!EI38)</f>
        <v/>
      </c>
      <c r="EJ10" s="35" t="str">
        <f aca="false">IF(Data_Farmer!EJ38="","",Data_Farmer!EJ38)</f>
        <v/>
      </c>
      <c r="EK10" s="35" t="str">
        <f aca="false">IF(Data_Farmer!EK38="","",Data_Farmer!EK38)</f>
        <v/>
      </c>
      <c r="EL10" s="35" t="str">
        <f aca="false">IF(Data_Farmer!EL38="","",Data_Farmer!EL38)</f>
        <v/>
      </c>
      <c r="EM10" s="35" t="str">
        <f aca="false">IF(Data_Farmer!EM38="","",Data_Farmer!EM38)</f>
        <v/>
      </c>
      <c r="EN10" s="35" t="str">
        <f aca="false">IF(Data_Farmer!EN38="","",Data_Farmer!EN38)</f>
        <v/>
      </c>
      <c r="EO10" s="35" t="str">
        <f aca="false">IF(Data_Farmer!EO38="","",Data_Farmer!EO38)</f>
        <v/>
      </c>
      <c r="EP10" s="35" t="str">
        <f aca="false">IF(Data_Farmer!EP38="","",Data_Farmer!EP38)</f>
        <v/>
      </c>
      <c r="EQ10" s="35" t="str">
        <f aca="false">IF(Data_Farmer!EQ38="","",Data_Farmer!EQ38)</f>
        <v/>
      </c>
      <c r="ER10" s="35" t="str">
        <f aca="false">IF(Data_Farmer!ER38="","",Data_Farmer!ER38)</f>
        <v/>
      </c>
      <c r="ES10" s="35" t="str">
        <f aca="false">IF(Data_Farmer!ES38="","",Data_Farmer!ES38)</f>
        <v/>
      </c>
      <c r="ET10" s="35" t="str">
        <f aca="false">IF(Data_Farmer!ET38="","",Data_Farmer!ET38)</f>
        <v/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139</v>
      </c>
      <c r="C11" s="32" t="s">
        <v>140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/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/>
      </c>
      <c r="ET11" s="36" t="str">
        <f aca="false">IF(Data_Farmer!ET30="","",Data_Farmer!ET30)</f>
        <v/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141</v>
      </c>
      <c r="C12" s="34" t="s">
        <v>140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/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/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/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143</v>
      </c>
      <c r="C15" s="32" t="s">
        <v>144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145</v>
      </c>
      <c r="C16" s="32" t="s">
        <v>144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146</v>
      </c>
      <c r="C17" s="32" t="s">
        <v>147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148</v>
      </c>
      <c r="C18" s="34" t="s">
        <v>144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149</v>
      </c>
      <c r="C19" s="34" t="s">
        <v>144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150</v>
      </c>
      <c r="C20" s="34" t="s">
        <v>147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151</v>
      </c>
      <c r="C21" s="32" t="s">
        <v>137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str">
        <f aca="false">IF(Data_Farmer!BE21="","",Data_Farmer!BE21)</f>
        <v/>
      </c>
      <c r="BF21" s="35" t="str">
        <f aca="false">IF(Data_Farmer!BF21="","",Data_Farmer!BF21)</f>
        <v/>
      </c>
      <c r="BG21" s="35" t="str">
        <f aca="false">IF(Data_Farmer!BG21="","",Data_Farmer!BG21)</f>
        <v/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str">
        <f aca="false">IF(Data_Farmer!BK21="","",Data_Farmer!BK21)</f>
        <v/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str">
        <f aca="false">IF(Data_Farmer!BP21="","",Data_Farmer!BP21)</f>
        <v/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str">
        <f aca="false">IF(Data_Farmer!BW21="","",Data_Farmer!BW21)</f>
        <v/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str">
        <f aca="false">IF(Data_Farmer!CD21="","",Data_Farmer!CD21)</f>
        <v/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str">
        <f aca="false">IF(Data_Farmer!CH21="","",Data_Farmer!CH21)</f>
        <v/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str">
        <f aca="false">IF(Data_Farmer!CW21="","",Data_Farmer!CW21)</f>
        <v/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str">
        <f aca="false">IF(Data_Farmer!CZ21="","",Data_Farmer!CZ21)</f>
        <v/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str">
        <f aca="false">IF(Data_Farmer!DC21="","",Data_Farmer!DC21)</f>
        <v/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str">
        <f aca="false">IF(Data_Farmer!DI21="","",Data_Farmer!DI21)</f>
        <v/>
      </c>
      <c r="DJ21" s="35" t="str">
        <f aca="false">IF(Data_Farmer!DJ21="","",Data_Farmer!DJ21)</f>
        <v/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str">
        <f aca="false">IF(Data_Farmer!DM21="","",Data_Farmer!DM21)</f>
        <v/>
      </c>
      <c r="DN21" s="35" t="str">
        <f aca="false">IF(Data_Farmer!DN21="","",Data_Farmer!DN21)</f>
        <v/>
      </c>
      <c r="DO21" s="35" t="str">
        <f aca="false">IF(Data_Farmer!DO21="","",Data_Farmer!DO21)</f>
        <v/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str">
        <f aca="false">IF(Data_Farmer!DR21="","",Data_Farmer!DR21)</f>
        <v/>
      </c>
      <c r="DS21" s="35" t="str">
        <f aca="false">IF(Data_Farmer!DS21="","",Data_Farmer!DS21)</f>
        <v/>
      </c>
      <c r="DT21" s="35" t="str">
        <f aca="false">IF(Data_Farmer!DT21="","",Data_Farmer!DT21)</f>
        <v/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str">
        <f aca="false">IF(Data_Farmer!DW21="","",Data_Farmer!DW21)</f>
        <v/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str">
        <f aca="false">IF(Data_Farmer!EA21="","",Data_Farmer!EA21)</f>
        <v/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str">
        <f aca="false">IF(Data_Farmer!EH21="","",Data_Farmer!EH21)</f>
        <v/>
      </c>
      <c r="EI21" s="35" t="str">
        <f aca="false">IF(Data_Farmer!EI21="","",Data_Farmer!EI21)</f>
        <v/>
      </c>
      <c r="EJ21" s="35" t="str">
        <f aca="false">IF(Data_Farmer!EJ21="","",Data_Farmer!EJ21)</f>
        <v/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str">
        <f aca="false">IF(Data_Farmer!EP21="","",Data_Farmer!EP21)</f>
        <v/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152</v>
      </c>
      <c r="C22" s="34" t="s">
        <v>137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str">
        <f aca="false">IF(Data_Farmer!BE46="","",Data_Farmer!BE46)</f>
        <v/>
      </c>
      <c r="BF22" s="35" t="str">
        <f aca="false">IF(Data_Farmer!BF46="","",Data_Farmer!BF46)</f>
        <v/>
      </c>
      <c r="BG22" s="35" t="str">
        <f aca="false">IF(Data_Farmer!BG46="","",Data_Farmer!BG46)</f>
        <v/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str">
        <f aca="false">IF(Data_Farmer!BK46="","",Data_Farmer!BK46)</f>
        <v/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str">
        <f aca="false">IF(Data_Farmer!BP46="","",Data_Farmer!BP46)</f>
        <v/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str">
        <f aca="false">IF(Data_Farmer!BW46="","",Data_Farmer!BW46)</f>
        <v/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str">
        <f aca="false">IF(Data_Farmer!CD46="","",Data_Farmer!CD46)</f>
        <v/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str">
        <f aca="false">IF(Data_Farmer!CH46="","",Data_Farmer!CH46)</f>
        <v/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str">
        <f aca="false">IF(Data_Farmer!CW46="","",Data_Farmer!CW46)</f>
        <v/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str">
        <f aca="false">IF(Data_Farmer!CZ46="","",Data_Farmer!CZ46)</f>
        <v/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str">
        <f aca="false">IF(Data_Farmer!DC46="","",Data_Farmer!DC46)</f>
        <v/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str">
        <f aca="false">IF(Data_Farmer!DG46="","",Data_Farmer!DG46)</f>
        <v/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str">
        <f aca="false">IF(Data_Farmer!DN46="","",Data_Farmer!DN46)</f>
        <v/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str">
        <f aca="false">IF(Data_Farmer!DU46="","",Data_Farmer!DU46)</f>
        <v/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str">
        <f aca="false">IF(Data_Farmer!EB46="","",Data_Farmer!EB46)</f>
        <v/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str">
        <f aca="false">IF(Data_Farmer!EJ46="","",Data_Farmer!EJ46)</f>
        <v/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153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154</v>
      </c>
      <c r="C25" s="39" t="s">
        <v>155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156</v>
      </c>
      <c r="C26" s="39" t="s">
        <v>147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157</v>
      </c>
      <c r="C27" s="39" t="s">
        <v>147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158</v>
      </c>
      <c r="C28" s="39" t="s">
        <v>159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160</v>
      </c>
      <c r="C29" s="39" t="s">
        <v>161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162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163</v>
      </c>
      <c r="C32" s="32" t="s">
        <v>159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164</v>
      </c>
      <c r="C33" s="32" t="s">
        <v>159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165</v>
      </c>
      <c r="C34" s="32" t="s">
        <v>166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167</v>
      </c>
      <c r="C35" s="32" t="s">
        <v>159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168</v>
      </c>
      <c r="C36" s="32" t="s">
        <v>166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169</v>
      </c>
      <c r="C37" s="32" t="s">
        <v>159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170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163</v>
      </c>
      <c r="C40" s="34" t="s">
        <v>159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164</v>
      </c>
      <c r="C41" s="34" t="s">
        <v>159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165</v>
      </c>
      <c r="C42" s="34" t="s">
        <v>166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167</v>
      </c>
      <c r="C43" s="34" t="s">
        <v>159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168</v>
      </c>
      <c r="C44" s="34" t="s">
        <v>166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169</v>
      </c>
      <c r="C45" s="34" t="s">
        <v>159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171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172</v>
      </c>
      <c r="C48" s="39" t="s">
        <v>173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174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175</v>
      </c>
      <c r="C51" s="32" t="s">
        <v>176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177</v>
      </c>
      <c r="C52" s="32" t="s">
        <v>176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178</v>
      </c>
      <c r="C53" s="32" t="s">
        <v>176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179</v>
      </c>
      <c r="C54" s="32" t="s">
        <v>176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180</v>
      </c>
      <c r="C55" s="32" t="s">
        <v>176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181</v>
      </c>
      <c r="C56" s="32" t="s">
        <v>137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str">
        <f aca="false">IF(Data_Farmer!BY66="","",Data_Farmer!BY66)</f>
        <v/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str">
        <f aca="false">IF(Data_Farmer!CN66="","",Data_Farmer!CN66)</f>
        <v/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str">
        <f aca="false">IF(Data_Farmer!DC66="","",Data_Farmer!DC66)</f>
        <v/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str">
        <f aca="false">IF(Data_Farmer!DR66="","",Data_Farmer!DR66)</f>
        <v/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182</v>
      </c>
      <c r="C57" s="34" t="s">
        <v>176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183</v>
      </c>
      <c r="C58" s="34" t="s">
        <v>176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184</v>
      </c>
      <c r="C59" s="34" t="s">
        <v>176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185</v>
      </c>
      <c r="C60" s="34" t="s">
        <v>176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186</v>
      </c>
      <c r="C61" s="34" t="s">
        <v>176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187</v>
      </c>
      <c r="C62" s="34" t="s">
        <v>137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str">
        <f aca="false">IF(Data_Farmer!BY73="","",Data_Farmer!BY73)</f>
        <v/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str">
        <f aca="false">IF(Data_Farmer!CN73="","",Data_Farmer!CN73)</f>
        <v/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str">
        <f aca="false">IF(Data_Farmer!DC73="","",Data_Farmer!DC73)</f>
        <v/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str">
        <f aca="false">IF(Data_Farmer!DR73="","",Data_Farmer!DR73)</f>
        <v/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188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189</v>
      </c>
      <c r="C65" s="32" t="s">
        <v>190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191</v>
      </c>
      <c r="C66" s="32" t="s">
        <v>192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193</v>
      </c>
      <c r="C67" s="34" t="s">
        <v>190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194</v>
      </c>
      <c r="C68" s="34" t="s">
        <v>192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195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196</v>
      </c>
      <c r="C71" s="34" t="s">
        <v>197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198</v>
      </c>
      <c r="C72" s="34" t="s">
        <v>199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200</v>
      </c>
      <c r="C73" s="32" t="s">
        <v>197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201</v>
      </c>
      <c r="C74" s="32" t="s">
        <v>199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202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203</v>
      </c>
      <c r="C77" s="39" t="s">
        <v>159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204</v>
      </c>
      <c r="C78" s="39" t="s">
        <v>205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206</v>
      </c>
      <c r="C79" s="39" t="s">
        <v>205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207</v>
      </c>
      <c r="C80" s="39" t="s">
        <v>205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208</v>
      </c>
      <c r="C81" s="39" t="s">
        <v>205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209</v>
      </c>
      <c r="C82" s="39" t="s">
        <v>205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210</v>
      </c>
      <c r="C83" s="39" t="s">
        <v>205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211</v>
      </c>
      <c r="C84" s="39" t="s">
        <v>205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212</v>
      </c>
      <c r="C85" s="39" t="s">
        <v>205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213</v>
      </c>
      <c r="C86" s="39" t="s">
        <v>205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214</v>
      </c>
      <c r="C87" s="39" t="s">
        <v>159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215</v>
      </c>
      <c r="C88" s="39" t="s">
        <v>216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217</v>
      </c>
      <c r="C89" s="39" t="s">
        <v>216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218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219</v>
      </c>
      <c r="C92" s="32" t="s">
        <v>159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220</v>
      </c>
      <c r="C93" s="32" t="s">
        <v>205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221</v>
      </c>
      <c r="C94" s="32" t="s">
        <v>205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222</v>
      </c>
      <c r="C95" s="32" t="s">
        <v>205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223</v>
      </c>
      <c r="C96" s="32" t="s">
        <v>205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224</v>
      </c>
      <c r="C97" s="32" t="s">
        <v>205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225</v>
      </c>
      <c r="C98" s="32" t="s">
        <v>205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226</v>
      </c>
      <c r="C99" s="32" t="s">
        <v>205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227</v>
      </c>
      <c r="C100" s="32" t="s">
        <v>205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228</v>
      </c>
      <c r="C101" s="32" t="s">
        <v>205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229</v>
      </c>
      <c r="C102" s="32" t="s">
        <v>205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230</v>
      </c>
      <c r="C103" s="32" t="s">
        <v>205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231</v>
      </c>
      <c r="C104" s="32" t="s">
        <v>205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232</v>
      </c>
      <c r="C105" s="32" t="s">
        <v>159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233</v>
      </c>
      <c r="C106" s="32" t="s">
        <v>216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234</v>
      </c>
      <c r="C107" s="32" t="s">
        <v>216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235</v>
      </c>
      <c r="C108" s="32" t="s">
        <v>166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236</v>
      </c>
      <c r="C109" s="32" t="s">
        <v>166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237</v>
      </c>
      <c r="C110" s="32" t="s">
        <v>216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238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239</v>
      </c>
      <c r="C113" s="34" t="s">
        <v>159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240</v>
      </c>
      <c r="C114" s="34" t="s">
        <v>205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241</v>
      </c>
      <c r="C115" s="34" t="s">
        <v>205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242</v>
      </c>
      <c r="C116" s="34" t="s">
        <v>205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243</v>
      </c>
      <c r="C117" s="34" t="s">
        <v>205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244</v>
      </c>
      <c r="C118" s="34" t="s">
        <v>205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245</v>
      </c>
      <c r="C119" s="34" t="s">
        <v>205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246</v>
      </c>
      <c r="C120" s="34" t="s">
        <v>205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247</v>
      </c>
      <c r="C121" s="34" t="s">
        <v>205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248</v>
      </c>
      <c r="C122" s="34" t="s">
        <v>205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249</v>
      </c>
      <c r="C123" s="34" t="s">
        <v>205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250</v>
      </c>
      <c r="C124" s="34" t="s">
        <v>205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251</v>
      </c>
      <c r="C125" s="34" t="s">
        <v>205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252</v>
      </c>
      <c r="C126" s="34" t="s">
        <v>159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253</v>
      </c>
      <c r="C127" s="34" t="s">
        <v>216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254</v>
      </c>
      <c r="C128" s="34" t="s">
        <v>216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255</v>
      </c>
      <c r="C129" s="34" t="s">
        <v>166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256</v>
      </c>
      <c r="C130" s="34" t="s">
        <v>166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257</v>
      </c>
      <c r="C131" s="34" t="s">
        <v>216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258</v>
      </c>
    </row>
    <row r="2" customFormat="false" ht="15" hidden="false" customHeight="false" outlineLevel="0" collapsed="false">
      <c r="A2" s="4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259</v>
      </c>
      <c r="C4" s="15" t="s">
        <v>260</v>
      </c>
      <c r="D4" s="15" t="s">
        <v>261</v>
      </c>
      <c r="G4" s="15" t="s">
        <v>262</v>
      </c>
      <c r="H4" s="15" t="s">
        <v>260</v>
      </c>
      <c r="I4" s="15" t="s">
        <v>261</v>
      </c>
    </row>
    <row r="5" customFormat="false" ht="15" hidden="false" customHeight="false" outlineLevel="0" collapsed="false">
      <c r="A5" s="45" t="s">
        <v>263</v>
      </c>
      <c r="B5" s="21" t="str">
        <f aca="false">Schedule_Farmer!A5&amp;IF(Schedule_Farmer!E5&lt;&gt;Schedule_Farmer!D5,"  (- "&amp;TEXT(Schedule_Farmer!E5,"dd mmm")&amp;")","")</f>
        <v>বীজ ভেজানো</v>
      </c>
      <c r="C5" s="46" t="str">
        <f aca="false">IF(Schedule_Farmer!D5="","",Schedule_Farmer!D5)</f>
        <v/>
      </c>
      <c r="D5" s="46" t="str">
        <f aca="false">IF(Schedule_Farmer!F5="","",Schedule_Farmer!F5)</f>
        <v/>
      </c>
      <c r="F5" s="45" t="s">
        <v>263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46" t="str">
        <f aca="false">IF(Schedule_Farmer!D28="","",Schedule_Farmer!D28)</f>
        <v/>
      </c>
      <c r="I5" s="46" t="str">
        <f aca="false">IF(Schedule_Farmer!F28="","",Schedule_Farmer!F28)</f>
        <v/>
      </c>
    </row>
    <row r="6" customFormat="false" ht="15" hidden="false" customHeight="false" outlineLevel="0" collapsed="false">
      <c r="A6" s="45" t="s">
        <v>264</v>
      </c>
      <c r="B6" s="21" t="str">
        <f aca="false">Schedule_Farmer!A6&amp;IF(Schedule_Farmer!E6&lt;&gt;Schedule_Farmer!D6,"  (- "&amp;TEXT(Schedule_Farmer!E6,"dd mmm")&amp;")","")</f>
        <v>বীজ বপন</v>
      </c>
      <c r="C6" s="46" t="str">
        <f aca="false">IF(Schedule_Farmer!D6="","",Schedule_Farmer!D6)</f>
        <v/>
      </c>
      <c r="D6" s="46" t="str">
        <f aca="false">IF(Schedule_Farmer!F6="","",Schedule_Farmer!F6)</f>
        <v/>
      </c>
      <c r="F6" s="45" t="s">
        <v>264</v>
      </c>
      <c r="G6" s="21" t="str">
        <f aca="false">Schedule_Farmer!A29&amp;IF(Schedule_Farmer!E29&lt;&gt;Schedule_Farmer!D29,"  (- "&amp;TEXT(Schedule_Farmer!E29,"dd mmm")&amp;")","")</f>
        <v>বীজ বপন</v>
      </c>
      <c r="H6" s="46" t="str">
        <f aca="false">IF(Schedule_Farmer!D29="","",Schedule_Farmer!D29)</f>
        <v/>
      </c>
      <c r="I6" s="46" t="str">
        <f aca="false">IF(Schedule_Farmer!F29="","",Schedule_Farmer!F29)</f>
        <v/>
      </c>
    </row>
    <row r="7" customFormat="false" ht="15" hidden="false" customHeight="false" outlineLevel="0" collapsed="false">
      <c r="A7" s="45" t="s">
        <v>265</v>
      </c>
      <c r="B7" s="21" t="str">
        <f aca="false">Schedule_Farmer!A7&amp;IF(Schedule_Farmer!E7&lt;&gt;Schedule_Farmer!D7,"  (- "&amp;TEXT(Schedule_Farmer!E7,"dd mmm")&amp;")","")</f>
        <v>চাষ</v>
      </c>
      <c r="C7" s="46" t="str">
        <f aca="false">IF(Schedule_Farmer!D7="","",Schedule_Farmer!D7)</f>
        <v/>
      </c>
      <c r="D7" s="46" t="str">
        <f aca="false">IF(Schedule_Farmer!F7="","",Schedule_Farmer!F7)</f>
        <v/>
      </c>
      <c r="F7" s="45" t="s">
        <v>265</v>
      </c>
      <c r="G7" s="21" t="str">
        <f aca="false">Schedule_Farmer!A30&amp;IF(Schedule_Farmer!E30&lt;&gt;Schedule_Farmer!D30,"  (- "&amp;TEXT(Schedule_Farmer!E30,"dd mmm")&amp;")","")</f>
        <v>চাষ</v>
      </c>
      <c r="H7" s="46" t="str">
        <f aca="false">IF(Schedule_Farmer!D30="","",Schedule_Farmer!D30)</f>
        <v/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266</v>
      </c>
      <c r="B8" s="21" t="str">
        <f aca="false">Schedule_Farmer!A8&amp;IF(Schedule_Farmer!E8&lt;&gt;Schedule_Farmer!D8,"  (- "&amp;TEXT(Schedule_Farmer!E8,"dd mmm")&amp;")","")</f>
        <v>কাদা করা</v>
      </c>
      <c r="C8" s="46" t="str">
        <f aca="false">IF(Schedule_Farmer!D8="","",Schedule_Farmer!D8)</f>
        <v/>
      </c>
      <c r="D8" s="46" t="str">
        <f aca="false">IF(Schedule_Farmer!F8="","",Schedule_Farmer!F8)</f>
        <v/>
      </c>
      <c r="F8" s="45" t="s">
        <v>266</v>
      </c>
      <c r="G8" s="21" t="str">
        <f aca="false">Schedule_Farmer!A31&amp;IF(Schedule_Farmer!E31&lt;&gt;Schedule_Farmer!D31,"  (- "&amp;TEXT(Schedule_Farmer!E31,"dd mmm")&amp;")","")</f>
        <v>কাদা করা</v>
      </c>
      <c r="H8" s="46" t="str">
        <f aca="false">IF(Schedule_Farmer!D31="","",Schedule_Farmer!D31)</f>
        <v/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267</v>
      </c>
      <c r="B9" s="21" t="str">
        <f aca="false">Schedule_Farmer!A9&amp;IF(Schedule_Farmer!E9&lt;&gt;Schedule_Farmer!D9,"  (- "&amp;TEXT(Schedule_Farmer!E9,"dd mmm")&amp;")","")</f>
        <v>চারা রোপণ</v>
      </c>
      <c r="C9" s="46" t="str">
        <f aca="false">IF(Schedule_Farmer!D9="","",Schedule_Farmer!D9)</f>
        <v/>
      </c>
      <c r="D9" s="46" t="str">
        <f aca="false">IF(Schedule_Farmer!F9="","",Schedule_Farmer!F9)</f>
        <v/>
      </c>
      <c r="F9" s="45" t="s">
        <v>267</v>
      </c>
      <c r="G9" s="21" t="str">
        <f aca="false">Schedule_Farmer!A32&amp;IF(Schedule_Farmer!E32&lt;&gt;Schedule_Farmer!D32,"  (- "&amp;TEXT(Schedule_Farmer!E32,"dd mmm")&amp;")","")</f>
        <v>চারা রোপণ</v>
      </c>
      <c r="H9" s="46" t="str">
        <f aca="false">IF(Schedule_Farmer!D32="","",Schedule_Farmer!D32)</f>
        <v/>
      </c>
      <c r="I9" s="46" t="str">
        <f aca="false">IF(Schedule_Farmer!F32="","",Schedule_Farmer!F32)</f>
        <v/>
      </c>
    </row>
    <row r="10" customFormat="false" ht="15" hidden="false" customHeight="false" outlineLevel="0" collapsed="false">
      <c r="A10" s="45" t="s">
        <v>268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46" t="str">
        <f aca="false">IF(Schedule_Farmer!D10="","",Schedule_Farmer!D10)</f>
        <v/>
      </c>
      <c r="D10" s="46" t="str">
        <f aca="false">IF(Schedule_Farmer!F10="","",Schedule_Farmer!F10)</f>
        <v/>
      </c>
      <c r="F10" s="45" t="s">
        <v>268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46" t="str">
        <f aca="false">IF(Schedule_Farmer!D33="","",Schedule_Farmer!D33)</f>
        <v/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269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</v>
      </c>
      <c r="C11" s="46" t="str">
        <f aca="false">IF(Schedule_Farmer!D11="","",Schedule_Farmer!D11)</f>
        <v/>
      </c>
      <c r="D11" s="46" t="str">
        <f aca="false">IF(Schedule_Farmer!F11="","",Schedule_Farmer!F11)</f>
        <v/>
      </c>
      <c r="F11" s="45" t="s">
        <v>269</v>
      </c>
      <c r="G11" s="21" t="str">
        <f aca="false">Schedule_Farmer!A34&amp;IF(Schedule_Farmer!E34&lt;&gt;Schedule_Farmer!D34,"  (- "&amp;TEXT(Schedule_Farmer!E34,"dd mmm")&amp;")","")</f>
        <v>পিটান (FP)</v>
      </c>
      <c r="H11" s="46" t="str">
        <f aca="false">IF(Schedule_Farmer!D34="","",Schedule_Farmer!D34)</f>
        <v/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270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46" t="str">
        <f aca="false">IF(Schedule_Farmer!D12="","",Schedule_Farmer!D12)</f>
        <v/>
      </c>
      <c r="D12" s="46" t="str">
        <f aca="false">IF(Schedule_Farmer!F12="","",Schedule_Farmer!F12)</f>
        <v/>
      </c>
      <c r="F12" s="45" t="s">
        <v>270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46" t="str">
        <f aca="false">IF(Schedule_Farmer!D35="","",Schedule_Farmer!D35)</f>
        <v/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271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</v>
      </c>
      <c r="C13" s="46" t="str">
        <f aca="false">IF(Schedule_Farmer!D13="","",Schedule_Farmer!D13)</f>
        <v/>
      </c>
      <c r="D13" s="46" t="str">
        <f aca="false">IF(Schedule_Farmer!F13="","",Schedule_Farmer!F13)</f>
        <v/>
      </c>
      <c r="F13" s="45" t="s">
        <v>271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46" t="str">
        <f aca="false">IF(Schedule_Farmer!D36="","",Schedule_Farmer!D36)</f>
        <v/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272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46" t="str">
        <f aca="false">IF(Schedule_Farmer!D14="","",Schedule_Farmer!D14)</f>
        <v/>
      </c>
      <c r="D14" s="46" t="str">
        <f aca="false">IF(Schedule_Farmer!F14="","",Schedule_Farmer!F14)</f>
        <v/>
      </c>
      <c r="F14" s="45" t="s">
        <v>272</v>
      </c>
      <c r="G14" s="21" t="str">
        <f aca="false">Schedule_Farmer!A37&amp;IF(Schedule_Farmer!E37&lt;&gt;Schedule_Farmer!D37,"  (- "&amp;TEXT(Schedule_Farmer!E37,"dd mmm")&amp;")","")</f>
        <v>শেষ সেচ</v>
      </c>
      <c r="H14" s="46" t="str">
        <f aca="false">IF(Schedule_Farmer!D37="","",Schedule_Farmer!D37)</f>
        <v/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273</v>
      </c>
      <c r="B15" s="21" t="str">
        <f aca="false">Schedule_Farmer!A15&amp;IF(Schedule_Farmer!E15&lt;&gt;Schedule_Farmer!D15,"  (- "&amp;TEXT(Schedule_Farmer!E15,"dd mmm")&amp;")","")</f>
        <v>প্লাবন (শীষ গঠন)</v>
      </c>
      <c r="C15" s="46" t="str">
        <f aca="false">IF(Schedule_Farmer!D15="","",Schedule_Farmer!D15)</f>
        <v/>
      </c>
      <c r="D15" s="46" t="str">
        <f aca="false">IF(Schedule_Farmer!F15="","",Schedule_Farmer!F15)</f>
        <v/>
      </c>
      <c r="F15" s="45" t="s">
        <v>273</v>
      </c>
      <c r="G15" s="21" t="str">
        <f aca="false">Schedule_Farmer!A38&amp;IF(Schedule_Farmer!E38&lt;&gt;Schedule_Farmer!D38,"  (- "&amp;TEXT(Schedule_Farmer!E38,"dd mmm")&amp;")","")</f>
        <v>ধান কাটা</v>
      </c>
      <c r="H15" s="46" t="str">
        <f aca="false">IF(Schedule_Farmer!D38="","",Schedule_Farmer!D38)</f>
        <v/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274</v>
      </c>
      <c r="B16" s="21" t="str">
        <f aca="false">Schedule_Farmer!A16&amp;IF(Schedule_Farmer!E16&lt;&gt;Schedule_Farmer!D16,"  (- "&amp;TEXT(Schedule_Farmer!E16,"dd mmm")&amp;")","")</f>
        <v>3F4D-1</v>
      </c>
      <c r="C16" s="46" t="str">
        <f aca="false">IF(Schedule_Farmer!D16="","",Schedule_Farmer!D16)</f>
        <v/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275</v>
      </c>
      <c r="B17" s="21" t="str">
        <f aca="false">Schedule_Farmer!A17&amp;IF(Schedule_Farmer!E17&lt;&gt;Schedule_Farmer!D17,"  (- "&amp;TEXT(Schedule_Farmer!E17,"dd mmm")&amp;")","")</f>
        <v>3F4D-2</v>
      </c>
      <c r="C17" s="46" t="str">
        <f aca="false">IF(Schedule_Farmer!D17="","",Schedule_Farmer!D17)</f>
        <v/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276</v>
      </c>
      <c r="B18" s="21" t="str">
        <f aca="false">Schedule_Farmer!A18&amp;IF(Schedule_Farmer!E18&lt;&gt;Schedule_Farmer!D18,"  (- "&amp;TEXT(Schedule_Farmer!E18,"dd mmm")&amp;")","")</f>
        <v>3F4D-3</v>
      </c>
      <c r="C18" s="46" t="str">
        <f aca="false">IF(Schedule_Farmer!D18="","",Schedule_Farmer!D18)</f>
        <v/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277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46" t="str">
        <f aca="false">IF(Schedule_Farmer!D19="","",Schedule_Farmer!D19)</f>
        <v/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278</v>
      </c>
      <c r="B20" s="21" t="str">
        <f aca="false">Schedule_Farmer!A20&amp;IF(Schedule_Farmer!E20&lt;&gt;Schedule_Farmer!D20,"  (- "&amp;TEXT(Schedule_Farmer!E20,"dd mmm")&amp;")","")</f>
        <v>3F4D-4</v>
      </c>
      <c r="C20" s="46" t="str">
        <f aca="false">IF(Schedule_Farmer!D20="","",Schedule_Farmer!D20)</f>
        <v/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279</v>
      </c>
      <c r="B21" s="21" t="str">
        <f aca="false">Schedule_Farmer!A21&amp;IF(Schedule_Farmer!E21&lt;&gt;Schedule_Farmer!D21,"  (- "&amp;TEXT(Schedule_Farmer!E21,"dd mmm")&amp;")","")</f>
        <v>3F4D-5</v>
      </c>
      <c r="C21" s="46" t="str">
        <f aca="false">IF(Schedule_Farmer!D21="","",Schedule_Farmer!D21)</f>
        <v/>
      </c>
      <c r="D21" s="46" t="str">
        <f aca="false">IF(Schedule_Farmer!F21="","",Schedule_Farmer!F21)</f>
        <v/>
      </c>
    </row>
    <row r="22" customFormat="false" ht="15" hidden="false" customHeight="false" outlineLevel="0" collapsed="false">
      <c r="A22" s="45" t="s">
        <v>280</v>
      </c>
      <c r="B22" s="21" t="str">
        <f aca="false">Schedule_Farmer!A22&amp;IF(Schedule_Farmer!E22&lt;&gt;Schedule_Farmer!D22,"  (- "&amp;TEXT(Schedule_Farmer!E22,"dd mmm")&amp;")","")</f>
        <v>3F4D-6</v>
      </c>
      <c r="C22" s="46" t="str">
        <f aca="false">IF(Schedule_Farmer!D22="","",Schedule_Farmer!D22)</f>
        <v/>
      </c>
      <c r="D22" s="46" t="str">
        <f aca="false">IF(Schedule_Farmer!F22="","",Schedule_Farmer!F22)</f>
        <v/>
      </c>
    </row>
    <row r="23" customFormat="false" ht="15" hidden="false" customHeight="false" outlineLevel="0" collapsed="false">
      <c r="A23" s="45" t="s">
        <v>281</v>
      </c>
      <c r="B23" s="21" t="str">
        <f aca="false">Schedule_Farmer!A23&amp;IF(Schedule_Farmer!E23&lt;&gt;Schedule_Farmer!D23,"  (- "&amp;TEXT(Schedule_Farmer!E23,"dd mmm")&amp;")","")</f>
        <v>3F4D শেষ</v>
      </c>
      <c r="C23" s="46" t="str">
        <f aca="false">IF(Schedule_Farmer!D23="","",Schedule_Farmer!D23)</f>
        <v/>
      </c>
      <c r="D23" s="46" t="str">
        <f aca="false">IF(Schedule_Farmer!F23="","",Schedule_Farmer!F23)</f>
        <v/>
      </c>
    </row>
    <row r="24" customFormat="false" ht="15" hidden="false" customHeight="false" outlineLevel="0" collapsed="false">
      <c r="A24" s="45" t="s">
        <v>282</v>
      </c>
      <c r="B24" s="21" t="str">
        <f aca="false">Schedule_Farmer!A24&amp;IF(Schedule_Farmer!E24&lt;&gt;Schedule_Farmer!D24,"  (- "&amp;TEXT(Schedule_Farmer!E24,"dd mmm")&amp;")","")</f>
        <v>শেষ সেচ</v>
      </c>
      <c r="C24" s="46" t="str">
        <f aca="false">IF(Schedule_Farmer!D24="","",Schedule_Farmer!D24)</f>
        <v/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283</v>
      </c>
      <c r="B25" s="21" t="str">
        <f aca="false">Schedule_Farmer!A25&amp;IF(Schedule_Farmer!E25&lt;&gt;Schedule_Farmer!D25,"  (- "&amp;TEXT(Schedule_Farmer!E25,"dd mmm")&amp;")","")</f>
        <v>ধান কাটা</v>
      </c>
      <c r="C25" s="46" t="str">
        <f aca="false">IF(Schedule_Farmer!D25="","",Schedule_Farmer!D25)</f>
        <v/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284</v>
      </c>
    </row>
    <row r="29" customFormat="false" ht="15" hidden="false" customHeight="false" outlineLevel="0" collapsed="false">
      <c r="B29" s="24" t="s">
        <v>285</v>
      </c>
      <c r="C29" s="24" t="s">
        <v>126</v>
      </c>
    </row>
    <row r="30" customFormat="false" ht="15" hidden="false" customHeight="false" outlineLevel="0" collapsed="false">
      <c r="B30" s="21" t="s">
        <v>286</v>
      </c>
      <c r="C30" s="46" t="str">
        <f aca="false">IF(ISNUMBER(SowDate),SowDate+50,"")</f>
        <v/>
      </c>
    </row>
    <row r="31" customFormat="false" ht="15" hidden="false" customHeight="false" outlineLevel="0" collapsed="false">
      <c r="B31" s="21" t="s">
        <v>287</v>
      </c>
      <c r="C31" s="46" t="str">
        <f aca="false">IF(ISNUMBER(SowDate),SowDate+60,"")</f>
        <v/>
      </c>
    </row>
    <row r="32" customFormat="false" ht="15" hidden="false" customHeight="false" outlineLevel="0" collapsed="false">
      <c r="B32" s="21" t="s">
        <v>288</v>
      </c>
      <c r="C32" s="46" t="str">
        <f aca="false">IF(ISNUMBER(SowDate),SowDate+70,"")</f>
        <v/>
      </c>
    </row>
    <row r="33" customFormat="false" ht="15" hidden="false" customHeight="false" outlineLevel="0" collapsed="false">
      <c r="B33" s="21" t="s">
        <v>289</v>
      </c>
      <c r="C33" s="46" t="str">
        <f aca="false">IF(ISNUMBER(SowDate),SowDate+80,"")</f>
        <v/>
      </c>
    </row>
    <row r="34" customFormat="false" ht="15" hidden="false" customHeight="false" outlineLevel="0" collapsed="false">
      <c r="B34" s="21" t="s">
        <v>290</v>
      </c>
      <c r="C34" s="46" t="str">
        <f aca="false">IF(ISNUMBER(SowDate),SowDate+90,"")</f>
        <v/>
      </c>
    </row>
    <row r="36" customFormat="false" ht="15" hidden="false" customHeight="false" outlineLevel="0" collapsed="false">
      <c r="B36" s="9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292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129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293</v>
      </c>
      <c r="B5" s="48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294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295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296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297</v>
      </c>
      <c r="C10" s="15" t="s">
        <v>80</v>
      </c>
    </row>
    <row r="11" customFormat="false" ht="15" hidden="false" customHeight="false" outlineLevel="0" collapsed="false">
      <c r="A11" s="10" t="s">
        <v>298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299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164</v>
      </c>
      <c r="B13" s="48" t="str">
        <f aca="false">IF(B12="","",IF(B12&gt;0,"মাটির উপরে পানি",IF(B12&lt;0,"মাটির নিচে পানি","মাটির সমতলে")))</f>
        <v/>
      </c>
      <c r="C13" s="48" t="str">
        <f aca="false">IF(C12="","",IF(C12&gt;0,"মাটির উপরে পানি",IF(C12&lt;0,"মাটির নিচে পানি","মাটির সমতলে")))</f>
        <v/>
      </c>
    </row>
    <row r="14" customFormat="false" ht="15" hidden="false" customHeight="false" outlineLevel="0" collapsed="false">
      <c r="A14" s="10" t="s">
        <v>300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301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302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303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304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305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306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307</v>
      </c>
      <c r="C22" s="15" t="s">
        <v>126</v>
      </c>
    </row>
    <row r="23" customFormat="false" ht="15" hidden="false" customHeight="false" outlineLevel="0" collapsed="false">
      <c r="A23" s="10" t="s">
        <v>308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309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310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311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312</v>
      </c>
      <c r="B28" s="48" t="n">
        <f aca="false">COUNTIF(Schedule_Farmer!$H$5:$H$38,"সময় পেরিয়েছে")</f>
        <v>0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314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15" hidden="false" customHeight="false" outlineLevel="0" collapsed="false">
      <c r="A3" s="15" t="s">
        <v>315</v>
      </c>
      <c r="B3" s="15" t="s">
        <v>316</v>
      </c>
      <c r="C3" s="15" t="s">
        <v>69</v>
      </c>
      <c r="D3" s="15" t="s">
        <v>317</v>
      </c>
      <c r="E3" s="15" t="s">
        <v>318</v>
      </c>
      <c r="F3" s="15" t="s">
        <v>319</v>
      </c>
      <c r="G3" s="15" t="s">
        <v>320</v>
      </c>
      <c r="H3" s="15" t="s">
        <v>164</v>
      </c>
      <c r="I3" s="15" t="s">
        <v>321</v>
      </c>
      <c r="J3" s="15" t="s">
        <v>322</v>
      </c>
      <c r="K3" s="15" t="s">
        <v>323</v>
      </c>
      <c r="L3" s="15" t="s">
        <v>324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4" t="s">
        <v>325</v>
      </c>
    </row>
    <row r="5" customFormat="false" ht="15" hidden="false" customHeight="false" outlineLevel="0" collapsed="false">
      <c r="A5" s="53" t="s">
        <v>326</v>
      </c>
      <c r="B5" s="21" t="s">
        <v>326</v>
      </c>
      <c r="C5" s="21" t="s">
        <v>80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/>
      </c>
      <c r="G5" s="50" t="str">
        <f aca="false">""</f>
        <v/>
      </c>
      <c r="H5" s="49" t="str">
        <f aca="true">IF(D5="","পরিকল্পনা নেই",IF(F5&lt;&gt;"",IF(F5-D5&gt;=2,"দেরি","ঠিক আছে"),IF(TODAY()&gt;D5+2,"সময় পেরিয়েছে","আসন্ন")))</f>
        <v>পরিকল্পনা নেই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327</v>
      </c>
      <c r="B6" s="21" t="s">
        <v>328</v>
      </c>
      <c r="C6" s="21" t="s">
        <v>80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/>
      </c>
      <c r="G6" s="50" t="str">
        <f aca="false">""</f>
        <v/>
      </c>
      <c r="H6" s="49" t="str">
        <f aca="true">IF(D6="","পরিকল্পনা নেই",IF(F6&lt;&gt;"",IF(F6-D6&gt;=2,"দেরি","ঠিক আছে"),IF(TODAY()&gt;D6+2,"সময় পেরিয়েছে","আসন্ন")))</f>
        <v>পরিকল্পনা নেই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329</v>
      </c>
      <c r="B7" s="21" t="s">
        <v>329</v>
      </c>
      <c r="C7" s="21" t="s">
        <v>80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0" t="str">
        <f aca="false">""</f>
        <v/>
      </c>
      <c r="H7" s="49" t="str">
        <f aca="true">IF(D7="","পরিকল্পনা নেই",IF(F7&lt;&gt;"",IF(F7-D7&gt;=2,"দেরি","ঠিক আছে"),IF(TODAY()&gt;D7+2,"সময় পেরিয়েছে","আসন্ন")))</f>
        <v>পরিকল্পনা নেই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330</v>
      </c>
      <c r="B8" s="21" t="s">
        <v>330</v>
      </c>
      <c r="C8" s="21" t="s">
        <v>80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0" t="str">
        <f aca="false">""</f>
        <v/>
      </c>
      <c r="H8" s="49" t="str">
        <f aca="true">IF(D8="","পরিকল্পনা নেই",IF(F8&lt;&gt;"",IF(F8-D8&gt;=2,"দেরি","ঠিক আছে"),IF(TODAY()&gt;D8+2,"সময় পেরিয়েছে","আসন্ন")))</f>
        <v>পরিকল্পনা নেই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331</v>
      </c>
      <c r="B9" s="21" t="s">
        <v>332</v>
      </c>
      <c r="C9" s="21" t="s">
        <v>80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/>
      </c>
      <c r="G9" s="50" t="str">
        <f aca="false">""</f>
        <v/>
      </c>
      <c r="H9" s="49" t="str">
        <f aca="true">IF(D9="","পরিকল্পনা নেই",IF(F9&lt;&gt;"",IF(F9-D9&gt;=2,"দেরি","ঠিক আছে"),IF(TODAY()&gt;D9+2,"সময় পেরিয়েছে","আসন্ন")))</f>
        <v>পরিকল্পনা নেই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333</v>
      </c>
      <c r="B10" s="21" t="s">
        <v>333</v>
      </c>
      <c r="C10" s="21" t="s">
        <v>80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0" t="str">
        <f aca="false">""</f>
        <v/>
      </c>
      <c r="H10" s="49" t="str">
        <f aca="true">IF(D10="","পরিকল্পনা নেই",IF(F10&lt;&gt;"",IF(F10-D10&gt;=2,"দেরি","ঠিক আছে"),IF(TODAY()&gt;D10+2,"সময় পেরিয়েছে","আসন্ন")))</f>
        <v>পরিকল্পনা নেই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334</v>
      </c>
      <c r="B11" s="21" t="s">
        <v>335</v>
      </c>
      <c r="C11" s="21" t="s">
        <v>80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0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49" t="str">
        <f aca="true">IF(D11="","পরিকল্পনা নেই",IF(F11&lt;&gt;"",IF(F11-D11&gt;=2,"দেরি","ঠিক আছে"),IF(TODAY()&gt;D11+2,"সময় পেরিয়েছে","আসন্ন")))</f>
        <v>পরিকল্পনা নেই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336</v>
      </c>
      <c r="B12" s="21" t="s">
        <v>337</v>
      </c>
      <c r="C12" s="21" t="s">
        <v>80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0" t="str">
        <f aca="false">""</f>
        <v/>
      </c>
      <c r="H12" s="49" t="str">
        <f aca="true">IF(D12="","পরিকল্পনা নেই",IF(F12&lt;&gt;"",IF(F12-D12&gt;=2,"দেরি","ঠিক আছে"),IF(TODAY()&gt;D12+2,"সময় পেরিয়েছে","আসন্ন")))</f>
        <v>পরিকল্পনা নেই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338</v>
      </c>
      <c r="B13" s="21" t="s">
        <v>339</v>
      </c>
      <c r="C13" s="21" t="s">
        <v>80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0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49" t="str">
        <f aca="true">IF(D13="","পরিকল্পনা নেই",IF(F13&lt;&gt;"",IF(F13-D13&gt;=2,"দেরি","ঠিক আছে"),IF(TODAY()&gt;D13+2,"সময় পেরিয়েছে","আসন্ন")))</f>
        <v>পরিকল্পনা নেই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340</v>
      </c>
      <c r="B14" s="21" t="s">
        <v>341</v>
      </c>
      <c r="C14" s="21" t="s">
        <v>80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0" t="str">
        <f aca="false">""</f>
        <v/>
      </c>
      <c r="H14" s="49" t="str">
        <f aca="true">IF(D14="","পরিকল্পনা নেই",IF(F14&lt;&gt;"",IF(F14-D14&gt;=2,"দেরি","ঠিক আছে"),IF(TODAY()&gt;D14+2,"সময় পেরিয়েছে","আসন্ন")))</f>
        <v>পরিকল্পনা নেই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342</v>
      </c>
      <c r="B15" s="21" t="s">
        <v>343</v>
      </c>
      <c r="C15" s="21" t="s">
        <v>80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0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49" t="str">
        <f aca="true">IF(D15="","পরিকল্পনা নেই",IF(F15&lt;&gt;"",IF(F15-D15&gt;=2,"দেরি","ঠিক আছে"),IF(TODAY()&gt;D15+2,"সময় পেরিয়েছে","আসন্ন")))</f>
        <v>পরিকল্পনা নেই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344</v>
      </c>
      <c r="B16" s="21" t="s">
        <v>345</v>
      </c>
      <c r="C16" s="21" t="s">
        <v>80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0" t="str">
        <f aca="false">""</f>
        <v/>
      </c>
      <c r="H16" s="49" t="str">
        <f aca="true">IF(D16="","পরিকল্পনা নেই",IF(F16&lt;&gt;"",IF(F16-D16&gt;=2,"দেরি","ঠিক আছে"),IF(TODAY()&gt;D16+2,"সময় পেরিয়েছে","আসন্ন")))</f>
        <v>পরিকল্পনা নেই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346</v>
      </c>
      <c r="B17" s="21" t="s">
        <v>347</v>
      </c>
      <c r="C17" s="21" t="s">
        <v>80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0" t="str">
        <f aca="false">""</f>
        <v/>
      </c>
      <c r="H17" s="49" t="str">
        <f aca="true">IF(D17="","পরিকল্পনা নেই",IF(F17&lt;&gt;"",IF(F17-D17&gt;=2,"দেরি","ঠিক আছে"),IF(TODAY()&gt;D17+2,"সময় পেরিয়েছে","আসন্ন")))</f>
        <v>পরিকল্পনা নেই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348</v>
      </c>
      <c r="B18" s="21" t="s">
        <v>349</v>
      </c>
      <c r="C18" s="21" t="s">
        <v>80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0" t="str">
        <f aca="false">""</f>
        <v/>
      </c>
      <c r="H18" s="49" t="str">
        <f aca="true">IF(D18="","পরিকল্পনা নেই",IF(F18&lt;&gt;"",IF(F18-D18&gt;=2,"দেরি","ঠিক আছে"),IF(TODAY()&gt;D18+2,"সময় পেরিয়েছে","আসন্ন")))</f>
        <v>পরিকল্পনা নেই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350</v>
      </c>
      <c r="B19" s="21" t="s">
        <v>350</v>
      </c>
      <c r="C19" s="21" t="s">
        <v>80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0" t="str">
        <f aca="false">""</f>
        <v/>
      </c>
      <c r="H19" s="49" t="str">
        <f aca="true">IF(D19="","পরিকল্পনা নেই",IF(F19&lt;&gt;"",IF(F19-D19&gt;=2,"দেরি","ঠিক আছে"),IF(TODAY()&gt;D19+2,"সময় পেরিয়েছে","আসন্ন")))</f>
        <v>পরিকল্পনা নেই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351</v>
      </c>
      <c r="B20" s="21" t="s">
        <v>352</v>
      </c>
      <c r="C20" s="21" t="s">
        <v>80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0" t="str">
        <f aca="false">""</f>
        <v/>
      </c>
      <c r="H20" s="49" t="str">
        <f aca="true">IF(D20="","পরিকল্পনা নেই",IF(F20&lt;&gt;"",IF(F20-D20&gt;=2,"দেরি","ঠিক আছে"),IF(TODAY()&gt;D20+2,"সময় পেরিয়েছে","আসন্ন")))</f>
        <v>পরিকল্পনা নেই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353</v>
      </c>
      <c r="B21" s="21" t="s">
        <v>354</v>
      </c>
      <c r="C21" s="21" t="s">
        <v>80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/>
      </c>
      <c r="G21" s="50" t="str">
        <f aca="false">""</f>
        <v/>
      </c>
      <c r="H21" s="49" t="str">
        <f aca="true">IF(D21="","পরিকল্পনা নেই",IF(F21&lt;&gt;"",IF(F21-D21&gt;=2,"দেরি","ঠিক আছে"),IF(TODAY()&gt;D21+2,"সময় পেরিয়েছে","আসন্ন")))</f>
        <v>পরিকল্পনা নেই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355</v>
      </c>
      <c r="B22" s="21" t="s">
        <v>356</v>
      </c>
      <c r="C22" s="21" t="s">
        <v>80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/>
      </c>
      <c r="G22" s="50" t="str">
        <f aca="false">""</f>
        <v/>
      </c>
      <c r="H22" s="49" t="str">
        <f aca="true">IF(D22="","পরিকল্পনা নেই",IF(F22&lt;&gt;"",IF(F22-D22&gt;=2,"দেরি","ঠিক আছে"),IF(TODAY()&gt;D22+2,"সময় পেরিয়েছে","আসন্ন")))</f>
        <v>পরিকল্পনা নেই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357</v>
      </c>
      <c r="B23" s="21" t="s">
        <v>358</v>
      </c>
      <c r="C23" s="21" t="s">
        <v>80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/>
      </c>
      <c r="G23" s="50" t="str">
        <f aca="false">""</f>
        <v/>
      </c>
      <c r="H23" s="49" t="str">
        <f aca="true">IF(D23="","পরিকল্পনা নেই",IF(F23&lt;&gt;"",IF(F23-D23&gt;=2,"দেরি","ঠিক আছে"),IF(TODAY()&gt;D23+2,"সময় পেরিয়েছে","আসন্ন")))</f>
        <v>পরিকল্পনা নেই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359</v>
      </c>
      <c r="B24" s="21" t="s">
        <v>359</v>
      </c>
      <c r="C24" s="21" t="s">
        <v>80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0" t="str">
        <f aca="false">""</f>
        <v/>
      </c>
      <c r="H24" s="49" t="str">
        <f aca="true">IF(D24="","পরিকল্পনা নেই",IF(F24&lt;&gt;"",IF(F24-D24&gt;=2,"দেরি","ঠিক আছে"),IF(TODAY()&gt;D24+2,"সময় পেরিয়েছে","আসন্ন")))</f>
        <v>পরিকল্পনা নেই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360</v>
      </c>
      <c r="B25" s="21" t="s">
        <v>360</v>
      </c>
      <c r="C25" s="21" t="s">
        <v>80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0" t="str">
        <f aca="false">""</f>
        <v/>
      </c>
      <c r="H25" s="49" t="str">
        <f aca="true">IF(D25="","পরিকল্পনা নেই",IF(F25&lt;&gt;"",IF(F25-D25&gt;=2,"দেরি","ঠিক আছে"),IF(TODAY()&gt;D25+2,"সময় পেরিয়েছে","আসন্ন")))</f>
        <v>পরিকল্পনা নেই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361</v>
      </c>
    </row>
    <row r="28" customFormat="false" ht="15" hidden="false" customHeight="false" outlineLevel="0" collapsed="false">
      <c r="A28" s="53" t="s">
        <v>326</v>
      </c>
      <c r="B28" s="21" t="s">
        <v>326</v>
      </c>
      <c r="C28" s="21" t="s">
        <v>297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/>
      </c>
      <c r="G28" s="50" t="str">
        <f aca="false">""</f>
        <v/>
      </c>
      <c r="H28" s="49" t="str">
        <f aca="true">IF(D28="","পরিকল্পনা নেই",IF(F28&lt;&gt;"",IF(F28-D28&gt;=2,"দেরি","ঠিক আছে"),IF(TODAY()&gt;D28+2,"সময় পেরিয়েছে","আসন্ন")))</f>
        <v>পরিকল্পনা নেই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327</v>
      </c>
      <c r="B29" s="21" t="s">
        <v>328</v>
      </c>
      <c r="C29" s="21" t="s">
        <v>297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/>
      </c>
      <c r="G29" s="50" t="str">
        <f aca="false">""</f>
        <v/>
      </c>
      <c r="H29" s="49" t="str">
        <f aca="true">IF(D29="","পরিকল্পনা নেই",IF(F29&lt;&gt;"",IF(F29-D29&gt;=2,"দেরি","ঠিক আছে"),IF(TODAY()&gt;D29+2,"সময় পেরিয়েছে","আসন্ন")))</f>
        <v>পরিকল্পনা নেই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329</v>
      </c>
      <c r="B30" s="21" t="s">
        <v>329</v>
      </c>
      <c r="C30" s="21" t="s">
        <v>297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0" t="str">
        <f aca="false">""</f>
        <v/>
      </c>
      <c r="H30" s="49" t="str">
        <f aca="true">IF(D30="","পরিকল্পনা নেই",IF(F30&lt;&gt;"",IF(F30-D30&gt;=2,"দেরি","ঠিক আছে"),IF(TODAY()&gt;D30+2,"সময় পেরিয়েছে","আসন্ন")))</f>
        <v>পরিকল্পনা নেই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330</v>
      </c>
      <c r="B31" s="21" t="s">
        <v>330</v>
      </c>
      <c r="C31" s="21" t="s">
        <v>297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0" t="str">
        <f aca="false">""</f>
        <v/>
      </c>
      <c r="H31" s="49" t="str">
        <f aca="true">IF(D31="","পরিকল্পনা নেই",IF(F31&lt;&gt;"",IF(F31-D31&gt;=2,"দেরি","ঠিক আছে"),IF(TODAY()&gt;D31+2,"সময় পেরিয়েছে","আসন্ন")))</f>
        <v>পরিকল্পনা নেই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331</v>
      </c>
      <c r="B32" s="21" t="s">
        <v>332</v>
      </c>
      <c r="C32" s="21" t="s">
        <v>297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/>
      </c>
      <c r="G32" s="50" t="str">
        <f aca="false">""</f>
        <v/>
      </c>
      <c r="H32" s="49" t="str">
        <f aca="true">IF(D32="","পরিকল্পনা নেই",IF(F32&lt;&gt;"",IF(F32-D32&gt;=2,"দেরি","ঠিক আছে"),IF(TODAY()&gt;D32+2,"সময় পেরিয়েছে","আসন্ন")))</f>
        <v>পরিকল্পনা নেই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333</v>
      </c>
      <c r="B33" s="21" t="s">
        <v>333</v>
      </c>
      <c r="C33" s="21" t="s">
        <v>297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0" t="str">
        <f aca="false">""</f>
        <v/>
      </c>
      <c r="H33" s="49" t="str">
        <f aca="true">IF(D33="","পরিকল্পনা নেই",IF(F33&lt;&gt;"",IF(F33-D33&gt;=2,"দেরি","ঠিক আছে"),IF(TODAY()&gt;D33+2,"সময় পেরিয়েছে","আসন্ন")))</f>
        <v>পরিকল্পনা নেই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362</v>
      </c>
      <c r="B34" s="21" t="s">
        <v>335</v>
      </c>
      <c r="C34" s="21" t="s">
        <v>297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0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49" t="str">
        <f aca="true">IF(D34="","পরিকল্পনা নেই",IF(F34&lt;&gt;"",IF(F34-D34&gt;=2,"দেরি","ঠিক আছে"),IF(TODAY()&gt;D34+2,"সময় পেরিয়েছে","আসন্ন")))</f>
        <v>পরিকল্পনা নেই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363</v>
      </c>
      <c r="B35" s="21" t="s">
        <v>343</v>
      </c>
      <c r="C35" s="21" t="s">
        <v>297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0" t="str">
        <f aca="false">""</f>
        <v/>
      </c>
      <c r="H35" s="49" t="str">
        <f aca="true">IF(D35="","পরিকল্পনা নেই",IF(F35&lt;&gt;"",IF(F35-D35&gt;=2,"দেরি","ঠিক আছে"),IF(TODAY()&gt;D35+2,"সময় পেরিয়েছে","আসন্ন")))</f>
        <v>পরিকল্পনা নেই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350</v>
      </c>
      <c r="B36" s="21" t="s">
        <v>350</v>
      </c>
      <c r="C36" s="21" t="s">
        <v>297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0" t="str">
        <f aca="false">""</f>
        <v/>
      </c>
      <c r="H36" s="49" t="str">
        <f aca="true">IF(D36="","পরিকল্পনা নেই",IF(F36&lt;&gt;"",IF(F36-D36&gt;=2,"দেরি","ঠিক আছে"),IF(TODAY()&gt;D36+2,"সময় পেরিয়েছে","আসন্ন")))</f>
        <v>পরিকল্পনা নেই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359</v>
      </c>
      <c r="B37" s="21" t="s">
        <v>359</v>
      </c>
      <c r="C37" s="21" t="s">
        <v>297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0" t="str">
        <f aca="false">""</f>
        <v/>
      </c>
      <c r="H37" s="49" t="str">
        <f aca="true">IF(D37="","পরিকল্পনা নেই",IF(F37&lt;&gt;"",IF(F37-D37&gt;=2,"দেরি","ঠিক আছে"),IF(TODAY()&gt;D37+2,"সময় পেরিয়েছে","আসন্ন")))</f>
        <v>পরিকল্পনা নেই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360</v>
      </c>
      <c r="B38" s="21" t="s">
        <v>360</v>
      </c>
      <c r="C38" s="21" t="s">
        <v>297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0" t="str">
        <f aca="false">""</f>
        <v/>
      </c>
      <c r="H38" s="49" t="str">
        <f aca="true">IF(D38="","পরিকল্পনা নেই",IF(F38&lt;&gt;"",IF(F38-D38&gt;=2,"দেরি","ঠিক আছে"),IF(TODAY()&gt;D38+2,"সময় পেরিয়েছে","আসন্ন")))</f>
        <v>পরিকল্পনা নেই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364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4" t="s">
        <v>365</v>
      </c>
      <c r="C1" s="24" t="s">
        <v>366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48" t="s">
        <v>367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48" t="s">
        <v>368</v>
      </c>
      <c r="D3" s="27" t="str">
        <f aca="false">IF(D1="","",D1-TransDate)</f>
        <v/>
      </c>
      <c r="E3" s="27" t="str">
        <f aca="false">IF(E1="","",E1-TransDate)</f>
        <v/>
      </c>
      <c r="F3" s="27" t="str">
        <f aca="false">IF(F1="","",F1-TransDate)</f>
        <v/>
      </c>
      <c r="G3" s="27" t="str">
        <f aca="false">IF(G1="","",G1-TransDate)</f>
        <v/>
      </c>
      <c r="H3" s="27" t="str">
        <f aca="false">IF(H1="","",H1-TransDate)</f>
        <v/>
      </c>
      <c r="I3" s="27" t="str">
        <f aca="false">IF(I1="","",I1-TransDate)</f>
        <v/>
      </c>
      <c r="J3" s="27" t="str">
        <f aca="false">IF(J1="","",J1-TransDate)</f>
        <v/>
      </c>
      <c r="K3" s="27" t="str">
        <f aca="false">IF(K1="","",K1-TransDate)</f>
        <v/>
      </c>
      <c r="L3" s="27" t="str">
        <f aca="false">IF(L1="","",L1-TransDate)</f>
        <v/>
      </c>
      <c r="M3" s="27" t="str">
        <f aca="false">IF(M1="","",M1-TransDate)</f>
        <v/>
      </c>
      <c r="N3" s="27" t="str">
        <f aca="false">IF(N1="","",N1-TransDate)</f>
        <v/>
      </c>
      <c r="O3" s="27" t="str">
        <f aca="false">IF(O1="","",O1-TransDate)</f>
        <v/>
      </c>
      <c r="P3" s="27" t="str">
        <f aca="false">IF(P1="","",P1-TransDate)</f>
        <v/>
      </c>
      <c r="Q3" s="27" t="str">
        <f aca="false">IF(Q1="","",Q1-TransDate)</f>
        <v/>
      </c>
      <c r="R3" s="27" t="str">
        <f aca="false">IF(R1="","",R1-TransDate)</f>
        <v/>
      </c>
      <c r="S3" s="27" t="str">
        <f aca="false">IF(S1="","",S1-TransDate)</f>
        <v/>
      </c>
      <c r="T3" s="27" t="str">
        <f aca="false">IF(T1="","",T1-TransDate)</f>
        <v/>
      </c>
      <c r="U3" s="27" t="str">
        <f aca="false">IF(U1="","",U1-TransDate)</f>
        <v/>
      </c>
      <c r="V3" s="27" t="str">
        <f aca="false">IF(V1="","",V1-TransDate)</f>
        <v/>
      </c>
      <c r="W3" s="27" t="str">
        <f aca="false">IF(W1="","",W1-TransDate)</f>
        <v/>
      </c>
      <c r="X3" s="27" t="str">
        <f aca="false">IF(X1="","",X1-TransDate)</f>
        <v/>
      </c>
      <c r="Y3" s="27" t="str">
        <f aca="false">IF(Y1="","",Y1-TransDate)</f>
        <v/>
      </c>
      <c r="Z3" s="27" t="str">
        <f aca="false">IF(Z1="","",Z1-TransDate)</f>
        <v/>
      </c>
      <c r="AA3" s="27" t="str">
        <f aca="false">IF(AA1="","",AA1-TransDate)</f>
        <v/>
      </c>
      <c r="AB3" s="27" t="str">
        <f aca="false">IF(AB1="","",AB1-TransDate)</f>
        <v/>
      </c>
      <c r="AC3" s="27" t="str">
        <f aca="false">IF(AC1="","",AC1-TransDate)</f>
        <v/>
      </c>
      <c r="AD3" s="27" t="str">
        <f aca="false">IF(AD1="","",AD1-TransDate)</f>
        <v/>
      </c>
      <c r="AE3" s="27" t="str">
        <f aca="false">IF(AE1="","",AE1-TransDate)</f>
        <v/>
      </c>
      <c r="AF3" s="27" t="str">
        <f aca="false">IF(AF1="","",AF1-TransDate)</f>
        <v/>
      </c>
      <c r="AG3" s="27" t="str">
        <f aca="false">IF(AG1="","",AG1-TransDate)</f>
        <v/>
      </c>
      <c r="AH3" s="27" t="str">
        <f aca="false">IF(AH1="","",AH1-TransDate)</f>
        <v/>
      </c>
      <c r="AI3" s="27" t="str">
        <f aca="false">IF(AI1="","",AI1-TransDate)</f>
        <v/>
      </c>
      <c r="AJ3" s="27" t="str">
        <f aca="false">IF(AJ1="","",AJ1-TransDate)</f>
        <v/>
      </c>
      <c r="AK3" s="27" t="str">
        <f aca="false">IF(AK1="","",AK1-TransDate)</f>
        <v/>
      </c>
      <c r="AL3" s="27" t="str">
        <f aca="false">IF(AL1="","",AL1-TransDate)</f>
        <v/>
      </c>
      <c r="AM3" s="27" t="str">
        <f aca="false">IF(AM1="","",AM1-TransDate)</f>
        <v/>
      </c>
      <c r="AN3" s="27" t="str">
        <f aca="false">IF(AN1="","",AN1-TransDate)</f>
        <v/>
      </c>
      <c r="AO3" s="27" t="str">
        <f aca="false">IF(AO1="","",AO1-TransDate)</f>
        <v/>
      </c>
      <c r="AP3" s="27" t="str">
        <f aca="false">IF(AP1="","",AP1-TransDate)</f>
        <v/>
      </c>
      <c r="AQ3" s="27" t="str">
        <f aca="false">IF(AQ1="","",AQ1-TransDate)</f>
        <v/>
      </c>
      <c r="AR3" s="27" t="str">
        <f aca="false">IF(AR1="","",AR1-TransDate)</f>
        <v/>
      </c>
      <c r="AS3" s="27" t="str">
        <f aca="false">IF(AS1="","",AS1-TransDate)</f>
        <v/>
      </c>
      <c r="AT3" s="27" t="str">
        <f aca="false">IF(AT1="","",AT1-TransDate)</f>
        <v/>
      </c>
      <c r="AU3" s="27" t="str">
        <f aca="false">IF(AU1="","",AU1-TransDate)</f>
        <v/>
      </c>
      <c r="AV3" s="27" t="str">
        <f aca="false">IF(AV1="","",AV1-TransDate)</f>
        <v/>
      </c>
      <c r="AW3" s="27" t="str">
        <f aca="false">IF(AW1="","",AW1-TransDate)</f>
        <v/>
      </c>
      <c r="AX3" s="27" t="str">
        <f aca="false">IF(AX1="","",AX1-TransDate)</f>
        <v/>
      </c>
      <c r="AY3" s="27" t="str">
        <f aca="false">IF(AY1="","",AY1-TransDate)</f>
        <v/>
      </c>
      <c r="AZ3" s="27" t="str">
        <f aca="false">IF(AZ1="","",AZ1-TransDate)</f>
        <v/>
      </c>
      <c r="BA3" s="27" t="str">
        <f aca="false">IF(BA1="","",BA1-TransDate)</f>
        <v/>
      </c>
      <c r="BB3" s="27" t="str">
        <f aca="false">IF(BB1="","",BB1-TransDate)</f>
        <v/>
      </c>
      <c r="BC3" s="27" t="str">
        <f aca="false">IF(BC1="","",BC1-TransDate)</f>
        <v/>
      </c>
      <c r="BD3" s="27" t="str">
        <f aca="false">IF(BD1="","",BD1-TransDate)</f>
        <v/>
      </c>
      <c r="BE3" s="27" t="str">
        <f aca="false">IF(BE1="","",BE1-TransDate)</f>
        <v/>
      </c>
      <c r="BF3" s="27" t="str">
        <f aca="false">IF(BF1="","",BF1-TransDate)</f>
        <v/>
      </c>
      <c r="BG3" s="27" t="str">
        <f aca="false">IF(BG1="","",BG1-TransDate)</f>
        <v/>
      </c>
      <c r="BH3" s="27" t="str">
        <f aca="false">IF(BH1="","",BH1-TransDate)</f>
        <v/>
      </c>
      <c r="BI3" s="27" t="str">
        <f aca="false">IF(BI1="","",BI1-TransDate)</f>
        <v/>
      </c>
      <c r="BJ3" s="27" t="str">
        <f aca="false">IF(BJ1="","",BJ1-TransDate)</f>
        <v/>
      </c>
      <c r="BK3" s="27" t="str">
        <f aca="false">IF(BK1="","",BK1-TransDate)</f>
        <v/>
      </c>
      <c r="BL3" s="27" t="str">
        <f aca="false">IF(BL1="","",BL1-TransDate)</f>
        <v/>
      </c>
      <c r="BM3" s="27" t="str">
        <f aca="false">IF(BM1="","",BM1-TransDate)</f>
        <v/>
      </c>
      <c r="BN3" s="27" t="str">
        <f aca="false">IF(BN1="","",BN1-TransDate)</f>
        <v/>
      </c>
      <c r="BO3" s="27" t="str">
        <f aca="false">IF(BO1="","",BO1-TransDate)</f>
        <v/>
      </c>
      <c r="BP3" s="27" t="str">
        <f aca="false">IF(BP1="","",BP1-TransDate)</f>
        <v/>
      </c>
      <c r="BQ3" s="27" t="str">
        <f aca="false">IF(BQ1="","",BQ1-TransDate)</f>
        <v/>
      </c>
      <c r="BR3" s="27" t="str">
        <f aca="false">IF(BR1="","",BR1-TransDate)</f>
        <v/>
      </c>
      <c r="BS3" s="27" t="str">
        <f aca="false">IF(BS1="","",BS1-TransDate)</f>
        <v/>
      </c>
      <c r="BT3" s="27" t="str">
        <f aca="false">IF(BT1="","",BT1-TransDate)</f>
        <v/>
      </c>
      <c r="BU3" s="27" t="str">
        <f aca="false">IF(BU1="","",BU1-TransDate)</f>
        <v/>
      </c>
      <c r="BV3" s="27" t="str">
        <f aca="false">IF(BV1="","",BV1-TransDate)</f>
        <v/>
      </c>
      <c r="BW3" s="27" t="str">
        <f aca="false">IF(BW1="","",BW1-TransDate)</f>
        <v/>
      </c>
      <c r="BX3" s="27" t="str">
        <f aca="false">IF(BX1="","",BX1-TransDate)</f>
        <v/>
      </c>
      <c r="BY3" s="27" t="str">
        <f aca="false">IF(BY1="","",BY1-TransDate)</f>
        <v/>
      </c>
      <c r="BZ3" s="27" t="str">
        <f aca="false">IF(BZ1="","",BZ1-TransDate)</f>
        <v/>
      </c>
      <c r="CA3" s="27" t="str">
        <f aca="false">IF(CA1="","",CA1-TransDate)</f>
        <v/>
      </c>
      <c r="CB3" s="27" t="str">
        <f aca="false">IF(CB1="","",CB1-TransDate)</f>
        <v/>
      </c>
      <c r="CC3" s="27" t="str">
        <f aca="false">IF(CC1="","",CC1-TransDate)</f>
        <v/>
      </c>
      <c r="CD3" s="27" t="str">
        <f aca="false">IF(CD1="","",CD1-TransDate)</f>
        <v/>
      </c>
      <c r="CE3" s="27" t="str">
        <f aca="false">IF(CE1="","",CE1-TransDate)</f>
        <v/>
      </c>
      <c r="CF3" s="27" t="str">
        <f aca="false">IF(CF1="","",CF1-TransDate)</f>
        <v/>
      </c>
      <c r="CG3" s="27" t="str">
        <f aca="false">IF(CG1="","",CG1-TransDate)</f>
        <v/>
      </c>
      <c r="CH3" s="27" t="str">
        <f aca="false">IF(CH1="","",CH1-TransDate)</f>
        <v/>
      </c>
      <c r="CI3" s="27" t="str">
        <f aca="false">IF(CI1="","",CI1-TransDate)</f>
        <v/>
      </c>
      <c r="CJ3" s="27" t="str">
        <f aca="false">IF(CJ1="","",CJ1-TransDate)</f>
        <v/>
      </c>
      <c r="CK3" s="27" t="str">
        <f aca="false">IF(CK1="","",CK1-TransDate)</f>
        <v/>
      </c>
      <c r="CL3" s="27" t="str">
        <f aca="false">IF(CL1="","",CL1-TransDate)</f>
        <v/>
      </c>
      <c r="CM3" s="27" t="str">
        <f aca="false">IF(CM1="","",CM1-TransDate)</f>
        <v/>
      </c>
      <c r="CN3" s="27" t="str">
        <f aca="false">IF(CN1="","",CN1-TransDate)</f>
        <v/>
      </c>
      <c r="CO3" s="27" t="str">
        <f aca="false">IF(CO1="","",CO1-TransDate)</f>
        <v/>
      </c>
      <c r="CP3" s="27" t="str">
        <f aca="false">IF(CP1="","",CP1-TransDate)</f>
        <v/>
      </c>
      <c r="CQ3" s="27" t="str">
        <f aca="false">IF(CQ1="","",CQ1-TransDate)</f>
        <v/>
      </c>
      <c r="CR3" s="27" t="str">
        <f aca="false">IF(CR1="","",CR1-TransDate)</f>
        <v/>
      </c>
      <c r="CS3" s="27" t="str">
        <f aca="false">IF(CS1="","",CS1-TransDate)</f>
        <v/>
      </c>
      <c r="CT3" s="27" t="str">
        <f aca="false">IF(CT1="","",CT1-TransDate)</f>
        <v/>
      </c>
      <c r="CU3" s="27" t="str">
        <f aca="false">IF(CU1="","",CU1-TransDate)</f>
        <v/>
      </c>
      <c r="CV3" s="27" t="str">
        <f aca="false">IF(CV1="","",CV1-TransDate)</f>
        <v/>
      </c>
      <c r="CW3" s="27" t="str">
        <f aca="false">IF(CW1="","",CW1-TransDate)</f>
        <v/>
      </c>
      <c r="CX3" s="27" t="str">
        <f aca="false">IF(CX1="","",CX1-TransDate)</f>
        <v/>
      </c>
      <c r="CY3" s="27" t="str">
        <f aca="false">IF(CY1="","",CY1-TransDate)</f>
        <v/>
      </c>
      <c r="CZ3" s="27" t="str">
        <f aca="false">IF(CZ1="","",CZ1-TransDate)</f>
        <v/>
      </c>
      <c r="DA3" s="27" t="str">
        <f aca="false">IF(DA1="","",DA1-TransDate)</f>
        <v/>
      </c>
      <c r="DB3" s="27" t="str">
        <f aca="false">IF(DB1="","",DB1-TransDate)</f>
        <v/>
      </c>
      <c r="DC3" s="27" t="str">
        <f aca="false">IF(DC1="","",DC1-TransDate)</f>
        <v/>
      </c>
      <c r="DD3" s="27" t="str">
        <f aca="false">IF(DD1="","",DD1-TransDate)</f>
        <v/>
      </c>
      <c r="DE3" s="27" t="str">
        <f aca="false">IF(DE1="","",DE1-TransDate)</f>
        <v/>
      </c>
      <c r="DF3" s="27" t="str">
        <f aca="false">IF(DF1="","",DF1-TransDate)</f>
        <v/>
      </c>
      <c r="DG3" s="27" t="str">
        <f aca="false">IF(DG1="","",DG1-TransDate)</f>
        <v/>
      </c>
      <c r="DH3" s="27" t="str">
        <f aca="false">IF(DH1="","",DH1-TransDate)</f>
        <v/>
      </c>
      <c r="DI3" s="27" t="str">
        <f aca="false">IF(DI1="","",DI1-TransDate)</f>
        <v/>
      </c>
      <c r="DJ3" s="27" t="str">
        <f aca="false">IF(DJ1="","",DJ1-TransDate)</f>
        <v/>
      </c>
      <c r="DK3" s="27" t="str">
        <f aca="false">IF(DK1="","",DK1-TransDate)</f>
        <v/>
      </c>
      <c r="DL3" s="27" t="str">
        <f aca="false">IF(DL1="","",DL1-TransDate)</f>
        <v/>
      </c>
      <c r="DM3" s="27" t="str">
        <f aca="false">IF(DM1="","",DM1-TransDate)</f>
        <v/>
      </c>
      <c r="DN3" s="27" t="str">
        <f aca="false">IF(DN1="","",DN1-TransDate)</f>
        <v/>
      </c>
      <c r="DO3" s="27" t="str">
        <f aca="false">IF(DO1="","",DO1-TransDate)</f>
        <v/>
      </c>
      <c r="DP3" s="27" t="str">
        <f aca="false">IF(DP1="","",DP1-TransDate)</f>
        <v/>
      </c>
      <c r="DQ3" s="27" t="str">
        <f aca="false">IF(DQ1="","",DQ1-TransDate)</f>
        <v/>
      </c>
      <c r="DR3" s="27" t="str">
        <f aca="false">IF(DR1="","",DR1-TransDate)</f>
        <v/>
      </c>
      <c r="DS3" s="27" t="str">
        <f aca="false">IF(DS1="","",DS1-TransDate)</f>
        <v/>
      </c>
      <c r="DT3" s="27" t="str">
        <f aca="false">IF(DT1="","",DT1-TransDate)</f>
        <v/>
      </c>
      <c r="DU3" s="27" t="str">
        <f aca="false">IF(DU1="","",DU1-TransDate)</f>
        <v/>
      </c>
      <c r="DV3" s="27" t="str">
        <f aca="false">IF(DV1="","",DV1-TransDate)</f>
        <v/>
      </c>
      <c r="DW3" s="27" t="str">
        <f aca="false">IF(DW1="","",DW1-TransDate)</f>
        <v/>
      </c>
      <c r="DX3" s="27" t="str">
        <f aca="false">IF(DX1="","",DX1-TransDate)</f>
        <v/>
      </c>
      <c r="DY3" s="27" t="str">
        <f aca="false">IF(DY1="","",DY1-TransDate)</f>
        <v/>
      </c>
      <c r="DZ3" s="27" t="str">
        <f aca="false">IF(DZ1="","",DZ1-TransDate)</f>
        <v/>
      </c>
      <c r="EA3" s="27" t="str">
        <f aca="false">IF(EA1="","",EA1-TransDate)</f>
        <v/>
      </c>
      <c r="EB3" s="27" t="str">
        <f aca="false">IF(EB1="","",EB1-TransDate)</f>
        <v/>
      </c>
      <c r="EC3" s="27" t="str">
        <f aca="false">IF(EC1="","",EC1-TransDate)</f>
        <v/>
      </c>
      <c r="ED3" s="27" t="str">
        <f aca="false">IF(ED1="","",ED1-TransDate)</f>
        <v/>
      </c>
      <c r="EE3" s="27" t="str">
        <f aca="false">IF(EE1="","",EE1-TransDate)</f>
        <v/>
      </c>
      <c r="EF3" s="27" t="str">
        <f aca="false">IF(EF1="","",EF1-TransDate)</f>
        <v/>
      </c>
      <c r="EG3" s="27" t="str">
        <f aca="false">IF(EG1="","",EG1-TransDate)</f>
        <v/>
      </c>
      <c r="EH3" s="27" t="str">
        <f aca="false">IF(EH1="","",EH1-TransDate)</f>
        <v/>
      </c>
      <c r="EI3" s="27" t="str">
        <f aca="false">IF(EI1="","",EI1-TransDate)</f>
        <v/>
      </c>
      <c r="EJ3" s="27" t="str">
        <f aca="false">IF(EJ1="","",EJ1-TransDate)</f>
        <v/>
      </c>
      <c r="EK3" s="27" t="str">
        <f aca="false">IF(EK1="","",EK1-TransDate)</f>
        <v/>
      </c>
      <c r="EL3" s="27" t="str">
        <f aca="false">IF(EL1="","",EL1-TransDate)</f>
        <v/>
      </c>
      <c r="EM3" s="27" t="str">
        <f aca="false">IF(EM1="","",EM1-TransDate)</f>
        <v/>
      </c>
      <c r="EN3" s="27" t="str">
        <f aca="false">IF(EN1="","",EN1-TransDate)</f>
        <v/>
      </c>
      <c r="EO3" s="27" t="str">
        <f aca="false">IF(EO1="","",EO1-TransDate)</f>
        <v/>
      </c>
      <c r="EP3" s="27" t="str">
        <f aca="false">IF(EP1="","",EP1-TransDate)</f>
        <v/>
      </c>
      <c r="EQ3" s="27" t="str">
        <f aca="false">IF(EQ1="","",EQ1-TransDate)</f>
        <v/>
      </c>
      <c r="ER3" s="27" t="str">
        <f aca="false">IF(ER1="","",ER1-TransDate)</f>
        <v/>
      </c>
      <c r="ES3" s="27" t="str">
        <f aca="false">IF(ES1="","",ES1-TransDate)</f>
        <v/>
      </c>
      <c r="ET3" s="27" t="str">
        <f aca="false">IF(ET1="","",ET1-TransDate)</f>
        <v/>
      </c>
      <c r="EU3" s="27" t="str">
        <f aca="false">IF(EU1="","",EU1-TransDate)</f>
        <v/>
      </c>
      <c r="EV3" s="27" t="str">
        <f aca="false">IF(EV1="","",EV1-TransDate)</f>
        <v/>
      </c>
      <c r="EW3" s="27" t="str">
        <f aca="false">IF(EW1="","",EW1-TransDate)</f>
        <v/>
      </c>
      <c r="EX3" s="27" t="str">
        <f aca="false">IF(EX1="","",EX1-TransDate)</f>
        <v/>
      </c>
      <c r="EY3" s="27" t="str">
        <f aca="false">IF(EY1="","",EY1-TransDate)</f>
        <v/>
      </c>
      <c r="EZ3" s="27" t="str">
        <f aca="false">IF(EZ1="","",EZ1-TransDate)</f>
        <v/>
      </c>
      <c r="FA3" s="27" t="str">
        <f aca="false">IF(FA1="","",FA1-TransDate)</f>
        <v/>
      </c>
      <c r="FB3" s="27" t="str">
        <f aca="false">IF(FB1="","",FB1-TransDate)</f>
        <v/>
      </c>
      <c r="FC3" s="27" t="str">
        <f aca="false">IF(FC1="","",FC1-TransDate)</f>
        <v/>
      </c>
      <c r="FD3" s="27" t="str">
        <f aca="false">IF(FD1="","",FD1-TransDate)</f>
        <v/>
      </c>
      <c r="FE3" s="27" t="str">
        <f aca="false">IF(FE1="","",FE1-TransDate)</f>
        <v/>
      </c>
      <c r="FF3" s="27" t="str">
        <f aca="false">IF(FF1="","",FF1-TransDate)</f>
        <v/>
      </c>
      <c r="FG3" s="27" t="str">
        <f aca="false">IF(FG1="","",FG1-TransDate)</f>
        <v/>
      </c>
      <c r="FH3" s="27" t="str">
        <f aca="false">IF(FH1="","",FH1-TransDate)</f>
        <v/>
      </c>
      <c r="FI3" s="27" t="str">
        <f aca="false">IF(FI1="","",FI1-TransDate)</f>
        <v/>
      </c>
      <c r="FJ3" s="27" t="str">
        <f aca="false">IF(FJ1="","",FJ1-TransDate)</f>
        <v/>
      </c>
      <c r="FK3" s="27" t="str">
        <f aca="false">IF(FK1="","",FK1-TransDate)</f>
        <v/>
      </c>
      <c r="FL3" s="27" t="str">
        <f aca="false">IF(FL1="","",FL1-TransDate)</f>
        <v/>
      </c>
      <c r="FM3" s="27" t="str">
        <f aca="false">IF(FM1="","",FM1-TransDate)</f>
        <v/>
      </c>
      <c r="FN3" s="27" t="str">
        <f aca="false">IF(FN1="","",FN1-TransDate)</f>
        <v/>
      </c>
      <c r="FO3" s="27" t="str">
        <f aca="false">IF(FO1="","",FO1-TransDate)</f>
        <v/>
      </c>
      <c r="FP3" s="27" t="str">
        <f aca="false">IF(FP1="","",FP1-TransDate)</f>
        <v/>
      </c>
      <c r="FQ3" s="27" t="str">
        <f aca="false">IF(FQ1="","",FQ1-TransDate)</f>
        <v/>
      </c>
    </row>
    <row r="4" customFormat="false" ht="15" hidden="false" customHeight="false" outlineLevel="0" collapsed="false">
      <c r="B4" s="48" t="s">
        <v>369</v>
      </c>
      <c r="D4" s="27" t="str">
        <f aca="false">IF(OR(D1="",NOT(ISNUMBER(SowDate))),"",D1-SowDate)</f>
        <v/>
      </c>
      <c r="E4" s="27" t="str">
        <f aca="false">IF(OR(E1="",NOT(ISNUMBER(SowDate))),"",E1-SowDate)</f>
        <v/>
      </c>
      <c r="F4" s="27" t="str">
        <f aca="false">IF(OR(F1="",NOT(ISNUMBER(SowDate))),"",F1-SowDate)</f>
        <v/>
      </c>
      <c r="G4" s="27" t="str">
        <f aca="false">IF(OR(G1="",NOT(ISNUMBER(SowDate))),"",G1-SowDate)</f>
        <v/>
      </c>
      <c r="H4" s="27" t="str">
        <f aca="false">IF(OR(H1="",NOT(ISNUMBER(SowDate))),"",H1-SowDate)</f>
        <v/>
      </c>
      <c r="I4" s="27" t="str">
        <f aca="false">IF(OR(I1="",NOT(ISNUMBER(SowDate))),"",I1-SowDate)</f>
        <v/>
      </c>
      <c r="J4" s="27" t="str">
        <f aca="false">IF(OR(J1="",NOT(ISNUMBER(SowDate))),"",J1-SowDate)</f>
        <v/>
      </c>
      <c r="K4" s="27" t="str">
        <f aca="false">IF(OR(K1="",NOT(ISNUMBER(SowDate))),"",K1-SowDate)</f>
        <v/>
      </c>
      <c r="L4" s="27" t="str">
        <f aca="false">IF(OR(L1="",NOT(ISNUMBER(SowDate))),"",L1-SowDate)</f>
        <v/>
      </c>
      <c r="M4" s="27" t="str">
        <f aca="false">IF(OR(M1="",NOT(ISNUMBER(SowDate))),"",M1-SowDate)</f>
        <v/>
      </c>
      <c r="N4" s="27" t="str">
        <f aca="false">IF(OR(N1="",NOT(ISNUMBER(SowDate))),"",N1-SowDate)</f>
        <v/>
      </c>
      <c r="O4" s="27" t="str">
        <f aca="false">IF(OR(O1="",NOT(ISNUMBER(SowDate))),"",O1-SowDate)</f>
        <v/>
      </c>
      <c r="P4" s="27" t="str">
        <f aca="false">IF(OR(P1="",NOT(ISNUMBER(SowDate))),"",P1-SowDate)</f>
        <v/>
      </c>
      <c r="Q4" s="27" t="str">
        <f aca="false">IF(OR(Q1="",NOT(ISNUMBER(SowDate))),"",Q1-SowDate)</f>
        <v/>
      </c>
      <c r="R4" s="27" t="str">
        <f aca="false">IF(OR(R1="",NOT(ISNUMBER(SowDate))),"",R1-SowDate)</f>
        <v/>
      </c>
      <c r="S4" s="27" t="str">
        <f aca="false">IF(OR(S1="",NOT(ISNUMBER(SowDate))),"",S1-SowDate)</f>
        <v/>
      </c>
      <c r="T4" s="27" t="str">
        <f aca="false">IF(OR(T1="",NOT(ISNUMBER(SowDate))),"",T1-SowDate)</f>
        <v/>
      </c>
      <c r="U4" s="27" t="str">
        <f aca="false">IF(OR(U1="",NOT(ISNUMBER(SowDate))),"",U1-SowDate)</f>
        <v/>
      </c>
      <c r="V4" s="27" t="str">
        <f aca="false">IF(OR(V1="",NOT(ISNUMBER(SowDate))),"",V1-SowDate)</f>
        <v/>
      </c>
      <c r="W4" s="27" t="str">
        <f aca="false">IF(OR(W1="",NOT(ISNUMBER(SowDate))),"",W1-SowDate)</f>
        <v/>
      </c>
      <c r="X4" s="27" t="str">
        <f aca="false">IF(OR(X1="",NOT(ISNUMBER(SowDate))),"",X1-SowDate)</f>
        <v/>
      </c>
      <c r="Y4" s="27" t="str">
        <f aca="false">IF(OR(Y1="",NOT(ISNUMBER(SowDate))),"",Y1-SowDate)</f>
        <v/>
      </c>
      <c r="Z4" s="27" t="str">
        <f aca="false">IF(OR(Z1="",NOT(ISNUMBER(SowDate))),"",Z1-SowDate)</f>
        <v/>
      </c>
      <c r="AA4" s="27" t="str">
        <f aca="false">IF(OR(AA1="",NOT(ISNUMBER(SowDate))),"",AA1-SowDate)</f>
        <v/>
      </c>
      <c r="AB4" s="27" t="str">
        <f aca="false">IF(OR(AB1="",NOT(ISNUMBER(SowDate))),"",AB1-SowDate)</f>
        <v/>
      </c>
      <c r="AC4" s="27" t="str">
        <f aca="false">IF(OR(AC1="",NOT(ISNUMBER(SowDate))),"",AC1-SowDate)</f>
        <v/>
      </c>
      <c r="AD4" s="27" t="str">
        <f aca="false">IF(OR(AD1="",NOT(ISNUMBER(SowDate))),"",AD1-SowDate)</f>
        <v/>
      </c>
      <c r="AE4" s="27" t="str">
        <f aca="false">IF(OR(AE1="",NOT(ISNUMBER(SowDate))),"",AE1-SowDate)</f>
        <v/>
      </c>
      <c r="AF4" s="27" t="str">
        <f aca="false">IF(OR(AF1="",NOT(ISNUMBER(SowDate))),"",AF1-SowDate)</f>
        <v/>
      </c>
      <c r="AG4" s="27" t="str">
        <f aca="false">IF(OR(AG1="",NOT(ISNUMBER(SowDate))),"",AG1-SowDate)</f>
        <v/>
      </c>
      <c r="AH4" s="27" t="str">
        <f aca="false">IF(OR(AH1="",NOT(ISNUMBER(SowDate))),"",AH1-SowDate)</f>
        <v/>
      </c>
      <c r="AI4" s="27" t="str">
        <f aca="false">IF(OR(AI1="",NOT(ISNUMBER(SowDate))),"",AI1-SowDate)</f>
        <v/>
      </c>
      <c r="AJ4" s="27" t="str">
        <f aca="false">IF(OR(AJ1="",NOT(ISNUMBER(SowDate))),"",AJ1-SowDate)</f>
        <v/>
      </c>
      <c r="AK4" s="27" t="str">
        <f aca="false">IF(OR(AK1="",NOT(ISNUMBER(SowDate))),"",AK1-SowDate)</f>
        <v/>
      </c>
      <c r="AL4" s="27" t="str">
        <f aca="false">IF(OR(AL1="",NOT(ISNUMBER(SowDate))),"",AL1-SowDate)</f>
        <v/>
      </c>
      <c r="AM4" s="27" t="str">
        <f aca="false">IF(OR(AM1="",NOT(ISNUMBER(SowDate))),"",AM1-SowDate)</f>
        <v/>
      </c>
      <c r="AN4" s="27" t="str">
        <f aca="false">IF(OR(AN1="",NOT(ISNUMBER(SowDate))),"",AN1-SowDate)</f>
        <v/>
      </c>
      <c r="AO4" s="27" t="str">
        <f aca="false">IF(OR(AO1="",NOT(ISNUMBER(SowDate))),"",AO1-SowDate)</f>
        <v/>
      </c>
      <c r="AP4" s="27" t="str">
        <f aca="false">IF(OR(AP1="",NOT(ISNUMBER(SowDate))),"",AP1-SowDate)</f>
        <v/>
      </c>
      <c r="AQ4" s="27" t="str">
        <f aca="false">IF(OR(AQ1="",NOT(ISNUMBER(SowDate))),"",AQ1-SowDate)</f>
        <v/>
      </c>
      <c r="AR4" s="27" t="str">
        <f aca="false">IF(OR(AR1="",NOT(ISNUMBER(SowDate))),"",AR1-SowDate)</f>
        <v/>
      </c>
      <c r="AS4" s="27" t="str">
        <f aca="false">IF(OR(AS1="",NOT(ISNUMBER(SowDate))),"",AS1-SowDate)</f>
        <v/>
      </c>
      <c r="AT4" s="27" t="str">
        <f aca="false">IF(OR(AT1="",NOT(ISNUMBER(SowDate))),"",AT1-SowDate)</f>
        <v/>
      </c>
      <c r="AU4" s="27" t="str">
        <f aca="false">IF(OR(AU1="",NOT(ISNUMBER(SowDate))),"",AU1-SowDate)</f>
        <v/>
      </c>
      <c r="AV4" s="27" t="str">
        <f aca="false">IF(OR(AV1="",NOT(ISNUMBER(SowDate))),"",AV1-SowDate)</f>
        <v/>
      </c>
      <c r="AW4" s="27" t="str">
        <f aca="false">IF(OR(AW1="",NOT(ISNUMBER(SowDate))),"",AW1-SowDate)</f>
        <v/>
      </c>
      <c r="AX4" s="27" t="str">
        <f aca="false">IF(OR(AX1="",NOT(ISNUMBER(SowDate))),"",AX1-SowDate)</f>
        <v/>
      </c>
      <c r="AY4" s="27" t="str">
        <f aca="false">IF(OR(AY1="",NOT(ISNUMBER(SowDate))),"",AY1-SowDate)</f>
        <v/>
      </c>
      <c r="AZ4" s="27" t="str">
        <f aca="false">IF(OR(AZ1="",NOT(ISNUMBER(SowDate))),"",AZ1-SowDate)</f>
        <v/>
      </c>
      <c r="BA4" s="27" t="str">
        <f aca="false">IF(OR(BA1="",NOT(ISNUMBER(SowDate))),"",BA1-SowDate)</f>
        <v/>
      </c>
      <c r="BB4" s="27" t="str">
        <f aca="false">IF(OR(BB1="",NOT(ISNUMBER(SowDate))),"",BB1-SowDate)</f>
        <v/>
      </c>
      <c r="BC4" s="27" t="str">
        <f aca="false">IF(OR(BC1="",NOT(ISNUMBER(SowDate))),"",BC1-SowDate)</f>
        <v/>
      </c>
      <c r="BD4" s="27" t="str">
        <f aca="false">IF(OR(BD1="",NOT(ISNUMBER(SowDate))),"",BD1-SowDate)</f>
        <v/>
      </c>
      <c r="BE4" s="27" t="str">
        <f aca="false">IF(OR(BE1="",NOT(ISNUMBER(SowDate))),"",BE1-SowDate)</f>
        <v/>
      </c>
      <c r="BF4" s="27" t="str">
        <f aca="false">IF(OR(BF1="",NOT(ISNUMBER(SowDate))),"",BF1-SowDate)</f>
        <v/>
      </c>
      <c r="BG4" s="27" t="str">
        <f aca="false">IF(OR(BG1="",NOT(ISNUMBER(SowDate))),"",BG1-SowDate)</f>
        <v/>
      </c>
      <c r="BH4" s="27" t="str">
        <f aca="false">IF(OR(BH1="",NOT(ISNUMBER(SowDate))),"",BH1-SowDate)</f>
        <v/>
      </c>
      <c r="BI4" s="27" t="str">
        <f aca="false">IF(OR(BI1="",NOT(ISNUMBER(SowDate))),"",BI1-SowDate)</f>
        <v/>
      </c>
      <c r="BJ4" s="27" t="str">
        <f aca="false">IF(OR(BJ1="",NOT(ISNUMBER(SowDate))),"",BJ1-SowDate)</f>
        <v/>
      </c>
      <c r="BK4" s="27" t="str">
        <f aca="false">IF(OR(BK1="",NOT(ISNUMBER(SowDate))),"",BK1-SowDate)</f>
        <v/>
      </c>
      <c r="BL4" s="27" t="str">
        <f aca="false">IF(OR(BL1="",NOT(ISNUMBER(SowDate))),"",BL1-SowDate)</f>
        <v/>
      </c>
      <c r="BM4" s="27" t="str">
        <f aca="false">IF(OR(BM1="",NOT(ISNUMBER(SowDate))),"",BM1-SowDate)</f>
        <v/>
      </c>
      <c r="BN4" s="27" t="str">
        <f aca="false">IF(OR(BN1="",NOT(ISNUMBER(SowDate))),"",BN1-SowDate)</f>
        <v/>
      </c>
      <c r="BO4" s="27" t="str">
        <f aca="false">IF(OR(BO1="",NOT(ISNUMBER(SowDate))),"",BO1-SowDate)</f>
        <v/>
      </c>
      <c r="BP4" s="27" t="str">
        <f aca="false">IF(OR(BP1="",NOT(ISNUMBER(SowDate))),"",BP1-SowDate)</f>
        <v/>
      </c>
      <c r="BQ4" s="27" t="str">
        <f aca="false">IF(OR(BQ1="",NOT(ISNUMBER(SowDate))),"",BQ1-SowDate)</f>
        <v/>
      </c>
      <c r="BR4" s="27" t="str">
        <f aca="false">IF(OR(BR1="",NOT(ISNUMBER(SowDate))),"",BR1-SowDate)</f>
        <v/>
      </c>
      <c r="BS4" s="27" t="str">
        <f aca="false">IF(OR(BS1="",NOT(ISNUMBER(SowDate))),"",BS1-SowDate)</f>
        <v/>
      </c>
      <c r="BT4" s="27" t="str">
        <f aca="false">IF(OR(BT1="",NOT(ISNUMBER(SowDate))),"",BT1-SowDate)</f>
        <v/>
      </c>
      <c r="BU4" s="27" t="str">
        <f aca="false">IF(OR(BU1="",NOT(ISNUMBER(SowDate))),"",BU1-SowDate)</f>
        <v/>
      </c>
      <c r="BV4" s="27" t="str">
        <f aca="false">IF(OR(BV1="",NOT(ISNUMBER(SowDate))),"",BV1-SowDate)</f>
        <v/>
      </c>
      <c r="BW4" s="27" t="str">
        <f aca="false">IF(OR(BW1="",NOT(ISNUMBER(SowDate))),"",BW1-SowDate)</f>
        <v/>
      </c>
      <c r="BX4" s="27" t="str">
        <f aca="false">IF(OR(BX1="",NOT(ISNUMBER(SowDate))),"",BX1-SowDate)</f>
        <v/>
      </c>
      <c r="BY4" s="27" t="str">
        <f aca="false">IF(OR(BY1="",NOT(ISNUMBER(SowDate))),"",BY1-SowDate)</f>
        <v/>
      </c>
      <c r="BZ4" s="27" t="str">
        <f aca="false">IF(OR(BZ1="",NOT(ISNUMBER(SowDate))),"",BZ1-SowDate)</f>
        <v/>
      </c>
      <c r="CA4" s="27" t="str">
        <f aca="false">IF(OR(CA1="",NOT(ISNUMBER(SowDate))),"",CA1-SowDate)</f>
        <v/>
      </c>
      <c r="CB4" s="27" t="str">
        <f aca="false">IF(OR(CB1="",NOT(ISNUMBER(SowDate))),"",CB1-SowDate)</f>
        <v/>
      </c>
      <c r="CC4" s="27" t="str">
        <f aca="false">IF(OR(CC1="",NOT(ISNUMBER(SowDate))),"",CC1-SowDate)</f>
        <v/>
      </c>
      <c r="CD4" s="27" t="str">
        <f aca="false">IF(OR(CD1="",NOT(ISNUMBER(SowDate))),"",CD1-SowDate)</f>
        <v/>
      </c>
      <c r="CE4" s="27" t="str">
        <f aca="false">IF(OR(CE1="",NOT(ISNUMBER(SowDate))),"",CE1-SowDate)</f>
        <v/>
      </c>
      <c r="CF4" s="27" t="str">
        <f aca="false">IF(OR(CF1="",NOT(ISNUMBER(SowDate))),"",CF1-SowDate)</f>
        <v/>
      </c>
      <c r="CG4" s="27" t="str">
        <f aca="false">IF(OR(CG1="",NOT(ISNUMBER(SowDate))),"",CG1-SowDate)</f>
        <v/>
      </c>
      <c r="CH4" s="27" t="str">
        <f aca="false">IF(OR(CH1="",NOT(ISNUMBER(SowDate))),"",CH1-SowDate)</f>
        <v/>
      </c>
      <c r="CI4" s="27" t="str">
        <f aca="false">IF(OR(CI1="",NOT(ISNUMBER(SowDate))),"",CI1-SowDate)</f>
        <v/>
      </c>
      <c r="CJ4" s="27" t="str">
        <f aca="false">IF(OR(CJ1="",NOT(ISNUMBER(SowDate))),"",CJ1-SowDate)</f>
        <v/>
      </c>
      <c r="CK4" s="27" t="str">
        <f aca="false">IF(OR(CK1="",NOT(ISNUMBER(SowDate))),"",CK1-SowDate)</f>
        <v/>
      </c>
      <c r="CL4" s="27" t="str">
        <f aca="false">IF(OR(CL1="",NOT(ISNUMBER(SowDate))),"",CL1-SowDate)</f>
        <v/>
      </c>
      <c r="CM4" s="27" t="str">
        <f aca="false">IF(OR(CM1="",NOT(ISNUMBER(SowDate))),"",CM1-SowDate)</f>
        <v/>
      </c>
      <c r="CN4" s="27" t="str">
        <f aca="false">IF(OR(CN1="",NOT(ISNUMBER(SowDate))),"",CN1-SowDate)</f>
        <v/>
      </c>
      <c r="CO4" s="27" t="str">
        <f aca="false">IF(OR(CO1="",NOT(ISNUMBER(SowDate))),"",CO1-SowDate)</f>
        <v/>
      </c>
      <c r="CP4" s="27" t="str">
        <f aca="false">IF(OR(CP1="",NOT(ISNUMBER(SowDate))),"",CP1-SowDate)</f>
        <v/>
      </c>
      <c r="CQ4" s="27" t="str">
        <f aca="false">IF(OR(CQ1="",NOT(ISNUMBER(SowDate))),"",CQ1-SowDate)</f>
        <v/>
      </c>
      <c r="CR4" s="27" t="str">
        <f aca="false">IF(OR(CR1="",NOT(ISNUMBER(SowDate))),"",CR1-SowDate)</f>
        <v/>
      </c>
      <c r="CS4" s="27" t="str">
        <f aca="false">IF(OR(CS1="",NOT(ISNUMBER(SowDate))),"",CS1-SowDate)</f>
        <v/>
      </c>
      <c r="CT4" s="27" t="str">
        <f aca="false">IF(OR(CT1="",NOT(ISNUMBER(SowDate))),"",CT1-SowDate)</f>
        <v/>
      </c>
      <c r="CU4" s="27" t="str">
        <f aca="false">IF(OR(CU1="",NOT(ISNUMBER(SowDate))),"",CU1-SowDate)</f>
        <v/>
      </c>
      <c r="CV4" s="27" t="str">
        <f aca="false">IF(OR(CV1="",NOT(ISNUMBER(SowDate))),"",CV1-SowDate)</f>
        <v/>
      </c>
      <c r="CW4" s="27" t="str">
        <f aca="false">IF(OR(CW1="",NOT(ISNUMBER(SowDate))),"",CW1-SowDate)</f>
        <v/>
      </c>
      <c r="CX4" s="27" t="str">
        <f aca="false">IF(OR(CX1="",NOT(ISNUMBER(SowDate))),"",CX1-SowDate)</f>
        <v/>
      </c>
      <c r="CY4" s="27" t="str">
        <f aca="false">IF(OR(CY1="",NOT(ISNUMBER(SowDate))),"",CY1-SowDate)</f>
        <v/>
      </c>
      <c r="CZ4" s="27" t="str">
        <f aca="false">IF(OR(CZ1="",NOT(ISNUMBER(SowDate))),"",CZ1-SowDate)</f>
        <v/>
      </c>
      <c r="DA4" s="27" t="str">
        <f aca="false">IF(OR(DA1="",NOT(ISNUMBER(SowDate))),"",DA1-SowDate)</f>
        <v/>
      </c>
      <c r="DB4" s="27" t="str">
        <f aca="false">IF(OR(DB1="",NOT(ISNUMBER(SowDate))),"",DB1-SowDate)</f>
        <v/>
      </c>
      <c r="DC4" s="27" t="str">
        <f aca="false">IF(OR(DC1="",NOT(ISNUMBER(SowDate))),"",DC1-SowDate)</f>
        <v/>
      </c>
      <c r="DD4" s="27" t="str">
        <f aca="false">IF(OR(DD1="",NOT(ISNUMBER(SowDate))),"",DD1-SowDate)</f>
        <v/>
      </c>
      <c r="DE4" s="27" t="str">
        <f aca="false">IF(OR(DE1="",NOT(ISNUMBER(SowDate))),"",DE1-SowDate)</f>
        <v/>
      </c>
      <c r="DF4" s="27" t="str">
        <f aca="false">IF(OR(DF1="",NOT(ISNUMBER(SowDate))),"",DF1-SowDate)</f>
        <v/>
      </c>
      <c r="DG4" s="27" t="str">
        <f aca="false">IF(OR(DG1="",NOT(ISNUMBER(SowDate))),"",DG1-SowDate)</f>
        <v/>
      </c>
      <c r="DH4" s="27" t="str">
        <f aca="false">IF(OR(DH1="",NOT(ISNUMBER(SowDate))),"",DH1-SowDate)</f>
        <v/>
      </c>
      <c r="DI4" s="27" t="str">
        <f aca="false">IF(OR(DI1="",NOT(ISNUMBER(SowDate))),"",DI1-SowDate)</f>
        <v/>
      </c>
      <c r="DJ4" s="27" t="str">
        <f aca="false">IF(OR(DJ1="",NOT(ISNUMBER(SowDate))),"",DJ1-SowDate)</f>
        <v/>
      </c>
      <c r="DK4" s="27" t="str">
        <f aca="false">IF(OR(DK1="",NOT(ISNUMBER(SowDate))),"",DK1-SowDate)</f>
        <v/>
      </c>
      <c r="DL4" s="27" t="str">
        <f aca="false">IF(OR(DL1="",NOT(ISNUMBER(SowDate))),"",DL1-SowDate)</f>
        <v/>
      </c>
      <c r="DM4" s="27" t="str">
        <f aca="false">IF(OR(DM1="",NOT(ISNUMBER(SowDate))),"",DM1-SowDate)</f>
        <v/>
      </c>
      <c r="DN4" s="27" t="str">
        <f aca="false">IF(OR(DN1="",NOT(ISNUMBER(SowDate))),"",DN1-SowDate)</f>
        <v/>
      </c>
      <c r="DO4" s="27" t="str">
        <f aca="false">IF(OR(DO1="",NOT(ISNUMBER(SowDate))),"",DO1-SowDate)</f>
        <v/>
      </c>
      <c r="DP4" s="27" t="str">
        <f aca="false">IF(OR(DP1="",NOT(ISNUMBER(SowDate))),"",DP1-SowDate)</f>
        <v/>
      </c>
      <c r="DQ4" s="27" t="str">
        <f aca="false">IF(OR(DQ1="",NOT(ISNUMBER(SowDate))),"",DQ1-SowDate)</f>
        <v/>
      </c>
      <c r="DR4" s="27" t="str">
        <f aca="false">IF(OR(DR1="",NOT(ISNUMBER(SowDate))),"",DR1-SowDate)</f>
        <v/>
      </c>
      <c r="DS4" s="27" t="str">
        <f aca="false">IF(OR(DS1="",NOT(ISNUMBER(SowDate))),"",DS1-SowDate)</f>
        <v/>
      </c>
      <c r="DT4" s="27" t="str">
        <f aca="false">IF(OR(DT1="",NOT(ISNUMBER(SowDate))),"",DT1-SowDate)</f>
        <v/>
      </c>
      <c r="DU4" s="27" t="str">
        <f aca="false">IF(OR(DU1="",NOT(ISNUMBER(SowDate))),"",DU1-SowDate)</f>
        <v/>
      </c>
      <c r="DV4" s="27" t="str">
        <f aca="false">IF(OR(DV1="",NOT(ISNUMBER(SowDate))),"",DV1-SowDate)</f>
        <v/>
      </c>
      <c r="DW4" s="27" t="str">
        <f aca="false">IF(OR(DW1="",NOT(ISNUMBER(SowDate))),"",DW1-SowDate)</f>
        <v/>
      </c>
      <c r="DX4" s="27" t="str">
        <f aca="false">IF(OR(DX1="",NOT(ISNUMBER(SowDate))),"",DX1-SowDate)</f>
        <v/>
      </c>
      <c r="DY4" s="27" t="str">
        <f aca="false">IF(OR(DY1="",NOT(ISNUMBER(SowDate))),"",DY1-SowDate)</f>
        <v/>
      </c>
      <c r="DZ4" s="27" t="str">
        <f aca="false">IF(OR(DZ1="",NOT(ISNUMBER(SowDate))),"",DZ1-SowDate)</f>
        <v/>
      </c>
      <c r="EA4" s="27" t="str">
        <f aca="false">IF(OR(EA1="",NOT(ISNUMBER(SowDate))),"",EA1-SowDate)</f>
        <v/>
      </c>
      <c r="EB4" s="27" t="str">
        <f aca="false">IF(OR(EB1="",NOT(ISNUMBER(SowDate))),"",EB1-SowDate)</f>
        <v/>
      </c>
      <c r="EC4" s="27" t="str">
        <f aca="false">IF(OR(EC1="",NOT(ISNUMBER(SowDate))),"",EC1-SowDate)</f>
        <v/>
      </c>
      <c r="ED4" s="27" t="str">
        <f aca="false">IF(OR(ED1="",NOT(ISNUMBER(SowDate))),"",ED1-SowDate)</f>
        <v/>
      </c>
      <c r="EE4" s="27" t="str">
        <f aca="false">IF(OR(EE1="",NOT(ISNUMBER(SowDate))),"",EE1-SowDate)</f>
        <v/>
      </c>
      <c r="EF4" s="27" t="str">
        <f aca="false">IF(OR(EF1="",NOT(ISNUMBER(SowDate))),"",EF1-SowDate)</f>
        <v/>
      </c>
      <c r="EG4" s="27" t="str">
        <f aca="false">IF(OR(EG1="",NOT(ISNUMBER(SowDate))),"",EG1-SowDate)</f>
        <v/>
      </c>
      <c r="EH4" s="27" t="str">
        <f aca="false">IF(OR(EH1="",NOT(ISNUMBER(SowDate))),"",EH1-SowDate)</f>
        <v/>
      </c>
      <c r="EI4" s="27" t="str">
        <f aca="false">IF(OR(EI1="",NOT(ISNUMBER(SowDate))),"",EI1-SowDate)</f>
        <v/>
      </c>
      <c r="EJ4" s="27" t="str">
        <f aca="false">IF(OR(EJ1="",NOT(ISNUMBER(SowDate))),"",EJ1-SowDate)</f>
        <v/>
      </c>
      <c r="EK4" s="27" t="str">
        <f aca="false">IF(OR(EK1="",NOT(ISNUMBER(SowDate))),"",EK1-SowDate)</f>
        <v/>
      </c>
      <c r="EL4" s="27" t="str">
        <f aca="false">IF(OR(EL1="",NOT(ISNUMBER(SowDate))),"",EL1-SowDate)</f>
        <v/>
      </c>
      <c r="EM4" s="27" t="str">
        <f aca="false">IF(OR(EM1="",NOT(ISNUMBER(SowDate))),"",EM1-SowDate)</f>
        <v/>
      </c>
      <c r="EN4" s="27" t="str">
        <f aca="false">IF(OR(EN1="",NOT(ISNUMBER(SowDate))),"",EN1-SowDate)</f>
        <v/>
      </c>
      <c r="EO4" s="27" t="str">
        <f aca="false">IF(OR(EO1="",NOT(ISNUMBER(SowDate))),"",EO1-SowDate)</f>
        <v/>
      </c>
      <c r="EP4" s="27" t="str">
        <f aca="false">IF(OR(EP1="",NOT(ISNUMBER(SowDate))),"",EP1-SowDate)</f>
        <v/>
      </c>
      <c r="EQ4" s="27" t="str">
        <f aca="false">IF(OR(EQ1="",NOT(ISNUMBER(SowDate))),"",EQ1-SowDate)</f>
        <v/>
      </c>
      <c r="ER4" s="27" t="str">
        <f aca="false">IF(OR(ER1="",NOT(ISNUMBER(SowDate))),"",ER1-SowDate)</f>
        <v/>
      </c>
      <c r="ES4" s="27" t="str">
        <f aca="false">IF(OR(ES1="",NOT(ISNUMBER(SowDate))),"",ES1-SowDate)</f>
        <v/>
      </c>
      <c r="ET4" s="27" t="str">
        <f aca="false">IF(OR(ET1="",NOT(ISNUMBER(SowDate))),"",ET1-SowDate)</f>
        <v/>
      </c>
      <c r="EU4" s="27" t="str">
        <f aca="false">IF(OR(EU1="",NOT(ISNUMBER(SowDate))),"",EU1-SowDate)</f>
        <v/>
      </c>
      <c r="EV4" s="27" t="str">
        <f aca="false">IF(OR(EV1="",NOT(ISNUMBER(SowDate))),"",EV1-SowDate)</f>
        <v/>
      </c>
      <c r="EW4" s="27" t="str">
        <f aca="false">IF(OR(EW1="",NOT(ISNUMBER(SowDate))),"",EW1-SowDate)</f>
        <v/>
      </c>
      <c r="EX4" s="27" t="str">
        <f aca="false">IF(OR(EX1="",NOT(ISNUMBER(SowDate))),"",EX1-SowDate)</f>
        <v/>
      </c>
      <c r="EY4" s="27" t="str">
        <f aca="false">IF(OR(EY1="",NOT(ISNUMBER(SowDate))),"",EY1-SowDate)</f>
        <v/>
      </c>
      <c r="EZ4" s="27" t="str">
        <f aca="false">IF(OR(EZ1="",NOT(ISNUMBER(SowDate))),"",EZ1-SowDate)</f>
        <v/>
      </c>
      <c r="FA4" s="27" t="str">
        <f aca="false">IF(OR(FA1="",NOT(ISNUMBER(SowDate))),"",FA1-SowDate)</f>
        <v/>
      </c>
      <c r="FB4" s="27" t="str">
        <f aca="false">IF(OR(FB1="",NOT(ISNUMBER(SowDate))),"",FB1-SowDate)</f>
        <v/>
      </c>
      <c r="FC4" s="27" t="str">
        <f aca="false">IF(OR(FC1="",NOT(ISNUMBER(SowDate))),"",FC1-SowDate)</f>
        <v/>
      </c>
      <c r="FD4" s="27" t="str">
        <f aca="false">IF(OR(FD1="",NOT(ISNUMBER(SowDate))),"",FD1-SowDate)</f>
        <v/>
      </c>
      <c r="FE4" s="27" t="str">
        <f aca="false">IF(OR(FE1="",NOT(ISNUMBER(SowDate))),"",FE1-SowDate)</f>
        <v/>
      </c>
      <c r="FF4" s="27" t="str">
        <f aca="false">IF(OR(FF1="",NOT(ISNUMBER(SowDate))),"",FF1-SowDate)</f>
        <v/>
      </c>
      <c r="FG4" s="27" t="str">
        <f aca="false">IF(OR(FG1="",NOT(ISNUMBER(SowDate))),"",FG1-SowDate)</f>
        <v/>
      </c>
      <c r="FH4" s="27" t="str">
        <f aca="false">IF(OR(FH1="",NOT(ISNUMBER(SowDate))),"",FH1-SowDate)</f>
        <v/>
      </c>
      <c r="FI4" s="27" t="str">
        <f aca="false">IF(OR(FI1="",NOT(ISNUMBER(SowDate))),"",FI1-SowDate)</f>
        <v/>
      </c>
      <c r="FJ4" s="27" t="str">
        <f aca="false">IF(OR(FJ1="",NOT(ISNUMBER(SowDate))),"",FJ1-SowDate)</f>
        <v/>
      </c>
      <c r="FK4" s="27" t="str">
        <f aca="false">IF(OR(FK1="",NOT(ISNUMBER(SowDate))),"",FK1-SowDate)</f>
        <v/>
      </c>
      <c r="FL4" s="27" t="str">
        <f aca="false">IF(OR(FL1="",NOT(ISNUMBER(SowDate))),"",FL1-SowDate)</f>
        <v/>
      </c>
      <c r="FM4" s="27" t="str">
        <f aca="false">IF(OR(FM1="",NOT(ISNUMBER(SowDate))),"",FM1-SowDate)</f>
        <v/>
      </c>
      <c r="FN4" s="27" t="str">
        <f aca="false">IF(OR(FN1="",NOT(ISNUMBER(SowDate))),"",FN1-SowDate)</f>
        <v/>
      </c>
      <c r="FO4" s="27" t="str">
        <f aca="false">IF(OR(FO1="",NOT(ISNUMBER(SowDate))),"",FO1-SowDate)</f>
        <v/>
      </c>
      <c r="FP4" s="27" t="str">
        <f aca="false">IF(OR(FP1="",NOT(ISNUMBER(SowDate))),"",FP1-SowDate)</f>
        <v/>
      </c>
      <c r="FQ4" s="27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370</v>
      </c>
      <c r="D5" s="27" t="str">
        <f aca="false">IF(OR(D1="",NOT(ISNUMBER(HeadD))),"",D1-HeadD)</f>
        <v/>
      </c>
      <c r="E5" s="27" t="str">
        <f aca="false">IF(OR(E1="",NOT(ISNUMBER(HeadD))),"",E1-HeadD)</f>
        <v/>
      </c>
      <c r="F5" s="27" t="str">
        <f aca="false">IF(OR(F1="",NOT(ISNUMBER(HeadD))),"",F1-HeadD)</f>
        <v/>
      </c>
      <c r="G5" s="27" t="str">
        <f aca="false">IF(OR(G1="",NOT(ISNUMBER(HeadD))),"",G1-HeadD)</f>
        <v/>
      </c>
      <c r="H5" s="27" t="str">
        <f aca="false">IF(OR(H1="",NOT(ISNUMBER(HeadD))),"",H1-HeadD)</f>
        <v/>
      </c>
      <c r="I5" s="27" t="str">
        <f aca="false">IF(OR(I1="",NOT(ISNUMBER(HeadD))),"",I1-HeadD)</f>
        <v/>
      </c>
      <c r="J5" s="27" t="str">
        <f aca="false">IF(OR(J1="",NOT(ISNUMBER(HeadD))),"",J1-HeadD)</f>
        <v/>
      </c>
      <c r="K5" s="27" t="str">
        <f aca="false">IF(OR(K1="",NOT(ISNUMBER(HeadD))),"",K1-HeadD)</f>
        <v/>
      </c>
      <c r="L5" s="27" t="str">
        <f aca="false">IF(OR(L1="",NOT(ISNUMBER(HeadD))),"",L1-HeadD)</f>
        <v/>
      </c>
      <c r="M5" s="27" t="str">
        <f aca="false">IF(OR(M1="",NOT(ISNUMBER(HeadD))),"",M1-HeadD)</f>
        <v/>
      </c>
      <c r="N5" s="27" t="str">
        <f aca="false">IF(OR(N1="",NOT(ISNUMBER(HeadD))),"",N1-HeadD)</f>
        <v/>
      </c>
      <c r="O5" s="27" t="str">
        <f aca="false">IF(OR(O1="",NOT(ISNUMBER(HeadD))),"",O1-HeadD)</f>
        <v/>
      </c>
      <c r="P5" s="27" t="str">
        <f aca="false">IF(OR(P1="",NOT(ISNUMBER(HeadD))),"",P1-HeadD)</f>
        <v/>
      </c>
      <c r="Q5" s="27" t="str">
        <f aca="false">IF(OR(Q1="",NOT(ISNUMBER(HeadD))),"",Q1-HeadD)</f>
        <v/>
      </c>
      <c r="R5" s="27" t="str">
        <f aca="false">IF(OR(R1="",NOT(ISNUMBER(HeadD))),"",R1-HeadD)</f>
        <v/>
      </c>
      <c r="S5" s="27" t="str">
        <f aca="false">IF(OR(S1="",NOT(ISNUMBER(HeadD))),"",S1-HeadD)</f>
        <v/>
      </c>
      <c r="T5" s="27" t="str">
        <f aca="false">IF(OR(T1="",NOT(ISNUMBER(HeadD))),"",T1-HeadD)</f>
        <v/>
      </c>
      <c r="U5" s="27" t="str">
        <f aca="false">IF(OR(U1="",NOT(ISNUMBER(HeadD))),"",U1-HeadD)</f>
        <v/>
      </c>
      <c r="V5" s="27" t="str">
        <f aca="false">IF(OR(V1="",NOT(ISNUMBER(HeadD))),"",V1-HeadD)</f>
        <v/>
      </c>
      <c r="W5" s="27" t="str">
        <f aca="false">IF(OR(W1="",NOT(ISNUMBER(HeadD))),"",W1-HeadD)</f>
        <v/>
      </c>
      <c r="X5" s="27" t="str">
        <f aca="false">IF(OR(X1="",NOT(ISNUMBER(HeadD))),"",X1-HeadD)</f>
        <v/>
      </c>
      <c r="Y5" s="27" t="str">
        <f aca="false">IF(OR(Y1="",NOT(ISNUMBER(HeadD))),"",Y1-HeadD)</f>
        <v/>
      </c>
      <c r="Z5" s="27" t="str">
        <f aca="false">IF(OR(Z1="",NOT(ISNUMBER(HeadD))),"",Z1-HeadD)</f>
        <v/>
      </c>
      <c r="AA5" s="27" t="str">
        <f aca="false">IF(OR(AA1="",NOT(ISNUMBER(HeadD))),"",AA1-HeadD)</f>
        <v/>
      </c>
      <c r="AB5" s="27" t="str">
        <f aca="false">IF(OR(AB1="",NOT(ISNUMBER(HeadD))),"",AB1-HeadD)</f>
        <v/>
      </c>
      <c r="AC5" s="27" t="str">
        <f aca="false">IF(OR(AC1="",NOT(ISNUMBER(HeadD))),"",AC1-HeadD)</f>
        <v/>
      </c>
      <c r="AD5" s="27" t="str">
        <f aca="false">IF(OR(AD1="",NOT(ISNUMBER(HeadD))),"",AD1-HeadD)</f>
        <v/>
      </c>
      <c r="AE5" s="27" t="str">
        <f aca="false">IF(OR(AE1="",NOT(ISNUMBER(HeadD))),"",AE1-HeadD)</f>
        <v/>
      </c>
      <c r="AF5" s="27" t="str">
        <f aca="false">IF(OR(AF1="",NOT(ISNUMBER(HeadD))),"",AF1-HeadD)</f>
        <v/>
      </c>
      <c r="AG5" s="27" t="str">
        <f aca="false">IF(OR(AG1="",NOT(ISNUMBER(HeadD))),"",AG1-HeadD)</f>
        <v/>
      </c>
      <c r="AH5" s="27" t="str">
        <f aca="false">IF(OR(AH1="",NOT(ISNUMBER(HeadD))),"",AH1-HeadD)</f>
        <v/>
      </c>
      <c r="AI5" s="27" t="str">
        <f aca="false">IF(OR(AI1="",NOT(ISNUMBER(HeadD))),"",AI1-HeadD)</f>
        <v/>
      </c>
      <c r="AJ5" s="27" t="str">
        <f aca="false">IF(OR(AJ1="",NOT(ISNUMBER(HeadD))),"",AJ1-HeadD)</f>
        <v/>
      </c>
      <c r="AK5" s="27" t="str">
        <f aca="false">IF(OR(AK1="",NOT(ISNUMBER(HeadD))),"",AK1-HeadD)</f>
        <v/>
      </c>
      <c r="AL5" s="27" t="str">
        <f aca="false">IF(OR(AL1="",NOT(ISNUMBER(HeadD))),"",AL1-HeadD)</f>
        <v/>
      </c>
      <c r="AM5" s="27" t="str">
        <f aca="false">IF(OR(AM1="",NOT(ISNUMBER(HeadD))),"",AM1-HeadD)</f>
        <v/>
      </c>
      <c r="AN5" s="27" t="str">
        <f aca="false">IF(OR(AN1="",NOT(ISNUMBER(HeadD))),"",AN1-HeadD)</f>
        <v/>
      </c>
      <c r="AO5" s="27" t="str">
        <f aca="false">IF(OR(AO1="",NOT(ISNUMBER(HeadD))),"",AO1-HeadD)</f>
        <v/>
      </c>
      <c r="AP5" s="27" t="str">
        <f aca="false">IF(OR(AP1="",NOT(ISNUMBER(HeadD))),"",AP1-HeadD)</f>
        <v/>
      </c>
      <c r="AQ5" s="27" t="str">
        <f aca="false">IF(OR(AQ1="",NOT(ISNUMBER(HeadD))),"",AQ1-HeadD)</f>
        <v/>
      </c>
      <c r="AR5" s="27" t="str">
        <f aca="false">IF(OR(AR1="",NOT(ISNUMBER(HeadD))),"",AR1-HeadD)</f>
        <v/>
      </c>
      <c r="AS5" s="27" t="str">
        <f aca="false">IF(OR(AS1="",NOT(ISNUMBER(HeadD))),"",AS1-HeadD)</f>
        <v/>
      </c>
      <c r="AT5" s="27" t="str">
        <f aca="false">IF(OR(AT1="",NOT(ISNUMBER(HeadD))),"",AT1-HeadD)</f>
        <v/>
      </c>
      <c r="AU5" s="27" t="str">
        <f aca="false">IF(OR(AU1="",NOT(ISNUMBER(HeadD))),"",AU1-HeadD)</f>
        <v/>
      </c>
      <c r="AV5" s="27" t="str">
        <f aca="false">IF(OR(AV1="",NOT(ISNUMBER(HeadD))),"",AV1-HeadD)</f>
        <v/>
      </c>
      <c r="AW5" s="27" t="str">
        <f aca="false">IF(OR(AW1="",NOT(ISNUMBER(HeadD))),"",AW1-HeadD)</f>
        <v/>
      </c>
      <c r="AX5" s="27" t="str">
        <f aca="false">IF(OR(AX1="",NOT(ISNUMBER(HeadD))),"",AX1-HeadD)</f>
        <v/>
      </c>
      <c r="AY5" s="27" t="str">
        <f aca="false">IF(OR(AY1="",NOT(ISNUMBER(HeadD))),"",AY1-HeadD)</f>
        <v/>
      </c>
      <c r="AZ5" s="27" t="str">
        <f aca="false">IF(OR(AZ1="",NOT(ISNUMBER(HeadD))),"",AZ1-HeadD)</f>
        <v/>
      </c>
      <c r="BA5" s="27" t="str">
        <f aca="false">IF(OR(BA1="",NOT(ISNUMBER(HeadD))),"",BA1-HeadD)</f>
        <v/>
      </c>
      <c r="BB5" s="27" t="str">
        <f aca="false">IF(OR(BB1="",NOT(ISNUMBER(HeadD))),"",BB1-HeadD)</f>
        <v/>
      </c>
      <c r="BC5" s="27" t="str">
        <f aca="false">IF(OR(BC1="",NOT(ISNUMBER(HeadD))),"",BC1-HeadD)</f>
        <v/>
      </c>
      <c r="BD5" s="27" t="str">
        <f aca="false">IF(OR(BD1="",NOT(ISNUMBER(HeadD))),"",BD1-HeadD)</f>
        <v/>
      </c>
      <c r="BE5" s="27" t="str">
        <f aca="false">IF(OR(BE1="",NOT(ISNUMBER(HeadD))),"",BE1-HeadD)</f>
        <v/>
      </c>
      <c r="BF5" s="27" t="str">
        <f aca="false">IF(OR(BF1="",NOT(ISNUMBER(HeadD))),"",BF1-HeadD)</f>
        <v/>
      </c>
      <c r="BG5" s="27" t="str">
        <f aca="false">IF(OR(BG1="",NOT(ISNUMBER(HeadD))),"",BG1-HeadD)</f>
        <v/>
      </c>
      <c r="BH5" s="27" t="str">
        <f aca="false">IF(OR(BH1="",NOT(ISNUMBER(HeadD))),"",BH1-HeadD)</f>
        <v/>
      </c>
      <c r="BI5" s="27" t="str">
        <f aca="false">IF(OR(BI1="",NOT(ISNUMBER(HeadD))),"",BI1-HeadD)</f>
        <v/>
      </c>
      <c r="BJ5" s="27" t="str">
        <f aca="false">IF(OR(BJ1="",NOT(ISNUMBER(HeadD))),"",BJ1-HeadD)</f>
        <v/>
      </c>
      <c r="BK5" s="27" t="str">
        <f aca="false">IF(OR(BK1="",NOT(ISNUMBER(HeadD))),"",BK1-HeadD)</f>
        <v/>
      </c>
      <c r="BL5" s="27" t="str">
        <f aca="false">IF(OR(BL1="",NOT(ISNUMBER(HeadD))),"",BL1-HeadD)</f>
        <v/>
      </c>
      <c r="BM5" s="27" t="str">
        <f aca="false">IF(OR(BM1="",NOT(ISNUMBER(HeadD))),"",BM1-HeadD)</f>
        <v/>
      </c>
      <c r="BN5" s="27" t="str">
        <f aca="false">IF(OR(BN1="",NOT(ISNUMBER(HeadD))),"",BN1-HeadD)</f>
        <v/>
      </c>
      <c r="BO5" s="27" t="str">
        <f aca="false">IF(OR(BO1="",NOT(ISNUMBER(HeadD))),"",BO1-HeadD)</f>
        <v/>
      </c>
      <c r="BP5" s="27" t="str">
        <f aca="false">IF(OR(BP1="",NOT(ISNUMBER(HeadD))),"",BP1-HeadD)</f>
        <v/>
      </c>
      <c r="BQ5" s="27" t="str">
        <f aca="false">IF(OR(BQ1="",NOT(ISNUMBER(HeadD))),"",BQ1-HeadD)</f>
        <v/>
      </c>
      <c r="BR5" s="27" t="str">
        <f aca="false">IF(OR(BR1="",NOT(ISNUMBER(HeadD))),"",BR1-HeadD)</f>
        <v/>
      </c>
      <c r="BS5" s="27" t="str">
        <f aca="false">IF(OR(BS1="",NOT(ISNUMBER(HeadD))),"",BS1-HeadD)</f>
        <v/>
      </c>
      <c r="BT5" s="27" t="str">
        <f aca="false">IF(OR(BT1="",NOT(ISNUMBER(HeadD))),"",BT1-HeadD)</f>
        <v/>
      </c>
      <c r="BU5" s="27" t="str">
        <f aca="false">IF(OR(BU1="",NOT(ISNUMBER(HeadD))),"",BU1-HeadD)</f>
        <v/>
      </c>
      <c r="BV5" s="27" t="str">
        <f aca="false">IF(OR(BV1="",NOT(ISNUMBER(HeadD))),"",BV1-HeadD)</f>
        <v/>
      </c>
      <c r="BW5" s="27" t="str">
        <f aca="false">IF(OR(BW1="",NOT(ISNUMBER(HeadD))),"",BW1-HeadD)</f>
        <v/>
      </c>
      <c r="BX5" s="27" t="str">
        <f aca="false">IF(OR(BX1="",NOT(ISNUMBER(HeadD))),"",BX1-HeadD)</f>
        <v/>
      </c>
      <c r="BY5" s="27" t="str">
        <f aca="false">IF(OR(BY1="",NOT(ISNUMBER(HeadD))),"",BY1-HeadD)</f>
        <v/>
      </c>
      <c r="BZ5" s="27" t="str">
        <f aca="false">IF(OR(BZ1="",NOT(ISNUMBER(HeadD))),"",BZ1-HeadD)</f>
        <v/>
      </c>
      <c r="CA5" s="27" t="str">
        <f aca="false">IF(OR(CA1="",NOT(ISNUMBER(HeadD))),"",CA1-HeadD)</f>
        <v/>
      </c>
      <c r="CB5" s="27" t="str">
        <f aca="false">IF(OR(CB1="",NOT(ISNUMBER(HeadD))),"",CB1-HeadD)</f>
        <v/>
      </c>
      <c r="CC5" s="27" t="str">
        <f aca="false">IF(OR(CC1="",NOT(ISNUMBER(HeadD))),"",CC1-HeadD)</f>
        <v/>
      </c>
      <c r="CD5" s="27" t="str">
        <f aca="false">IF(OR(CD1="",NOT(ISNUMBER(HeadD))),"",CD1-HeadD)</f>
        <v/>
      </c>
      <c r="CE5" s="27" t="str">
        <f aca="false">IF(OR(CE1="",NOT(ISNUMBER(HeadD))),"",CE1-HeadD)</f>
        <v/>
      </c>
      <c r="CF5" s="27" t="str">
        <f aca="false">IF(OR(CF1="",NOT(ISNUMBER(HeadD))),"",CF1-HeadD)</f>
        <v/>
      </c>
      <c r="CG5" s="27" t="str">
        <f aca="false">IF(OR(CG1="",NOT(ISNUMBER(HeadD))),"",CG1-HeadD)</f>
        <v/>
      </c>
      <c r="CH5" s="27" t="str">
        <f aca="false">IF(OR(CH1="",NOT(ISNUMBER(HeadD))),"",CH1-HeadD)</f>
        <v/>
      </c>
      <c r="CI5" s="27" t="str">
        <f aca="false">IF(OR(CI1="",NOT(ISNUMBER(HeadD))),"",CI1-HeadD)</f>
        <v/>
      </c>
      <c r="CJ5" s="27" t="str">
        <f aca="false">IF(OR(CJ1="",NOT(ISNUMBER(HeadD))),"",CJ1-HeadD)</f>
        <v/>
      </c>
      <c r="CK5" s="27" t="str">
        <f aca="false">IF(OR(CK1="",NOT(ISNUMBER(HeadD))),"",CK1-HeadD)</f>
        <v/>
      </c>
      <c r="CL5" s="27" t="str">
        <f aca="false">IF(OR(CL1="",NOT(ISNUMBER(HeadD))),"",CL1-HeadD)</f>
        <v/>
      </c>
      <c r="CM5" s="27" t="str">
        <f aca="false">IF(OR(CM1="",NOT(ISNUMBER(HeadD))),"",CM1-HeadD)</f>
        <v/>
      </c>
      <c r="CN5" s="27" t="str">
        <f aca="false">IF(OR(CN1="",NOT(ISNUMBER(HeadD))),"",CN1-HeadD)</f>
        <v/>
      </c>
      <c r="CO5" s="27" t="str">
        <f aca="false">IF(OR(CO1="",NOT(ISNUMBER(HeadD))),"",CO1-HeadD)</f>
        <v/>
      </c>
      <c r="CP5" s="27" t="str">
        <f aca="false">IF(OR(CP1="",NOT(ISNUMBER(HeadD))),"",CP1-HeadD)</f>
        <v/>
      </c>
      <c r="CQ5" s="27" t="str">
        <f aca="false">IF(OR(CQ1="",NOT(ISNUMBER(HeadD))),"",CQ1-HeadD)</f>
        <v/>
      </c>
      <c r="CR5" s="27" t="str">
        <f aca="false">IF(OR(CR1="",NOT(ISNUMBER(HeadD))),"",CR1-HeadD)</f>
        <v/>
      </c>
      <c r="CS5" s="27" t="str">
        <f aca="false">IF(OR(CS1="",NOT(ISNUMBER(HeadD))),"",CS1-HeadD)</f>
        <v/>
      </c>
      <c r="CT5" s="27" t="str">
        <f aca="false">IF(OR(CT1="",NOT(ISNUMBER(HeadD))),"",CT1-HeadD)</f>
        <v/>
      </c>
      <c r="CU5" s="27" t="str">
        <f aca="false">IF(OR(CU1="",NOT(ISNUMBER(HeadD))),"",CU1-HeadD)</f>
        <v/>
      </c>
      <c r="CV5" s="27" t="str">
        <f aca="false">IF(OR(CV1="",NOT(ISNUMBER(HeadD))),"",CV1-HeadD)</f>
        <v/>
      </c>
      <c r="CW5" s="27" t="str">
        <f aca="false">IF(OR(CW1="",NOT(ISNUMBER(HeadD))),"",CW1-HeadD)</f>
        <v/>
      </c>
      <c r="CX5" s="27" t="str">
        <f aca="false">IF(OR(CX1="",NOT(ISNUMBER(HeadD))),"",CX1-HeadD)</f>
        <v/>
      </c>
      <c r="CY5" s="27" t="str">
        <f aca="false">IF(OR(CY1="",NOT(ISNUMBER(HeadD))),"",CY1-HeadD)</f>
        <v/>
      </c>
      <c r="CZ5" s="27" t="str">
        <f aca="false">IF(OR(CZ1="",NOT(ISNUMBER(HeadD))),"",CZ1-HeadD)</f>
        <v/>
      </c>
      <c r="DA5" s="27" t="str">
        <f aca="false">IF(OR(DA1="",NOT(ISNUMBER(HeadD))),"",DA1-HeadD)</f>
        <v/>
      </c>
      <c r="DB5" s="27" t="str">
        <f aca="false">IF(OR(DB1="",NOT(ISNUMBER(HeadD))),"",DB1-HeadD)</f>
        <v/>
      </c>
      <c r="DC5" s="27" t="str">
        <f aca="false">IF(OR(DC1="",NOT(ISNUMBER(HeadD))),"",DC1-HeadD)</f>
        <v/>
      </c>
      <c r="DD5" s="27" t="str">
        <f aca="false">IF(OR(DD1="",NOT(ISNUMBER(HeadD))),"",DD1-HeadD)</f>
        <v/>
      </c>
      <c r="DE5" s="27" t="str">
        <f aca="false">IF(OR(DE1="",NOT(ISNUMBER(HeadD))),"",DE1-HeadD)</f>
        <v/>
      </c>
      <c r="DF5" s="27" t="str">
        <f aca="false">IF(OR(DF1="",NOT(ISNUMBER(HeadD))),"",DF1-HeadD)</f>
        <v/>
      </c>
      <c r="DG5" s="27" t="str">
        <f aca="false">IF(OR(DG1="",NOT(ISNUMBER(HeadD))),"",DG1-HeadD)</f>
        <v/>
      </c>
      <c r="DH5" s="27" t="str">
        <f aca="false">IF(OR(DH1="",NOT(ISNUMBER(HeadD))),"",DH1-HeadD)</f>
        <v/>
      </c>
      <c r="DI5" s="27" t="str">
        <f aca="false">IF(OR(DI1="",NOT(ISNUMBER(HeadD))),"",DI1-HeadD)</f>
        <v/>
      </c>
      <c r="DJ5" s="27" t="str">
        <f aca="false">IF(OR(DJ1="",NOT(ISNUMBER(HeadD))),"",DJ1-HeadD)</f>
        <v/>
      </c>
      <c r="DK5" s="27" t="str">
        <f aca="false">IF(OR(DK1="",NOT(ISNUMBER(HeadD))),"",DK1-HeadD)</f>
        <v/>
      </c>
      <c r="DL5" s="27" t="str">
        <f aca="false">IF(OR(DL1="",NOT(ISNUMBER(HeadD))),"",DL1-HeadD)</f>
        <v/>
      </c>
      <c r="DM5" s="27" t="str">
        <f aca="false">IF(OR(DM1="",NOT(ISNUMBER(HeadD))),"",DM1-HeadD)</f>
        <v/>
      </c>
      <c r="DN5" s="27" t="str">
        <f aca="false">IF(OR(DN1="",NOT(ISNUMBER(HeadD))),"",DN1-HeadD)</f>
        <v/>
      </c>
      <c r="DO5" s="27" t="str">
        <f aca="false">IF(OR(DO1="",NOT(ISNUMBER(HeadD))),"",DO1-HeadD)</f>
        <v/>
      </c>
      <c r="DP5" s="27" t="str">
        <f aca="false">IF(OR(DP1="",NOT(ISNUMBER(HeadD))),"",DP1-HeadD)</f>
        <v/>
      </c>
      <c r="DQ5" s="27" t="str">
        <f aca="false">IF(OR(DQ1="",NOT(ISNUMBER(HeadD))),"",DQ1-HeadD)</f>
        <v/>
      </c>
      <c r="DR5" s="27" t="str">
        <f aca="false">IF(OR(DR1="",NOT(ISNUMBER(HeadD))),"",DR1-HeadD)</f>
        <v/>
      </c>
      <c r="DS5" s="27" t="str">
        <f aca="false">IF(OR(DS1="",NOT(ISNUMBER(HeadD))),"",DS1-HeadD)</f>
        <v/>
      </c>
      <c r="DT5" s="27" t="str">
        <f aca="false">IF(OR(DT1="",NOT(ISNUMBER(HeadD))),"",DT1-HeadD)</f>
        <v/>
      </c>
      <c r="DU5" s="27" t="str">
        <f aca="false">IF(OR(DU1="",NOT(ISNUMBER(HeadD))),"",DU1-HeadD)</f>
        <v/>
      </c>
      <c r="DV5" s="27" t="str">
        <f aca="false">IF(OR(DV1="",NOT(ISNUMBER(HeadD))),"",DV1-HeadD)</f>
        <v/>
      </c>
      <c r="DW5" s="27" t="str">
        <f aca="false">IF(OR(DW1="",NOT(ISNUMBER(HeadD))),"",DW1-HeadD)</f>
        <v/>
      </c>
      <c r="DX5" s="27" t="str">
        <f aca="false">IF(OR(DX1="",NOT(ISNUMBER(HeadD))),"",DX1-HeadD)</f>
        <v/>
      </c>
      <c r="DY5" s="27" t="str">
        <f aca="false">IF(OR(DY1="",NOT(ISNUMBER(HeadD))),"",DY1-HeadD)</f>
        <v/>
      </c>
      <c r="DZ5" s="27" t="str">
        <f aca="false">IF(OR(DZ1="",NOT(ISNUMBER(HeadD))),"",DZ1-HeadD)</f>
        <v/>
      </c>
      <c r="EA5" s="27" t="str">
        <f aca="false">IF(OR(EA1="",NOT(ISNUMBER(HeadD))),"",EA1-HeadD)</f>
        <v/>
      </c>
      <c r="EB5" s="27" t="str">
        <f aca="false">IF(OR(EB1="",NOT(ISNUMBER(HeadD))),"",EB1-HeadD)</f>
        <v/>
      </c>
      <c r="EC5" s="27" t="str">
        <f aca="false">IF(OR(EC1="",NOT(ISNUMBER(HeadD))),"",EC1-HeadD)</f>
        <v/>
      </c>
      <c r="ED5" s="27" t="str">
        <f aca="false">IF(OR(ED1="",NOT(ISNUMBER(HeadD))),"",ED1-HeadD)</f>
        <v/>
      </c>
      <c r="EE5" s="27" t="str">
        <f aca="false">IF(OR(EE1="",NOT(ISNUMBER(HeadD))),"",EE1-HeadD)</f>
        <v/>
      </c>
      <c r="EF5" s="27" t="str">
        <f aca="false">IF(OR(EF1="",NOT(ISNUMBER(HeadD))),"",EF1-HeadD)</f>
        <v/>
      </c>
      <c r="EG5" s="27" t="str">
        <f aca="false">IF(OR(EG1="",NOT(ISNUMBER(HeadD))),"",EG1-HeadD)</f>
        <v/>
      </c>
      <c r="EH5" s="27" t="str">
        <f aca="false">IF(OR(EH1="",NOT(ISNUMBER(HeadD))),"",EH1-HeadD)</f>
        <v/>
      </c>
      <c r="EI5" s="27" t="str">
        <f aca="false">IF(OR(EI1="",NOT(ISNUMBER(HeadD))),"",EI1-HeadD)</f>
        <v/>
      </c>
      <c r="EJ5" s="27" t="str">
        <f aca="false">IF(OR(EJ1="",NOT(ISNUMBER(HeadD))),"",EJ1-HeadD)</f>
        <v/>
      </c>
      <c r="EK5" s="27" t="str">
        <f aca="false">IF(OR(EK1="",NOT(ISNUMBER(HeadD))),"",EK1-HeadD)</f>
        <v/>
      </c>
      <c r="EL5" s="27" t="str">
        <f aca="false">IF(OR(EL1="",NOT(ISNUMBER(HeadD))),"",EL1-HeadD)</f>
        <v/>
      </c>
      <c r="EM5" s="27" t="str">
        <f aca="false">IF(OR(EM1="",NOT(ISNUMBER(HeadD))),"",EM1-HeadD)</f>
        <v/>
      </c>
      <c r="EN5" s="27" t="str">
        <f aca="false">IF(OR(EN1="",NOT(ISNUMBER(HeadD))),"",EN1-HeadD)</f>
        <v/>
      </c>
      <c r="EO5" s="27" t="str">
        <f aca="false">IF(OR(EO1="",NOT(ISNUMBER(HeadD))),"",EO1-HeadD)</f>
        <v/>
      </c>
      <c r="EP5" s="27" t="str">
        <f aca="false">IF(OR(EP1="",NOT(ISNUMBER(HeadD))),"",EP1-HeadD)</f>
        <v/>
      </c>
      <c r="EQ5" s="27" t="str">
        <f aca="false">IF(OR(EQ1="",NOT(ISNUMBER(HeadD))),"",EQ1-HeadD)</f>
        <v/>
      </c>
      <c r="ER5" s="27" t="str">
        <f aca="false">IF(OR(ER1="",NOT(ISNUMBER(HeadD))),"",ER1-HeadD)</f>
        <v/>
      </c>
      <c r="ES5" s="27" t="str">
        <f aca="false">IF(OR(ES1="",NOT(ISNUMBER(HeadD))),"",ES1-HeadD)</f>
        <v/>
      </c>
      <c r="ET5" s="27" t="str">
        <f aca="false">IF(OR(ET1="",NOT(ISNUMBER(HeadD))),"",ET1-HeadD)</f>
        <v/>
      </c>
      <c r="EU5" s="27" t="str">
        <f aca="false">IF(OR(EU1="",NOT(ISNUMBER(HeadD))),"",EU1-HeadD)</f>
        <v/>
      </c>
      <c r="EV5" s="27" t="str">
        <f aca="false">IF(OR(EV1="",NOT(ISNUMBER(HeadD))),"",EV1-HeadD)</f>
        <v/>
      </c>
      <c r="EW5" s="27" t="str">
        <f aca="false">IF(OR(EW1="",NOT(ISNUMBER(HeadD))),"",EW1-HeadD)</f>
        <v/>
      </c>
      <c r="EX5" s="27" t="str">
        <f aca="false">IF(OR(EX1="",NOT(ISNUMBER(HeadD))),"",EX1-HeadD)</f>
        <v/>
      </c>
      <c r="EY5" s="27" t="str">
        <f aca="false">IF(OR(EY1="",NOT(ISNUMBER(HeadD))),"",EY1-HeadD)</f>
        <v/>
      </c>
      <c r="EZ5" s="27" t="str">
        <f aca="false">IF(OR(EZ1="",NOT(ISNUMBER(HeadD))),"",EZ1-HeadD)</f>
        <v/>
      </c>
      <c r="FA5" s="27" t="str">
        <f aca="false">IF(OR(FA1="",NOT(ISNUMBER(HeadD))),"",FA1-HeadD)</f>
        <v/>
      </c>
      <c r="FB5" s="27" t="str">
        <f aca="false">IF(OR(FB1="",NOT(ISNUMBER(HeadD))),"",FB1-HeadD)</f>
        <v/>
      </c>
      <c r="FC5" s="27" t="str">
        <f aca="false">IF(OR(FC1="",NOT(ISNUMBER(HeadD))),"",FC1-HeadD)</f>
        <v/>
      </c>
      <c r="FD5" s="27" t="str">
        <f aca="false">IF(OR(FD1="",NOT(ISNUMBER(HeadD))),"",FD1-HeadD)</f>
        <v/>
      </c>
      <c r="FE5" s="27" t="str">
        <f aca="false">IF(OR(FE1="",NOT(ISNUMBER(HeadD))),"",FE1-HeadD)</f>
        <v/>
      </c>
      <c r="FF5" s="27" t="str">
        <f aca="false">IF(OR(FF1="",NOT(ISNUMBER(HeadD))),"",FF1-HeadD)</f>
        <v/>
      </c>
      <c r="FG5" s="27" t="str">
        <f aca="false">IF(OR(FG1="",NOT(ISNUMBER(HeadD))),"",FG1-HeadD)</f>
        <v/>
      </c>
      <c r="FH5" s="27" t="str">
        <f aca="false">IF(OR(FH1="",NOT(ISNUMBER(HeadD))),"",FH1-HeadD)</f>
        <v/>
      </c>
      <c r="FI5" s="27" t="str">
        <f aca="false">IF(OR(FI1="",NOT(ISNUMBER(HeadD))),"",FI1-HeadD)</f>
        <v/>
      </c>
      <c r="FJ5" s="27" t="str">
        <f aca="false">IF(OR(FJ1="",NOT(ISNUMBER(HeadD))),"",FJ1-HeadD)</f>
        <v/>
      </c>
      <c r="FK5" s="27" t="str">
        <f aca="false">IF(OR(FK1="",NOT(ISNUMBER(HeadD))),"",FK1-HeadD)</f>
        <v/>
      </c>
      <c r="FL5" s="27" t="str">
        <f aca="false">IF(OR(FL1="",NOT(ISNUMBER(HeadD))),"",FL1-HeadD)</f>
        <v/>
      </c>
      <c r="FM5" s="27" t="str">
        <f aca="false">IF(OR(FM1="",NOT(ISNUMBER(HeadD))),"",FM1-HeadD)</f>
        <v/>
      </c>
      <c r="FN5" s="27" t="str">
        <f aca="false">IF(OR(FN1="",NOT(ISNUMBER(HeadD))),"",FN1-HeadD)</f>
        <v/>
      </c>
      <c r="FO5" s="27" t="str">
        <f aca="false">IF(OR(FO1="",NOT(ISNUMBER(HeadD))),"",FO1-HeadD)</f>
        <v/>
      </c>
      <c r="FP5" s="27" t="str">
        <f aca="false">IF(OR(FP1="",NOT(ISNUMBER(HeadD))),"",FP1-HeadD)</f>
        <v/>
      </c>
      <c r="FQ5" s="27" t="str">
        <f aca="false">IF(OR(FQ1="",NOT(ISNUMBER(HeadD))),"",FQ1-HeadD)</f>
        <v/>
      </c>
    </row>
    <row r="6" customFormat="false" ht="15" hidden="false" customHeight="false" outlineLevel="0" collapsed="false">
      <c r="B6" s="48" t="s">
        <v>371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/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/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/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/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/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/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/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/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/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/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/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/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/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/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/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/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/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/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/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/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/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/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/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/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/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/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/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/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/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/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/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/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/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/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/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/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/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/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/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/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/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/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/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/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/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/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/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/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/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/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/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/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/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/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/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/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/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/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38" t="s">
        <v>372</v>
      </c>
      <c r="B7" s="38" t="s">
        <v>373</v>
      </c>
    </row>
    <row r="8" customFormat="false" ht="15" hidden="false" customHeight="false" outlineLevel="0" collapsed="false">
      <c r="A8" s="37" t="s">
        <v>372</v>
      </c>
      <c r="B8" s="38" t="s">
        <v>374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37" t="s">
        <v>372</v>
      </c>
      <c r="B9" s="38" t="s">
        <v>375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372</v>
      </c>
      <c r="B10" s="38" t="s">
        <v>376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297</v>
      </c>
      <c r="B11" s="17" t="s">
        <v>377</v>
      </c>
    </row>
    <row r="12" customFormat="false" ht="15" hidden="false" customHeight="false" outlineLevel="0" collapsed="false">
      <c r="A12" s="31" t="s">
        <v>297</v>
      </c>
      <c r="B12" s="17" t="s">
        <v>378</v>
      </c>
      <c r="C12" s="27" t="str">
        <f aca="false">COUNT($D$12:$FQ$12)&amp;" দিন"</f>
        <v>0 দিন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1" t="s">
        <v>297</v>
      </c>
      <c r="B13" s="17" t="s">
        <v>379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297</v>
      </c>
      <c r="B14" s="17" t="s">
        <v>380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1" t="s">
        <v>297</v>
      </c>
      <c r="B15" s="17" t="s">
        <v>381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1" t="s">
        <v>297</v>
      </c>
      <c r="B16" s="17" t="s">
        <v>382</v>
      </c>
      <c r="C16" s="27" t="str">
        <f aca="false">COUNT($D$21:$FQ$21)&amp;" বার সেচ"</f>
        <v>0 বার সেচ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297</v>
      </c>
      <c r="B17" s="17" t="s">
        <v>383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297</v>
      </c>
      <c r="B18" s="17" t="s">
        <v>384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297</v>
      </c>
      <c r="B19" s="17" t="s">
        <v>385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297</v>
      </c>
      <c r="B20" s="17" t="s">
        <v>386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297</v>
      </c>
      <c r="B21" s="17" t="s">
        <v>387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297</v>
      </c>
      <c r="B22" s="17" t="s">
        <v>388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1" t="s">
        <v>297</v>
      </c>
      <c r="B23" s="17" t="s">
        <v>389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297</v>
      </c>
      <c r="B24" s="17" t="s">
        <v>390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297</v>
      </c>
      <c r="B25" s="17" t="s">
        <v>391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297</v>
      </c>
      <c r="B26" s="17" t="s">
        <v>392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297</v>
      </c>
      <c r="B27" s="17" t="s">
        <v>393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297</v>
      </c>
      <c r="B28" s="17" t="s">
        <v>394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297</v>
      </c>
      <c r="B29" s="17" t="s">
        <v>395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297</v>
      </c>
      <c r="B30" s="17" t="s">
        <v>396</v>
      </c>
      <c r="D30" s="36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6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6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6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6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6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6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6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6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6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6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6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6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6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6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6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6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6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6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6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6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6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6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6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6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6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6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6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6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6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6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6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6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6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6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6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6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6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6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6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6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6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6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6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6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6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6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6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6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6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6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6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6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6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6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6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6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6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6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6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6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6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6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6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6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6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6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6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6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6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6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6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6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6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6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6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6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6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6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6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6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6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6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6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6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6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6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6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6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6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6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6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6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/>
      </c>
      <c r="CS30" s="36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6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6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6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6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6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6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6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6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6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6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6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6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6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6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6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6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6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6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6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6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6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6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6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6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6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6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6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6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6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6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6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6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6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6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6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6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6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6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6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6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6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6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6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6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6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6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6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6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6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6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6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6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/>
      </c>
      <c r="ET30" s="36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/>
      </c>
      <c r="EU30" s="36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6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6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6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6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6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6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6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6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6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6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6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6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6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6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6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6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6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6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6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6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6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6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1" t="s">
        <v>297</v>
      </c>
      <c r="B31" s="58" t="s">
        <v>397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1" t="s">
        <v>297</v>
      </c>
      <c r="B32" s="58" t="s">
        <v>398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str">
        <f aca="false">IF(BD13="","",IF(ISNUMBER(BD20),BD20,BD13))</f>
        <v/>
      </c>
      <c r="BE32" s="27" t="str">
        <f aca="false">IF(BE13="","",IF(ISNUMBER(BE20),BE20,BE13))</f>
        <v/>
      </c>
      <c r="BF32" s="27" t="str">
        <f aca="false">IF(BF13="","",IF(ISNUMBER(BF20),BF20,BF13))</f>
        <v/>
      </c>
      <c r="BG32" s="27" t="str">
        <f aca="false">IF(BG13="","",IF(ISNUMBER(BG20),BG20,BG13))</f>
        <v/>
      </c>
      <c r="BH32" s="27" t="str">
        <f aca="false">IF(BH13="","",IF(ISNUMBER(BH20),BH20,BH13))</f>
        <v/>
      </c>
      <c r="BI32" s="27" t="str">
        <f aca="false">IF(BI13="","",IF(ISNUMBER(BI20),BI20,BI13))</f>
        <v/>
      </c>
      <c r="BJ32" s="27" t="str">
        <f aca="false">IF(BJ13="","",IF(ISNUMBER(BJ20),BJ20,BJ13))</f>
        <v/>
      </c>
      <c r="BK32" s="27" t="str">
        <f aca="false">IF(BK13="","",IF(ISNUMBER(BK20),BK20,BK13))</f>
        <v/>
      </c>
      <c r="BL32" s="27" t="str">
        <f aca="false">IF(BL13="","",IF(ISNUMBER(BL20),BL20,BL13))</f>
        <v/>
      </c>
      <c r="BM32" s="27" t="str">
        <f aca="false">IF(BM13="","",IF(ISNUMBER(BM20),BM20,BM13))</f>
        <v/>
      </c>
      <c r="BN32" s="27" t="str">
        <f aca="false">IF(BN13="","",IF(ISNUMBER(BN20),BN20,BN13))</f>
        <v/>
      </c>
      <c r="BO32" s="27" t="str">
        <f aca="false">IF(BO13="","",IF(ISNUMBER(BO20),BO20,BO13))</f>
        <v/>
      </c>
      <c r="BP32" s="27" t="str">
        <f aca="false">IF(BP13="","",IF(ISNUMBER(BP20),BP20,BP13))</f>
        <v/>
      </c>
      <c r="BQ32" s="27" t="str">
        <f aca="false">IF(BQ13="","",IF(ISNUMBER(BQ20),BQ20,BQ13))</f>
        <v/>
      </c>
      <c r="BR32" s="27" t="str">
        <f aca="false">IF(BR13="","",IF(ISNUMBER(BR20),BR20,BR13))</f>
        <v/>
      </c>
      <c r="BS32" s="27" t="str">
        <f aca="false">IF(BS13="","",IF(ISNUMBER(BS20),BS20,BS13))</f>
        <v/>
      </c>
      <c r="BT32" s="27" t="str">
        <f aca="false">IF(BT13="","",IF(ISNUMBER(BT20),BT20,BT13))</f>
        <v/>
      </c>
      <c r="BU32" s="27" t="str">
        <f aca="false">IF(BU13="","",IF(ISNUMBER(BU20),BU20,BU13))</f>
        <v/>
      </c>
      <c r="BV32" s="27" t="str">
        <f aca="false">IF(BV13="","",IF(ISNUMBER(BV20),BV20,BV13))</f>
        <v/>
      </c>
      <c r="BW32" s="27" t="str">
        <f aca="false">IF(BW13="","",IF(ISNUMBER(BW20),BW20,BW13))</f>
        <v/>
      </c>
      <c r="BX32" s="27" t="str">
        <f aca="false">IF(BX13="","",IF(ISNUMBER(BX20),BX20,BX13))</f>
        <v/>
      </c>
      <c r="BY32" s="27" t="str">
        <f aca="false">IF(BY13="","",IF(ISNUMBER(BY20),BY20,BY13))</f>
        <v/>
      </c>
      <c r="BZ32" s="27" t="str">
        <f aca="false">IF(BZ13="","",IF(ISNUMBER(BZ20),BZ20,BZ13))</f>
        <v/>
      </c>
      <c r="CA32" s="27" t="str">
        <f aca="false">IF(CA13="","",IF(ISNUMBER(CA20),CA20,CA13))</f>
        <v/>
      </c>
      <c r="CB32" s="27" t="str">
        <f aca="false">IF(CB13="","",IF(ISNUMBER(CB20),CB20,CB13))</f>
        <v/>
      </c>
      <c r="CC32" s="27" t="str">
        <f aca="false">IF(CC13="","",IF(ISNUMBER(CC20),CC20,CC13))</f>
        <v/>
      </c>
      <c r="CD32" s="27" t="str">
        <f aca="false">IF(CD13="","",IF(ISNUMBER(CD20),CD20,CD13))</f>
        <v/>
      </c>
      <c r="CE32" s="27" t="str">
        <f aca="false">IF(CE13="","",IF(ISNUMBER(CE20),CE20,CE13))</f>
        <v/>
      </c>
      <c r="CF32" s="27" t="str">
        <f aca="false">IF(CF13="","",IF(ISNUMBER(CF20),CF20,CF13))</f>
        <v/>
      </c>
      <c r="CG32" s="27" t="str">
        <f aca="false">IF(CG13="","",IF(ISNUMBER(CG20),CG20,CG13))</f>
        <v/>
      </c>
      <c r="CH32" s="27" t="str">
        <f aca="false">IF(CH13="","",IF(ISNUMBER(CH20),CH20,CH13))</f>
        <v/>
      </c>
      <c r="CI32" s="27" t="str">
        <f aca="false">IF(CI13="","",IF(ISNUMBER(CI20),CI20,CI13))</f>
        <v/>
      </c>
      <c r="CJ32" s="27" t="str">
        <f aca="false">IF(CJ13="","",IF(ISNUMBER(CJ20),CJ20,CJ13))</f>
        <v/>
      </c>
      <c r="CK32" s="27" t="str">
        <f aca="false">IF(CK13="","",IF(ISNUMBER(CK20),CK20,CK13))</f>
        <v/>
      </c>
      <c r="CL32" s="27" t="str">
        <f aca="false">IF(CL13="","",IF(ISNUMBER(CL20),CL20,CL13))</f>
        <v/>
      </c>
      <c r="CM32" s="27" t="str">
        <f aca="false">IF(CM13="","",IF(ISNUMBER(CM20),CM20,CM13))</f>
        <v/>
      </c>
      <c r="CN32" s="27" t="str">
        <f aca="false">IF(CN13="","",IF(ISNUMBER(CN20),CN20,CN13))</f>
        <v/>
      </c>
      <c r="CO32" s="27" t="str">
        <f aca="false">IF(CO13="","",IF(ISNUMBER(CO20),CO20,CO13))</f>
        <v/>
      </c>
      <c r="CP32" s="27" t="str">
        <f aca="false">IF(CP13="","",IF(ISNUMBER(CP20),CP20,CP13))</f>
        <v/>
      </c>
      <c r="CQ32" s="27" t="str">
        <f aca="false">IF(CQ13="","",IF(ISNUMBER(CQ20),CQ20,CQ13))</f>
        <v/>
      </c>
      <c r="CR32" s="27" t="str">
        <f aca="false">IF(CR13="","",IF(ISNUMBER(CR20),CR20,CR13))</f>
        <v/>
      </c>
      <c r="CS32" s="27" t="str">
        <f aca="false">IF(CS13="","",IF(ISNUMBER(CS20),CS20,CS13))</f>
        <v/>
      </c>
      <c r="CT32" s="27" t="str">
        <f aca="false">IF(CT13="","",IF(ISNUMBER(CT20),CT20,CT13))</f>
        <v/>
      </c>
      <c r="CU32" s="27" t="str">
        <f aca="false">IF(CU13="","",IF(ISNUMBER(CU20),CU20,CU13))</f>
        <v/>
      </c>
      <c r="CV32" s="27" t="str">
        <f aca="false">IF(CV13="","",IF(ISNUMBER(CV20),CV20,CV13))</f>
        <v/>
      </c>
      <c r="CW32" s="27" t="str">
        <f aca="false">IF(CW13="","",IF(ISNUMBER(CW20),CW20,CW13))</f>
        <v/>
      </c>
      <c r="CX32" s="27" t="str">
        <f aca="false">IF(CX13="","",IF(ISNUMBER(CX20),CX20,CX13))</f>
        <v/>
      </c>
      <c r="CY32" s="27" t="str">
        <f aca="false">IF(CY13="","",IF(ISNUMBER(CY20),CY20,CY13))</f>
        <v/>
      </c>
      <c r="CZ32" s="27" t="str">
        <f aca="false">IF(CZ13="","",IF(ISNUMBER(CZ20),CZ20,CZ13))</f>
        <v/>
      </c>
      <c r="DA32" s="27" t="str">
        <f aca="false">IF(DA13="","",IF(ISNUMBER(DA20),DA20,DA13))</f>
        <v/>
      </c>
      <c r="DB32" s="27" t="str">
        <f aca="false">IF(DB13="","",IF(ISNUMBER(DB20),DB20,DB13))</f>
        <v/>
      </c>
      <c r="DC32" s="27" t="str">
        <f aca="false">IF(DC13="","",IF(ISNUMBER(DC20),DC20,DC13))</f>
        <v/>
      </c>
      <c r="DD32" s="27" t="str">
        <f aca="false">IF(DD13="","",IF(ISNUMBER(DD20),DD20,DD13))</f>
        <v/>
      </c>
      <c r="DE32" s="27" t="str">
        <f aca="false">IF(DE13="","",IF(ISNUMBER(DE20),DE20,DE13))</f>
        <v/>
      </c>
      <c r="DF32" s="27" t="str">
        <f aca="false">IF(DF13="","",IF(ISNUMBER(DF20),DF20,DF13))</f>
        <v/>
      </c>
      <c r="DG32" s="27" t="str">
        <f aca="false">IF(DG13="","",IF(ISNUMBER(DG20),DG20,DG13))</f>
        <v/>
      </c>
      <c r="DH32" s="27" t="str">
        <f aca="false">IF(DH13="","",IF(ISNUMBER(DH20),DH20,DH13))</f>
        <v/>
      </c>
      <c r="DI32" s="27" t="str">
        <f aca="false">IF(DI13="","",IF(ISNUMBER(DI20),DI20,DI13))</f>
        <v/>
      </c>
      <c r="DJ32" s="27" t="str">
        <f aca="false">IF(DJ13="","",IF(ISNUMBER(DJ20),DJ20,DJ13))</f>
        <v/>
      </c>
      <c r="DK32" s="27" t="str">
        <f aca="false">IF(DK13="","",IF(ISNUMBER(DK20),DK20,DK13))</f>
        <v/>
      </c>
      <c r="DL32" s="27" t="str">
        <f aca="false">IF(DL13="","",IF(ISNUMBER(DL20),DL20,DL13))</f>
        <v/>
      </c>
      <c r="DM32" s="27" t="str">
        <f aca="false">IF(DM13="","",IF(ISNUMBER(DM20),DM20,DM13))</f>
        <v/>
      </c>
      <c r="DN32" s="27" t="str">
        <f aca="false">IF(DN13="","",IF(ISNUMBER(DN20),DN20,DN13))</f>
        <v/>
      </c>
      <c r="DO32" s="27" t="str">
        <f aca="false">IF(DO13="","",IF(ISNUMBER(DO20),DO20,DO13))</f>
        <v/>
      </c>
      <c r="DP32" s="27" t="str">
        <f aca="false">IF(DP13="","",IF(ISNUMBER(DP20),DP20,DP13))</f>
        <v/>
      </c>
      <c r="DQ32" s="27" t="str">
        <f aca="false">IF(DQ13="","",IF(ISNUMBER(DQ20),DQ20,DQ13))</f>
        <v/>
      </c>
      <c r="DR32" s="27" t="str">
        <f aca="false">IF(DR13="","",IF(ISNUMBER(DR20),DR20,DR13))</f>
        <v/>
      </c>
      <c r="DS32" s="27" t="str">
        <f aca="false">IF(DS13="","",IF(ISNUMBER(DS20),DS20,DS13))</f>
        <v/>
      </c>
      <c r="DT32" s="27" t="str">
        <f aca="false">IF(DT13="","",IF(ISNUMBER(DT20),DT20,DT13))</f>
        <v/>
      </c>
      <c r="DU32" s="27" t="str">
        <f aca="false">IF(DU13="","",IF(ISNUMBER(DU20),DU20,DU13))</f>
        <v/>
      </c>
      <c r="DV32" s="27" t="str">
        <f aca="false">IF(DV13="","",IF(ISNUMBER(DV20),DV20,DV13))</f>
        <v/>
      </c>
      <c r="DW32" s="27" t="str">
        <f aca="false">IF(DW13="","",IF(ISNUMBER(DW20),DW20,DW13))</f>
        <v/>
      </c>
      <c r="DX32" s="27" t="str">
        <f aca="false">IF(DX13="","",IF(ISNUMBER(DX20),DX20,DX13))</f>
        <v/>
      </c>
      <c r="DY32" s="27" t="str">
        <f aca="false">IF(DY13="","",IF(ISNUMBER(DY20),DY20,DY13))</f>
        <v/>
      </c>
      <c r="DZ32" s="27" t="str">
        <f aca="false">IF(DZ13="","",IF(ISNUMBER(DZ20),DZ20,DZ13))</f>
        <v/>
      </c>
      <c r="EA32" s="27" t="str">
        <f aca="false">IF(EA13="","",IF(ISNUMBER(EA20),EA20,EA13))</f>
        <v/>
      </c>
      <c r="EB32" s="27" t="str">
        <f aca="false">IF(EB13="","",IF(ISNUMBER(EB20),EB20,EB13))</f>
        <v/>
      </c>
      <c r="EC32" s="27" t="str">
        <f aca="false">IF(EC13="","",IF(ISNUMBER(EC20),EC20,EC13))</f>
        <v/>
      </c>
      <c r="ED32" s="27" t="str">
        <f aca="false">IF(ED13="","",IF(ISNUMBER(ED20),ED20,ED13))</f>
        <v/>
      </c>
      <c r="EE32" s="27" t="str">
        <f aca="false">IF(EE13="","",IF(ISNUMBER(EE20),EE20,EE13))</f>
        <v/>
      </c>
      <c r="EF32" s="27" t="str">
        <f aca="false">IF(EF13="","",IF(ISNUMBER(EF20),EF20,EF13))</f>
        <v/>
      </c>
      <c r="EG32" s="27" t="str">
        <f aca="false">IF(EG13="","",IF(ISNUMBER(EG20),EG20,EG13))</f>
        <v/>
      </c>
      <c r="EH32" s="27" t="str">
        <f aca="false">IF(EH13="","",IF(ISNUMBER(EH20),EH20,EH13))</f>
        <v/>
      </c>
      <c r="EI32" s="27" t="str">
        <f aca="false">IF(EI13="","",IF(ISNUMBER(EI20),EI20,EI13))</f>
        <v/>
      </c>
      <c r="EJ32" s="27" t="str">
        <f aca="false">IF(EJ13="","",IF(ISNUMBER(EJ20),EJ20,EJ13))</f>
        <v/>
      </c>
      <c r="EK32" s="27" t="str">
        <f aca="false">IF(EK13="","",IF(ISNUMBER(EK20),EK20,EK13))</f>
        <v/>
      </c>
      <c r="EL32" s="27" t="str">
        <f aca="false">IF(EL13="","",IF(ISNUMBER(EL20),EL20,EL13))</f>
        <v/>
      </c>
      <c r="EM32" s="27" t="str">
        <f aca="false">IF(EM13="","",IF(ISNUMBER(EM20),EM20,EM13))</f>
        <v/>
      </c>
      <c r="EN32" s="27" t="str">
        <f aca="false">IF(EN13="","",IF(ISNUMBER(EN20),EN20,EN13))</f>
        <v/>
      </c>
      <c r="EO32" s="27" t="str">
        <f aca="false">IF(EO13="","",IF(ISNUMBER(EO20),EO20,EO13))</f>
        <v/>
      </c>
      <c r="EP32" s="27" t="str">
        <f aca="false">IF(EP13="","",IF(ISNUMBER(EP20),EP20,EP13))</f>
        <v/>
      </c>
      <c r="EQ32" s="27" t="str">
        <f aca="false">IF(EQ13="","",IF(ISNUMBER(EQ20),EQ20,EQ13))</f>
        <v/>
      </c>
      <c r="ER32" s="27" t="str">
        <f aca="false">IF(ER13="","",IF(ISNUMBER(ER20),ER20,ER13))</f>
        <v/>
      </c>
      <c r="ES32" s="27" t="str">
        <f aca="false">IF(ES13="","",IF(ISNUMBER(ES20),ES20,ES13))</f>
        <v/>
      </c>
      <c r="ET32" s="27" t="str">
        <f aca="false">IF(ET13="","",IF(ISNUMBER(ET20),ET20,ET13))</f>
        <v/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297</v>
      </c>
      <c r="B33" s="58" t="s">
        <v>399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0</v>
      </c>
      <c r="BE33" s="27" t="n">
        <f aca="false">IF(ISNUMBER(BE13),1,0)</f>
        <v>0</v>
      </c>
      <c r="BF33" s="27" t="n">
        <f aca="false">IF(ISNUMBER(BF13),1,0)</f>
        <v>0</v>
      </c>
      <c r="BG33" s="27" t="n">
        <f aca="false">IF(ISNUMBER(BG13),1,0)</f>
        <v>0</v>
      </c>
      <c r="BH33" s="27" t="n">
        <f aca="false">IF(ISNUMBER(BH13),1,0)</f>
        <v>0</v>
      </c>
      <c r="BI33" s="27" t="n">
        <f aca="false">IF(ISNUMBER(BI13),1,0)</f>
        <v>0</v>
      </c>
      <c r="BJ33" s="27" t="n">
        <f aca="false">IF(ISNUMBER(BJ13),1,0)</f>
        <v>0</v>
      </c>
      <c r="BK33" s="27" t="n">
        <f aca="false">IF(ISNUMBER(BK13),1,0)</f>
        <v>0</v>
      </c>
      <c r="BL33" s="27" t="n">
        <f aca="false">IF(ISNUMBER(BL13),1,0)</f>
        <v>0</v>
      </c>
      <c r="BM33" s="27" t="n">
        <f aca="false">IF(ISNUMBER(BM13),1,0)</f>
        <v>0</v>
      </c>
      <c r="BN33" s="27" t="n">
        <f aca="false">IF(ISNUMBER(BN13),1,0)</f>
        <v>0</v>
      </c>
      <c r="BO33" s="27" t="n">
        <f aca="false">IF(ISNUMBER(BO13),1,0)</f>
        <v>0</v>
      </c>
      <c r="BP33" s="27" t="n">
        <f aca="false">IF(ISNUMBER(BP13),1,0)</f>
        <v>0</v>
      </c>
      <c r="BQ33" s="27" t="n">
        <f aca="false">IF(ISNUMBER(BQ13),1,0)</f>
        <v>0</v>
      </c>
      <c r="BR33" s="27" t="n">
        <f aca="false">IF(ISNUMBER(BR13),1,0)</f>
        <v>0</v>
      </c>
      <c r="BS33" s="27" t="n">
        <f aca="false">IF(ISNUMBER(BS13),1,0)</f>
        <v>0</v>
      </c>
      <c r="BT33" s="27" t="n">
        <f aca="false">IF(ISNUMBER(BT13),1,0)</f>
        <v>0</v>
      </c>
      <c r="BU33" s="27" t="n">
        <f aca="false">IF(ISNUMBER(BU13),1,0)</f>
        <v>0</v>
      </c>
      <c r="BV33" s="27" t="n">
        <f aca="false">IF(ISNUMBER(BV13),1,0)</f>
        <v>0</v>
      </c>
      <c r="BW33" s="27" t="n">
        <f aca="false">IF(ISNUMBER(BW13),1,0)</f>
        <v>0</v>
      </c>
      <c r="BX33" s="27" t="n">
        <f aca="false">IF(ISNUMBER(BX13),1,0)</f>
        <v>0</v>
      </c>
      <c r="BY33" s="27" t="n">
        <f aca="false">IF(ISNUMBER(BY13),1,0)</f>
        <v>0</v>
      </c>
      <c r="BZ33" s="27" t="n">
        <f aca="false">IF(ISNUMBER(BZ13),1,0)</f>
        <v>0</v>
      </c>
      <c r="CA33" s="27" t="n">
        <f aca="false">IF(ISNUMBER(CA13),1,0)</f>
        <v>0</v>
      </c>
      <c r="CB33" s="27" t="n">
        <f aca="false">IF(ISNUMBER(CB13),1,0)</f>
        <v>0</v>
      </c>
      <c r="CC33" s="27" t="n">
        <f aca="false">IF(ISNUMBER(CC13),1,0)</f>
        <v>0</v>
      </c>
      <c r="CD33" s="27" t="n">
        <f aca="false">IF(ISNUMBER(CD13),1,0)</f>
        <v>0</v>
      </c>
      <c r="CE33" s="27" t="n">
        <f aca="false">IF(ISNUMBER(CE13),1,0)</f>
        <v>0</v>
      </c>
      <c r="CF33" s="27" t="n">
        <f aca="false">IF(ISNUMBER(CF13),1,0)</f>
        <v>0</v>
      </c>
      <c r="CG33" s="27" t="n">
        <f aca="false">IF(ISNUMBER(CG13),1,0)</f>
        <v>0</v>
      </c>
      <c r="CH33" s="27" t="n">
        <f aca="false">IF(ISNUMBER(CH13),1,0)</f>
        <v>0</v>
      </c>
      <c r="CI33" s="27" t="n">
        <f aca="false">IF(ISNUMBER(CI13),1,0)</f>
        <v>0</v>
      </c>
      <c r="CJ33" s="27" t="n">
        <f aca="false">IF(ISNUMBER(CJ13),1,0)</f>
        <v>0</v>
      </c>
      <c r="CK33" s="27" t="n">
        <f aca="false">IF(ISNUMBER(CK13),1,0)</f>
        <v>0</v>
      </c>
      <c r="CL33" s="27" t="n">
        <f aca="false">IF(ISNUMBER(CL13),1,0)</f>
        <v>0</v>
      </c>
      <c r="CM33" s="27" t="n">
        <f aca="false">IF(ISNUMBER(CM13),1,0)</f>
        <v>0</v>
      </c>
      <c r="CN33" s="27" t="n">
        <f aca="false">IF(ISNUMBER(CN13),1,0)</f>
        <v>0</v>
      </c>
      <c r="CO33" s="27" t="n">
        <f aca="false">IF(ISNUMBER(CO13),1,0)</f>
        <v>0</v>
      </c>
      <c r="CP33" s="27" t="n">
        <f aca="false">IF(ISNUMBER(CP13),1,0)</f>
        <v>0</v>
      </c>
      <c r="CQ33" s="27" t="n">
        <f aca="false">IF(ISNUMBER(CQ13),1,0)</f>
        <v>0</v>
      </c>
      <c r="CR33" s="27" t="n">
        <f aca="false">IF(ISNUMBER(CR13),1,0)</f>
        <v>0</v>
      </c>
      <c r="CS33" s="27" t="n">
        <f aca="false">IF(ISNUMBER(CS13),1,0)</f>
        <v>0</v>
      </c>
      <c r="CT33" s="27" t="n">
        <f aca="false">IF(ISNUMBER(CT13),1,0)</f>
        <v>0</v>
      </c>
      <c r="CU33" s="27" t="n">
        <f aca="false">IF(ISNUMBER(CU13),1,0)</f>
        <v>0</v>
      </c>
      <c r="CV33" s="27" t="n">
        <f aca="false">IF(ISNUMBER(CV13),1,0)</f>
        <v>0</v>
      </c>
      <c r="CW33" s="27" t="n">
        <f aca="false">IF(ISNUMBER(CW13),1,0)</f>
        <v>0</v>
      </c>
      <c r="CX33" s="27" t="n">
        <f aca="false">IF(ISNUMBER(CX13),1,0)</f>
        <v>0</v>
      </c>
      <c r="CY33" s="27" t="n">
        <f aca="false">IF(ISNUMBER(CY13),1,0)</f>
        <v>0</v>
      </c>
      <c r="CZ33" s="27" t="n">
        <f aca="false">IF(ISNUMBER(CZ13),1,0)</f>
        <v>0</v>
      </c>
      <c r="DA33" s="27" t="n">
        <f aca="false">IF(ISNUMBER(DA13),1,0)</f>
        <v>0</v>
      </c>
      <c r="DB33" s="27" t="n">
        <f aca="false">IF(ISNUMBER(DB13),1,0)</f>
        <v>0</v>
      </c>
      <c r="DC33" s="27" t="n">
        <f aca="false">IF(ISNUMBER(DC13),1,0)</f>
        <v>0</v>
      </c>
      <c r="DD33" s="27" t="n">
        <f aca="false">IF(ISNUMBER(DD13),1,0)</f>
        <v>0</v>
      </c>
      <c r="DE33" s="27" t="n">
        <f aca="false">IF(ISNUMBER(DE13),1,0)</f>
        <v>0</v>
      </c>
      <c r="DF33" s="27" t="n">
        <f aca="false">IF(ISNUMBER(DF13),1,0)</f>
        <v>0</v>
      </c>
      <c r="DG33" s="27" t="n">
        <f aca="false">IF(ISNUMBER(DG13),1,0)</f>
        <v>0</v>
      </c>
      <c r="DH33" s="27" t="n">
        <f aca="false">IF(ISNUMBER(DH13),1,0)</f>
        <v>0</v>
      </c>
      <c r="DI33" s="27" t="n">
        <f aca="false">IF(ISNUMBER(DI13),1,0)</f>
        <v>0</v>
      </c>
      <c r="DJ33" s="27" t="n">
        <f aca="false">IF(ISNUMBER(DJ13),1,0)</f>
        <v>0</v>
      </c>
      <c r="DK33" s="27" t="n">
        <f aca="false">IF(ISNUMBER(DK13),1,0)</f>
        <v>0</v>
      </c>
      <c r="DL33" s="27" t="n">
        <f aca="false">IF(ISNUMBER(DL13),1,0)</f>
        <v>0</v>
      </c>
      <c r="DM33" s="27" t="n">
        <f aca="false">IF(ISNUMBER(DM13),1,0)</f>
        <v>0</v>
      </c>
      <c r="DN33" s="27" t="n">
        <f aca="false">IF(ISNUMBER(DN13),1,0)</f>
        <v>0</v>
      </c>
      <c r="DO33" s="27" t="n">
        <f aca="false">IF(ISNUMBER(DO13),1,0)</f>
        <v>0</v>
      </c>
      <c r="DP33" s="27" t="n">
        <f aca="false">IF(ISNUMBER(DP13),1,0)</f>
        <v>0</v>
      </c>
      <c r="DQ33" s="27" t="n">
        <f aca="false">IF(ISNUMBER(DQ13),1,0)</f>
        <v>0</v>
      </c>
      <c r="DR33" s="27" t="n">
        <f aca="false">IF(ISNUMBER(DR13),1,0)</f>
        <v>0</v>
      </c>
      <c r="DS33" s="27" t="n">
        <f aca="false">IF(ISNUMBER(DS13),1,0)</f>
        <v>0</v>
      </c>
      <c r="DT33" s="27" t="n">
        <f aca="false">IF(ISNUMBER(DT13),1,0)</f>
        <v>0</v>
      </c>
      <c r="DU33" s="27" t="n">
        <f aca="false">IF(ISNUMBER(DU13),1,0)</f>
        <v>0</v>
      </c>
      <c r="DV33" s="27" t="n">
        <f aca="false">IF(ISNUMBER(DV13),1,0)</f>
        <v>0</v>
      </c>
      <c r="DW33" s="27" t="n">
        <f aca="false">IF(ISNUMBER(DW13),1,0)</f>
        <v>0</v>
      </c>
      <c r="DX33" s="27" t="n">
        <f aca="false">IF(ISNUMBER(DX13),1,0)</f>
        <v>0</v>
      </c>
      <c r="DY33" s="27" t="n">
        <f aca="false">IF(ISNUMBER(DY13),1,0)</f>
        <v>0</v>
      </c>
      <c r="DZ33" s="27" t="n">
        <f aca="false">IF(ISNUMBER(DZ13),1,0)</f>
        <v>0</v>
      </c>
      <c r="EA33" s="27" t="n">
        <f aca="false">IF(ISNUMBER(EA13),1,0)</f>
        <v>0</v>
      </c>
      <c r="EB33" s="27" t="n">
        <f aca="false">IF(ISNUMBER(EB13),1,0)</f>
        <v>0</v>
      </c>
      <c r="EC33" s="27" t="n">
        <f aca="false">IF(ISNUMBER(EC13),1,0)</f>
        <v>0</v>
      </c>
      <c r="ED33" s="27" t="n">
        <f aca="false">IF(ISNUMBER(ED13),1,0)</f>
        <v>0</v>
      </c>
      <c r="EE33" s="27" t="n">
        <f aca="false">IF(ISNUMBER(EE13),1,0)</f>
        <v>0</v>
      </c>
      <c r="EF33" s="27" t="n">
        <f aca="false">IF(ISNUMBER(EF13),1,0)</f>
        <v>0</v>
      </c>
      <c r="EG33" s="27" t="n">
        <f aca="false">IF(ISNUMBER(EG13),1,0)</f>
        <v>0</v>
      </c>
      <c r="EH33" s="27" t="n">
        <f aca="false">IF(ISNUMBER(EH13),1,0)</f>
        <v>0</v>
      </c>
      <c r="EI33" s="27" t="n">
        <f aca="false">IF(ISNUMBER(EI13),1,0)</f>
        <v>0</v>
      </c>
      <c r="EJ33" s="27" t="n">
        <f aca="false">IF(ISNUMBER(EJ13),1,0)</f>
        <v>0</v>
      </c>
      <c r="EK33" s="27" t="n">
        <f aca="false">IF(ISNUMBER(EK13),1,0)</f>
        <v>0</v>
      </c>
      <c r="EL33" s="27" t="n">
        <f aca="false">IF(ISNUMBER(EL13),1,0)</f>
        <v>0</v>
      </c>
      <c r="EM33" s="27" t="n">
        <f aca="false">IF(ISNUMBER(EM13),1,0)</f>
        <v>0</v>
      </c>
      <c r="EN33" s="27" t="n">
        <f aca="false">IF(ISNUMBER(EN13),1,0)</f>
        <v>0</v>
      </c>
      <c r="EO33" s="27" t="n">
        <f aca="false">IF(ISNUMBER(EO13),1,0)</f>
        <v>0</v>
      </c>
      <c r="EP33" s="27" t="n">
        <f aca="false">IF(ISNUMBER(EP13),1,0)</f>
        <v>0</v>
      </c>
      <c r="EQ33" s="27" t="n">
        <f aca="false">IF(ISNUMBER(EQ13),1,0)</f>
        <v>0</v>
      </c>
      <c r="ER33" s="27" t="n">
        <f aca="false">IF(ISNUMBER(ER13),1,0)</f>
        <v>0</v>
      </c>
      <c r="ES33" s="27" t="n">
        <f aca="false">IF(ISNUMBER(ES13),1,0)</f>
        <v>0</v>
      </c>
      <c r="ET33" s="27" t="n">
        <f aca="false">IF(ISNUMBER(ET13),1,0)</f>
        <v>0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0" t="s">
        <v>80</v>
      </c>
      <c r="B36" s="20" t="s">
        <v>400</v>
      </c>
    </row>
    <row r="37" customFormat="false" ht="15" hidden="false" customHeight="false" outlineLevel="0" collapsed="false">
      <c r="A37" s="33" t="s">
        <v>80</v>
      </c>
      <c r="B37" s="20" t="s">
        <v>378</v>
      </c>
      <c r="C37" s="27" t="str">
        <f aca="false">COUNT($D$37:$FQ$37)&amp;" দিন"</f>
        <v>0 দিন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3" t="s">
        <v>80</v>
      </c>
      <c r="B38" s="20" t="s">
        <v>379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80</v>
      </c>
      <c r="B39" s="20" t="s">
        <v>380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3" t="s">
        <v>80</v>
      </c>
      <c r="B40" s="20" t="s">
        <v>381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3" t="s">
        <v>80</v>
      </c>
      <c r="B41" s="20" t="s">
        <v>382</v>
      </c>
      <c r="C41" s="27" t="str">
        <f aca="false">COUNT($D$46:$FQ$46)&amp;" বার সেচ"</f>
        <v>0 বার সেচ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80</v>
      </c>
      <c r="B42" s="20" t="s">
        <v>383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80</v>
      </c>
      <c r="B43" s="20" t="s">
        <v>384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80</v>
      </c>
      <c r="B44" s="20" t="s">
        <v>385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80</v>
      </c>
      <c r="B45" s="20" t="s">
        <v>386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80</v>
      </c>
      <c r="B46" s="20" t="s">
        <v>387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80</v>
      </c>
      <c r="B47" s="20" t="s">
        <v>388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3" t="s">
        <v>80</v>
      </c>
      <c r="B48" s="20" t="s">
        <v>389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80</v>
      </c>
      <c r="B49" s="20" t="s">
        <v>390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80</v>
      </c>
      <c r="B50" s="20" t="s">
        <v>391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80</v>
      </c>
      <c r="B51" s="20" t="s">
        <v>392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80</v>
      </c>
      <c r="B52" s="20" t="s">
        <v>393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80</v>
      </c>
      <c r="B53" s="20" t="s">
        <v>394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80</v>
      </c>
      <c r="B54" s="20" t="s">
        <v>395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80</v>
      </c>
      <c r="B55" s="20" t="s">
        <v>396</v>
      </c>
      <c r="D55" s="36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6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6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6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6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6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6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6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6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6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6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6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6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6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6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6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6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6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6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6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6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6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6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6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6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6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6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6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6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6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6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6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6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6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6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6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6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6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6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6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6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6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6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6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6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6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6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6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6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6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6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6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6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6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6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6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6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6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6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6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6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6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6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6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6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6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6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6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6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6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6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6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6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6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6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6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6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6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6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6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6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6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6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6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6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6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6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6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6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6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6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6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/>
      </c>
      <c r="CR55" s="36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6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6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6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6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6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6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6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6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6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6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6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6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6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6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6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6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6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6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6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6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6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6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6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6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6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6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6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6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6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6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6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6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6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6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6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6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6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6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6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6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6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6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/>
      </c>
      <c r="EI55" s="36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6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6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6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6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6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6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6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6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/>
      </c>
      <c r="ER55" s="36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6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6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6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6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6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6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6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6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6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6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6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6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6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6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6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6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6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6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6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6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6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6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6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6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6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3" t="s">
        <v>80</v>
      </c>
      <c r="B56" s="61" t="s">
        <v>397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3" t="s">
        <v>80</v>
      </c>
      <c r="B57" s="61" t="s">
        <v>398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str">
        <f aca="false">IF(BD38="","",IF(ISNUMBER(BD45),BD45,BD38))</f>
        <v/>
      </c>
      <c r="BE57" s="27" t="str">
        <f aca="false">IF(BE38="","",IF(ISNUMBER(BE45),BE45,BE38))</f>
        <v/>
      </c>
      <c r="BF57" s="27" t="str">
        <f aca="false">IF(BF38="","",IF(ISNUMBER(BF45),BF45,BF38))</f>
        <v/>
      </c>
      <c r="BG57" s="27" t="str">
        <f aca="false">IF(BG38="","",IF(ISNUMBER(BG45),BG45,BG38))</f>
        <v/>
      </c>
      <c r="BH57" s="27" t="str">
        <f aca="false">IF(BH38="","",IF(ISNUMBER(BH45),BH45,BH38))</f>
        <v/>
      </c>
      <c r="BI57" s="27" t="str">
        <f aca="false">IF(BI38="","",IF(ISNUMBER(BI45),BI45,BI38))</f>
        <v/>
      </c>
      <c r="BJ57" s="27" t="str">
        <f aca="false">IF(BJ38="","",IF(ISNUMBER(BJ45),BJ45,BJ38))</f>
        <v/>
      </c>
      <c r="BK57" s="27" t="str">
        <f aca="false">IF(BK38="","",IF(ISNUMBER(BK45),BK45,BK38))</f>
        <v/>
      </c>
      <c r="BL57" s="27" t="str">
        <f aca="false">IF(BL38="","",IF(ISNUMBER(BL45),BL45,BL38))</f>
        <v/>
      </c>
      <c r="BM57" s="27" t="str">
        <f aca="false">IF(BM38="","",IF(ISNUMBER(BM45),BM45,BM38))</f>
        <v/>
      </c>
      <c r="BN57" s="27" t="str">
        <f aca="false">IF(BN38="","",IF(ISNUMBER(BN45),BN45,BN38))</f>
        <v/>
      </c>
      <c r="BO57" s="27" t="str">
        <f aca="false">IF(BO38="","",IF(ISNUMBER(BO45),BO45,BO38))</f>
        <v/>
      </c>
      <c r="BP57" s="27" t="str">
        <f aca="false">IF(BP38="","",IF(ISNUMBER(BP45),BP45,BP38))</f>
        <v/>
      </c>
      <c r="BQ57" s="27" t="str">
        <f aca="false">IF(BQ38="","",IF(ISNUMBER(BQ45),BQ45,BQ38))</f>
        <v/>
      </c>
      <c r="BR57" s="27" t="str">
        <f aca="false">IF(BR38="","",IF(ISNUMBER(BR45),BR45,BR38))</f>
        <v/>
      </c>
      <c r="BS57" s="27" t="str">
        <f aca="false">IF(BS38="","",IF(ISNUMBER(BS45),BS45,BS38))</f>
        <v/>
      </c>
      <c r="BT57" s="27" t="str">
        <f aca="false">IF(BT38="","",IF(ISNUMBER(BT45),BT45,BT38))</f>
        <v/>
      </c>
      <c r="BU57" s="27" t="str">
        <f aca="false">IF(BU38="","",IF(ISNUMBER(BU45),BU45,BU38))</f>
        <v/>
      </c>
      <c r="BV57" s="27" t="str">
        <f aca="false">IF(BV38="","",IF(ISNUMBER(BV45),BV45,BV38))</f>
        <v/>
      </c>
      <c r="BW57" s="27" t="str">
        <f aca="false">IF(BW38="","",IF(ISNUMBER(BW45),BW45,BW38))</f>
        <v/>
      </c>
      <c r="BX57" s="27" t="str">
        <f aca="false">IF(BX38="","",IF(ISNUMBER(BX45),BX45,BX38))</f>
        <v/>
      </c>
      <c r="BY57" s="27" t="str">
        <f aca="false">IF(BY38="","",IF(ISNUMBER(BY45),BY45,BY38))</f>
        <v/>
      </c>
      <c r="BZ57" s="27" t="str">
        <f aca="false">IF(BZ38="","",IF(ISNUMBER(BZ45),BZ45,BZ38))</f>
        <v/>
      </c>
      <c r="CA57" s="27" t="str">
        <f aca="false">IF(CA38="","",IF(ISNUMBER(CA45),CA45,CA38))</f>
        <v/>
      </c>
      <c r="CB57" s="27" t="str">
        <f aca="false">IF(CB38="","",IF(ISNUMBER(CB45),CB45,CB38))</f>
        <v/>
      </c>
      <c r="CC57" s="27" t="str">
        <f aca="false">IF(CC38="","",IF(ISNUMBER(CC45),CC45,CC38))</f>
        <v/>
      </c>
      <c r="CD57" s="27" t="str">
        <f aca="false">IF(CD38="","",IF(ISNUMBER(CD45),CD45,CD38))</f>
        <v/>
      </c>
      <c r="CE57" s="27" t="str">
        <f aca="false">IF(CE38="","",IF(ISNUMBER(CE45),CE45,CE38))</f>
        <v/>
      </c>
      <c r="CF57" s="27" t="str">
        <f aca="false">IF(CF38="","",IF(ISNUMBER(CF45),CF45,CF38))</f>
        <v/>
      </c>
      <c r="CG57" s="27" t="str">
        <f aca="false">IF(CG38="","",IF(ISNUMBER(CG45),CG45,CG38))</f>
        <v/>
      </c>
      <c r="CH57" s="27" t="str">
        <f aca="false">IF(CH38="","",IF(ISNUMBER(CH45),CH45,CH38))</f>
        <v/>
      </c>
      <c r="CI57" s="27" t="str">
        <f aca="false">IF(CI38="","",IF(ISNUMBER(CI45),CI45,CI38))</f>
        <v/>
      </c>
      <c r="CJ57" s="27" t="str">
        <f aca="false">IF(CJ38="","",IF(ISNUMBER(CJ45),CJ45,CJ38))</f>
        <v/>
      </c>
      <c r="CK57" s="27" t="str">
        <f aca="false">IF(CK38="","",IF(ISNUMBER(CK45),CK45,CK38))</f>
        <v/>
      </c>
      <c r="CL57" s="27" t="str">
        <f aca="false">IF(CL38="","",IF(ISNUMBER(CL45),CL45,CL38))</f>
        <v/>
      </c>
      <c r="CM57" s="27" t="str">
        <f aca="false">IF(CM38="","",IF(ISNUMBER(CM45),CM45,CM38))</f>
        <v/>
      </c>
      <c r="CN57" s="27" t="str">
        <f aca="false">IF(CN38="","",IF(ISNUMBER(CN45),CN45,CN38))</f>
        <v/>
      </c>
      <c r="CO57" s="27" t="str">
        <f aca="false">IF(CO38="","",IF(ISNUMBER(CO45),CO45,CO38))</f>
        <v/>
      </c>
      <c r="CP57" s="27" t="str">
        <f aca="false">IF(CP38="","",IF(ISNUMBER(CP45),CP45,CP38))</f>
        <v/>
      </c>
      <c r="CQ57" s="27" t="str">
        <f aca="false">IF(CQ38="","",IF(ISNUMBER(CQ45),CQ45,CQ38))</f>
        <v/>
      </c>
      <c r="CR57" s="27" t="str">
        <f aca="false">IF(CR38="","",IF(ISNUMBER(CR45),CR45,CR38))</f>
        <v/>
      </c>
      <c r="CS57" s="27" t="str">
        <f aca="false">IF(CS38="","",IF(ISNUMBER(CS45),CS45,CS38))</f>
        <v/>
      </c>
      <c r="CT57" s="27" t="str">
        <f aca="false">IF(CT38="","",IF(ISNUMBER(CT45),CT45,CT38))</f>
        <v/>
      </c>
      <c r="CU57" s="27" t="str">
        <f aca="false">IF(CU38="","",IF(ISNUMBER(CU45),CU45,CU38))</f>
        <v/>
      </c>
      <c r="CV57" s="27" t="str">
        <f aca="false">IF(CV38="","",IF(ISNUMBER(CV45),CV45,CV38))</f>
        <v/>
      </c>
      <c r="CW57" s="27" t="str">
        <f aca="false">IF(CW38="","",IF(ISNUMBER(CW45),CW45,CW38))</f>
        <v/>
      </c>
      <c r="CX57" s="27" t="str">
        <f aca="false">IF(CX38="","",IF(ISNUMBER(CX45),CX45,CX38))</f>
        <v/>
      </c>
      <c r="CY57" s="27" t="str">
        <f aca="false">IF(CY38="","",IF(ISNUMBER(CY45),CY45,CY38))</f>
        <v/>
      </c>
      <c r="CZ57" s="27" t="str">
        <f aca="false">IF(CZ38="","",IF(ISNUMBER(CZ45),CZ45,CZ38))</f>
        <v/>
      </c>
      <c r="DA57" s="27" t="str">
        <f aca="false">IF(DA38="","",IF(ISNUMBER(DA45),DA45,DA38))</f>
        <v/>
      </c>
      <c r="DB57" s="27" t="str">
        <f aca="false">IF(DB38="","",IF(ISNUMBER(DB45),DB45,DB38))</f>
        <v/>
      </c>
      <c r="DC57" s="27" t="str">
        <f aca="false">IF(DC38="","",IF(ISNUMBER(DC45),DC45,DC38))</f>
        <v/>
      </c>
      <c r="DD57" s="27" t="str">
        <f aca="false">IF(DD38="","",IF(ISNUMBER(DD45),DD45,DD38))</f>
        <v/>
      </c>
      <c r="DE57" s="27" t="str">
        <f aca="false">IF(DE38="","",IF(ISNUMBER(DE45),DE45,DE38))</f>
        <v/>
      </c>
      <c r="DF57" s="27" t="str">
        <f aca="false">IF(DF38="","",IF(ISNUMBER(DF45),DF45,DF38))</f>
        <v/>
      </c>
      <c r="DG57" s="27" t="str">
        <f aca="false">IF(DG38="","",IF(ISNUMBER(DG45),DG45,DG38))</f>
        <v/>
      </c>
      <c r="DH57" s="27" t="str">
        <f aca="false">IF(DH38="","",IF(ISNUMBER(DH45),DH45,DH38))</f>
        <v/>
      </c>
      <c r="DI57" s="27" t="str">
        <f aca="false">IF(DI38="","",IF(ISNUMBER(DI45),DI45,DI38))</f>
        <v/>
      </c>
      <c r="DJ57" s="27" t="str">
        <f aca="false">IF(DJ38="","",IF(ISNUMBER(DJ45),DJ45,DJ38))</f>
        <v/>
      </c>
      <c r="DK57" s="27" t="str">
        <f aca="false">IF(DK38="","",IF(ISNUMBER(DK45),DK45,DK38))</f>
        <v/>
      </c>
      <c r="DL57" s="27" t="str">
        <f aca="false">IF(DL38="","",IF(ISNUMBER(DL45),DL45,DL38))</f>
        <v/>
      </c>
      <c r="DM57" s="27" t="str">
        <f aca="false">IF(DM38="","",IF(ISNUMBER(DM45),DM45,DM38))</f>
        <v/>
      </c>
      <c r="DN57" s="27" t="str">
        <f aca="false">IF(DN38="","",IF(ISNUMBER(DN45),DN45,DN38))</f>
        <v/>
      </c>
      <c r="DO57" s="27" t="str">
        <f aca="false">IF(DO38="","",IF(ISNUMBER(DO45),DO45,DO38))</f>
        <v/>
      </c>
      <c r="DP57" s="27" t="str">
        <f aca="false">IF(DP38="","",IF(ISNUMBER(DP45),DP45,DP38))</f>
        <v/>
      </c>
      <c r="DQ57" s="27" t="str">
        <f aca="false">IF(DQ38="","",IF(ISNUMBER(DQ45),DQ45,DQ38))</f>
        <v/>
      </c>
      <c r="DR57" s="27" t="str">
        <f aca="false">IF(DR38="","",IF(ISNUMBER(DR45),DR45,DR38))</f>
        <v/>
      </c>
      <c r="DS57" s="27" t="str">
        <f aca="false">IF(DS38="","",IF(ISNUMBER(DS45),DS45,DS38))</f>
        <v/>
      </c>
      <c r="DT57" s="27" t="str">
        <f aca="false">IF(DT38="","",IF(ISNUMBER(DT45),DT45,DT38))</f>
        <v/>
      </c>
      <c r="DU57" s="27" t="str">
        <f aca="false">IF(DU38="","",IF(ISNUMBER(DU45),DU45,DU38))</f>
        <v/>
      </c>
      <c r="DV57" s="27" t="str">
        <f aca="false">IF(DV38="","",IF(ISNUMBER(DV45),DV45,DV38))</f>
        <v/>
      </c>
      <c r="DW57" s="27" t="str">
        <f aca="false">IF(DW38="","",IF(ISNUMBER(DW45),DW45,DW38))</f>
        <v/>
      </c>
      <c r="DX57" s="27" t="str">
        <f aca="false">IF(DX38="","",IF(ISNUMBER(DX45),DX45,DX38))</f>
        <v/>
      </c>
      <c r="DY57" s="27" t="str">
        <f aca="false">IF(DY38="","",IF(ISNUMBER(DY45),DY45,DY38))</f>
        <v/>
      </c>
      <c r="DZ57" s="27" t="str">
        <f aca="false">IF(DZ38="","",IF(ISNUMBER(DZ45),DZ45,DZ38))</f>
        <v/>
      </c>
      <c r="EA57" s="27" t="str">
        <f aca="false">IF(EA38="","",IF(ISNUMBER(EA45),EA45,EA38))</f>
        <v/>
      </c>
      <c r="EB57" s="27" t="str">
        <f aca="false">IF(EB38="","",IF(ISNUMBER(EB45),EB45,EB38))</f>
        <v/>
      </c>
      <c r="EC57" s="27" t="str">
        <f aca="false">IF(EC38="","",IF(ISNUMBER(EC45),EC45,EC38))</f>
        <v/>
      </c>
      <c r="ED57" s="27" t="str">
        <f aca="false">IF(ED38="","",IF(ISNUMBER(ED45),ED45,ED38))</f>
        <v/>
      </c>
      <c r="EE57" s="27" t="str">
        <f aca="false">IF(EE38="","",IF(ISNUMBER(EE45),EE45,EE38))</f>
        <v/>
      </c>
      <c r="EF57" s="27" t="str">
        <f aca="false">IF(EF38="","",IF(ISNUMBER(EF45),EF45,EF38))</f>
        <v/>
      </c>
      <c r="EG57" s="27" t="str">
        <f aca="false">IF(EG38="","",IF(ISNUMBER(EG45),EG45,EG38))</f>
        <v/>
      </c>
      <c r="EH57" s="27" t="str">
        <f aca="false">IF(EH38="","",IF(ISNUMBER(EH45),EH45,EH38))</f>
        <v/>
      </c>
      <c r="EI57" s="27" t="str">
        <f aca="false">IF(EI38="","",IF(ISNUMBER(EI45),EI45,EI38))</f>
        <v/>
      </c>
      <c r="EJ57" s="27" t="str">
        <f aca="false">IF(EJ38="","",IF(ISNUMBER(EJ45),EJ45,EJ38))</f>
        <v/>
      </c>
      <c r="EK57" s="27" t="str">
        <f aca="false">IF(EK38="","",IF(ISNUMBER(EK45),EK45,EK38))</f>
        <v/>
      </c>
      <c r="EL57" s="27" t="str">
        <f aca="false">IF(EL38="","",IF(ISNUMBER(EL45),EL45,EL38))</f>
        <v/>
      </c>
      <c r="EM57" s="27" t="str">
        <f aca="false">IF(EM38="","",IF(ISNUMBER(EM45),EM45,EM38))</f>
        <v/>
      </c>
      <c r="EN57" s="27" t="str">
        <f aca="false">IF(EN38="","",IF(ISNUMBER(EN45),EN45,EN38))</f>
        <v/>
      </c>
      <c r="EO57" s="27" t="str">
        <f aca="false">IF(EO38="","",IF(ISNUMBER(EO45),EO45,EO38))</f>
        <v/>
      </c>
      <c r="EP57" s="27" t="str">
        <f aca="false">IF(EP38="","",IF(ISNUMBER(EP45),EP45,EP38))</f>
        <v/>
      </c>
      <c r="EQ57" s="27" t="str">
        <f aca="false">IF(EQ38="","",IF(ISNUMBER(EQ45),EQ45,EQ38))</f>
        <v/>
      </c>
      <c r="ER57" s="27" t="str">
        <f aca="false">IF(ER38="","",IF(ISNUMBER(ER45),ER45,ER38))</f>
        <v/>
      </c>
      <c r="ES57" s="27" t="str">
        <f aca="false">IF(ES38="","",IF(ISNUMBER(ES45),ES45,ES38))</f>
        <v/>
      </c>
      <c r="ET57" s="27" t="str">
        <f aca="false">IF(ET38="","",IF(ISNUMBER(ET45),ET45,ET38))</f>
        <v/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80</v>
      </c>
      <c r="B58" s="61" t="s">
        <v>399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0</v>
      </c>
      <c r="BE58" s="27" t="n">
        <f aca="false">IF(ISNUMBER(BE38),1,0)</f>
        <v>0</v>
      </c>
      <c r="BF58" s="27" t="n">
        <f aca="false">IF(ISNUMBER(BF38),1,0)</f>
        <v>0</v>
      </c>
      <c r="BG58" s="27" t="n">
        <f aca="false">IF(ISNUMBER(BG38),1,0)</f>
        <v>0</v>
      </c>
      <c r="BH58" s="27" t="n">
        <f aca="false">IF(ISNUMBER(BH38),1,0)</f>
        <v>0</v>
      </c>
      <c r="BI58" s="27" t="n">
        <f aca="false">IF(ISNUMBER(BI38),1,0)</f>
        <v>0</v>
      </c>
      <c r="BJ58" s="27" t="n">
        <f aca="false">IF(ISNUMBER(BJ38),1,0)</f>
        <v>0</v>
      </c>
      <c r="BK58" s="27" t="n">
        <f aca="false">IF(ISNUMBER(BK38),1,0)</f>
        <v>0</v>
      </c>
      <c r="BL58" s="27" t="n">
        <f aca="false">IF(ISNUMBER(BL38),1,0)</f>
        <v>0</v>
      </c>
      <c r="BM58" s="27" t="n">
        <f aca="false">IF(ISNUMBER(BM38),1,0)</f>
        <v>0</v>
      </c>
      <c r="BN58" s="27" t="n">
        <f aca="false">IF(ISNUMBER(BN38),1,0)</f>
        <v>0</v>
      </c>
      <c r="BO58" s="27" t="n">
        <f aca="false">IF(ISNUMBER(BO38),1,0)</f>
        <v>0</v>
      </c>
      <c r="BP58" s="27" t="n">
        <f aca="false">IF(ISNUMBER(BP38),1,0)</f>
        <v>0</v>
      </c>
      <c r="BQ58" s="27" t="n">
        <f aca="false">IF(ISNUMBER(BQ38),1,0)</f>
        <v>0</v>
      </c>
      <c r="BR58" s="27" t="n">
        <f aca="false">IF(ISNUMBER(BR38),1,0)</f>
        <v>0</v>
      </c>
      <c r="BS58" s="27" t="n">
        <f aca="false">IF(ISNUMBER(BS38),1,0)</f>
        <v>0</v>
      </c>
      <c r="BT58" s="27" t="n">
        <f aca="false">IF(ISNUMBER(BT38),1,0)</f>
        <v>0</v>
      </c>
      <c r="BU58" s="27" t="n">
        <f aca="false">IF(ISNUMBER(BU38),1,0)</f>
        <v>0</v>
      </c>
      <c r="BV58" s="27" t="n">
        <f aca="false">IF(ISNUMBER(BV38),1,0)</f>
        <v>0</v>
      </c>
      <c r="BW58" s="27" t="n">
        <f aca="false">IF(ISNUMBER(BW38),1,0)</f>
        <v>0</v>
      </c>
      <c r="BX58" s="27" t="n">
        <f aca="false">IF(ISNUMBER(BX38),1,0)</f>
        <v>0</v>
      </c>
      <c r="BY58" s="27" t="n">
        <f aca="false">IF(ISNUMBER(BY38),1,0)</f>
        <v>0</v>
      </c>
      <c r="BZ58" s="27" t="n">
        <f aca="false">IF(ISNUMBER(BZ38),1,0)</f>
        <v>0</v>
      </c>
      <c r="CA58" s="27" t="n">
        <f aca="false">IF(ISNUMBER(CA38),1,0)</f>
        <v>0</v>
      </c>
      <c r="CB58" s="27" t="n">
        <f aca="false">IF(ISNUMBER(CB38),1,0)</f>
        <v>0</v>
      </c>
      <c r="CC58" s="27" t="n">
        <f aca="false">IF(ISNUMBER(CC38),1,0)</f>
        <v>0</v>
      </c>
      <c r="CD58" s="27" t="n">
        <f aca="false">IF(ISNUMBER(CD38),1,0)</f>
        <v>0</v>
      </c>
      <c r="CE58" s="27" t="n">
        <f aca="false">IF(ISNUMBER(CE38),1,0)</f>
        <v>0</v>
      </c>
      <c r="CF58" s="27" t="n">
        <f aca="false">IF(ISNUMBER(CF38),1,0)</f>
        <v>0</v>
      </c>
      <c r="CG58" s="27" t="n">
        <f aca="false">IF(ISNUMBER(CG38),1,0)</f>
        <v>0</v>
      </c>
      <c r="CH58" s="27" t="n">
        <f aca="false">IF(ISNUMBER(CH38),1,0)</f>
        <v>0</v>
      </c>
      <c r="CI58" s="27" t="n">
        <f aca="false">IF(ISNUMBER(CI38),1,0)</f>
        <v>0</v>
      </c>
      <c r="CJ58" s="27" t="n">
        <f aca="false">IF(ISNUMBER(CJ38),1,0)</f>
        <v>0</v>
      </c>
      <c r="CK58" s="27" t="n">
        <f aca="false">IF(ISNUMBER(CK38),1,0)</f>
        <v>0</v>
      </c>
      <c r="CL58" s="27" t="n">
        <f aca="false">IF(ISNUMBER(CL38),1,0)</f>
        <v>0</v>
      </c>
      <c r="CM58" s="27" t="n">
        <f aca="false">IF(ISNUMBER(CM38),1,0)</f>
        <v>0</v>
      </c>
      <c r="CN58" s="27" t="n">
        <f aca="false">IF(ISNUMBER(CN38),1,0)</f>
        <v>0</v>
      </c>
      <c r="CO58" s="27" t="n">
        <f aca="false">IF(ISNUMBER(CO38),1,0)</f>
        <v>0</v>
      </c>
      <c r="CP58" s="27" t="n">
        <f aca="false">IF(ISNUMBER(CP38),1,0)</f>
        <v>0</v>
      </c>
      <c r="CQ58" s="27" t="n">
        <f aca="false">IF(ISNUMBER(CQ38),1,0)</f>
        <v>0</v>
      </c>
      <c r="CR58" s="27" t="n">
        <f aca="false">IF(ISNUMBER(CR38),1,0)</f>
        <v>0</v>
      </c>
      <c r="CS58" s="27" t="n">
        <f aca="false">IF(ISNUMBER(CS38),1,0)</f>
        <v>0</v>
      </c>
      <c r="CT58" s="27" t="n">
        <f aca="false">IF(ISNUMBER(CT38),1,0)</f>
        <v>0</v>
      </c>
      <c r="CU58" s="27" t="n">
        <f aca="false">IF(ISNUMBER(CU38),1,0)</f>
        <v>0</v>
      </c>
      <c r="CV58" s="27" t="n">
        <f aca="false">IF(ISNUMBER(CV38),1,0)</f>
        <v>0</v>
      </c>
      <c r="CW58" s="27" t="n">
        <f aca="false">IF(ISNUMBER(CW38),1,0)</f>
        <v>0</v>
      </c>
      <c r="CX58" s="27" t="n">
        <f aca="false">IF(ISNUMBER(CX38),1,0)</f>
        <v>0</v>
      </c>
      <c r="CY58" s="27" t="n">
        <f aca="false">IF(ISNUMBER(CY38),1,0)</f>
        <v>0</v>
      </c>
      <c r="CZ58" s="27" t="n">
        <f aca="false">IF(ISNUMBER(CZ38),1,0)</f>
        <v>0</v>
      </c>
      <c r="DA58" s="27" t="n">
        <f aca="false">IF(ISNUMBER(DA38),1,0)</f>
        <v>0</v>
      </c>
      <c r="DB58" s="27" t="n">
        <f aca="false">IF(ISNUMBER(DB38),1,0)</f>
        <v>0</v>
      </c>
      <c r="DC58" s="27" t="n">
        <f aca="false">IF(ISNUMBER(DC38),1,0)</f>
        <v>0</v>
      </c>
      <c r="DD58" s="27" t="n">
        <f aca="false">IF(ISNUMBER(DD38),1,0)</f>
        <v>0</v>
      </c>
      <c r="DE58" s="27" t="n">
        <f aca="false">IF(ISNUMBER(DE38),1,0)</f>
        <v>0</v>
      </c>
      <c r="DF58" s="27" t="n">
        <f aca="false">IF(ISNUMBER(DF38),1,0)</f>
        <v>0</v>
      </c>
      <c r="DG58" s="27" t="n">
        <f aca="false">IF(ISNUMBER(DG38),1,0)</f>
        <v>0</v>
      </c>
      <c r="DH58" s="27" t="n">
        <f aca="false">IF(ISNUMBER(DH38),1,0)</f>
        <v>0</v>
      </c>
      <c r="DI58" s="27" t="n">
        <f aca="false">IF(ISNUMBER(DI38),1,0)</f>
        <v>0</v>
      </c>
      <c r="DJ58" s="27" t="n">
        <f aca="false">IF(ISNUMBER(DJ38),1,0)</f>
        <v>0</v>
      </c>
      <c r="DK58" s="27" t="n">
        <f aca="false">IF(ISNUMBER(DK38),1,0)</f>
        <v>0</v>
      </c>
      <c r="DL58" s="27" t="n">
        <f aca="false">IF(ISNUMBER(DL38),1,0)</f>
        <v>0</v>
      </c>
      <c r="DM58" s="27" t="n">
        <f aca="false">IF(ISNUMBER(DM38),1,0)</f>
        <v>0</v>
      </c>
      <c r="DN58" s="27" t="n">
        <f aca="false">IF(ISNUMBER(DN38),1,0)</f>
        <v>0</v>
      </c>
      <c r="DO58" s="27" t="n">
        <f aca="false">IF(ISNUMBER(DO38),1,0)</f>
        <v>0</v>
      </c>
      <c r="DP58" s="27" t="n">
        <f aca="false">IF(ISNUMBER(DP38),1,0)</f>
        <v>0</v>
      </c>
      <c r="DQ58" s="27" t="n">
        <f aca="false">IF(ISNUMBER(DQ38),1,0)</f>
        <v>0</v>
      </c>
      <c r="DR58" s="27" t="n">
        <f aca="false">IF(ISNUMBER(DR38),1,0)</f>
        <v>0</v>
      </c>
      <c r="DS58" s="27" t="n">
        <f aca="false">IF(ISNUMBER(DS38),1,0)</f>
        <v>0</v>
      </c>
      <c r="DT58" s="27" t="n">
        <f aca="false">IF(ISNUMBER(DT38),1,0)</f>
        <v>0</v>
      </c>
      <c r="DU58" s="27" t="n">
        <f aca="false">IF(ISNUMBER(DU38),1,0)</f>
        <v>0</v>
      </c>
      <c r="DV58" s="27" t="n">
        <f aca="false">IF(ISNUMBER(DV38),1,0)</f>
        <v>0</v>
      </c>
      <c r="DW58" s="27" t="n">
        <f aca="false">IF(ISNUMBER(DW38),1,0)</f>
        <v>0</v>
      </c>
      <c r="DX58" s="27" t="n">
        <f aca="false">IF(ISNUMBER(DX38),1,0)</f>
        <v>0</v>
      </c>
      <c r="DY58" s="27" t="n">
        <f aca="false">IF(ISNUMBER(DY38),1,0)</f>
        <v>0</v>
      </c>
      <c r="DZ58" s="27" t="n">
        <f aca="false">IF(ISNUMBER(DZ38),1,0)</f>
        <v>0</v>
      </c>
      <c r="EA58" s="27" t="n">
        <f aca="false">IF(ISNUMBER(EA38),1,0)</f>
        <v>0</v>
      </c>
      <c r="EB58" s="27" t="n">
        <f aca="false">IF(ISNUMBER(EB38),1,0)</f>
        <v>0</v>
      </c>
      <c r="EC58" s="27" t="n">
        <f aca="false">IF(ISNUMBER(EC38),1,0)</f>
        <v>0</v>
      </c>
      <c r="ED58" s="27" t="n">
        <f aca="false">IF(ISNUMBER(ED38),1,0)</f>
        <v>0</v>
      </c>
      <c r="EE58" s="27" t="n">
        <f aca="false">IF(ISNUMBER(EE38),1,0)</f>
        <v>0</v>
      </c>
      <c r="EF58" s="27" t="n">
        <f aca="false">IF(ISNUMBER(EF38),1,0)</f>
        <v>0</v>
      </c>
      <c r="EG58" s="27" t="n">
        <f aca="false">IF(ISNUMBER(EG38),1,0)</f>
        <v>0</v>
      </c>
      <c r="EH58" s="27" t="n">
        <f aca="false">IF(ISNUMBER(EH38),1,0)</f>
        <v>0</v>
      </c>
      <c r="EI58" s="27" t="n">
        <f aca="false">IF(ISNUMBER(EI38),1,0)</f>
        <v>0</v>
      </c>
      <c r="EJ58" s="27" t="n">
        <f aca="false">IF(ISNUMBER(EJ38),1,0)</f>
        <v>0</v>
      </c>
      <c r="EK58" s="27" t="n">
        <f aca="false">IF(ISNUMBER(EK38),1,0)</f>
        <v>0</v>
      </c>
      <c r="EL58" s="27" t="n">
        <f aca="false">IF(ISNUMBER(EL38),1,0)</f>
        <v>0</v>
      </c>
      <c r="EM58" s="27" t="n">
        <f aca="false">IF(ISNUMBER(EM38),1,0)</f>
        <v>0</v>
      </c>
      <c r="EN58" s="27" t="n">
        <f aca="false">IF(ISNUMBER(EN38),1,0)</f>
        <v>0</v>
      </c>
      <c r="EO58" s="27" t="n">
        <f aca="false">IF(ISNUMBER(EO38),1,0)</f>
        <v>0</v>
      </c>
      <c r="EP58" s="27" t="n">
        <f aca="false">IF(ISNUMBER(EP38),1,0)</f>
        <v>0</v>
      </c>
      <c r="EQ58" s="27" t="n">
        <f aca="false">IF(ISNUMBER(EQ38),1,0)</f>
        <v>0</v>
      </c>
      <c r="ER58" s="27" t="n">
        <f aca="false">IF(ISNUMBER(ER38),1,0)</f>
        <v>0</v>
      </c>
      <c r="ES58" s="27" t="n">
        <f aca="false">IF(ISNUMBER(ES38),1,0)</f>
        <v>0</v>
      </c>
      <c r="ET58" s="27" t="n">
        <f aca="false">IF(ISNUMBER(ET38),1,0)</f>
        <v>0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7" t="s">
        <v>297</v>
      </c>
      <c r="B60" s="17" t="s">
        <v>401</v>
      </c>
    </row>
    <row r="61" customFormat="false" ht="15" hidden="false" customHeight="false" outlineLevel="0" collapsed="false">
      <c r="A61" s="31" t="s">
        <v>297</v>
      </c>
      <c r="B61" s="31" t="s">
        <v>402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297</v>
      </c>
      <c r="B62" s="31" t="s">
        <v>403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297</v>
      </c>
      <c r="B63" s="31" t="s">
        <v>404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297</v>
      </c>
      <c r="B64" s="31" t="s">
        <v>405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297</v>
      </c>
      <c r="B65" s="31" t="s">
        <v>406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297</v>
      </c>
      <c r="B66" s="17" t="s">
        <v>407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80</v>
      </c>
      <c r="B67" s="20" t="s">
        <v>401</v>
      </c>
    </row>
    <row r="68" customFormat="false" ht="15" hidden="false" customHeight="false" outlineLevel="0" collapsed="false">
      <c r="A68" s="33" t="s">
        <v>80</v>
      </c>
      <c r="B68" s="33" t="s">
        <v>402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80</v>
      </c>
      <c r="B69" s="33" t="s">
        <v>403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80</v>
      </c>
      <c r="B70" s="33" t="s">
        <v>404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80</v>
      </c>
      <c r="B71" s="33" t="s">
        <v>405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80</v>
      </c>
      <c r="B72" s="33" t="s">
        <v>406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80</v>
      </c>
      <c r="B73" s="20" t="s">
        <v>407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372</v>
      </c>
      <c r="B74" s="38" t="s">
        <v>408</v>
      </c>
    </row>
    <row r="75" customFormat="false" ht="15" hidden="false" customHeight="false" outlineLevel="0" collapsed="false">
      <c r="A75" s="37" t="s">
        <v>372</v>
      </c>
      <c r="B75" s="38" t="s">
        <v>409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372</v>
      </c>
      <c r="B76" s="38" t="s">
        <v>410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372</v>
      </c>
      <c r="B77" s="38" t="s">
        <v>411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372</v>
      </c>
      <c r="B78" s="38" t="s">
        <v>412</v>
      </c>
      <c r="D78" s="36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6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6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6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6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6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6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6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6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6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6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6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6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6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6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6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6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6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6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6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6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6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6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6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6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6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6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6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6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6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6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6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6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6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6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6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6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6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6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6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6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6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6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6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6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6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6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6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6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6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6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6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6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6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6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6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6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6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6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6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6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6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6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6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6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6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6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6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6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6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6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6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6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6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6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6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6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6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6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6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6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6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6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6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6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6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6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6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6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6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6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6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6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6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6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6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6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6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6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6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6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6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6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6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6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6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6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6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6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6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6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6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6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6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6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6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6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6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6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6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6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6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6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6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6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6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6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6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6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6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6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6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6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6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6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6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6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6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6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6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6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6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6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6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6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6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6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6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6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6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6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6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6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6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6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6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6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6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6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6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6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6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6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6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6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6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6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6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6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6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413</v>
      </c>
    </row>
    <row r="81" customFormat="false" ht="15" hidden="true" customHeight="false" outlineLevel="0" collapsed="false">
      <c r="B81" s="45" t="s">
        <v>414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415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416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417</v>
      </c>
      <c r="B85" s="22" t="s">
        <v>418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419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420</v>
      </c>
      <c r="B88" s="64" t="n">
        <f aca="false">Place</f>
        <v>0</v>
      </c>
    </row>
    <row r="89" customFormat="false" ht="15" hidden="true" customHeight="false" outlineLevel="0" collapsed="false">
      <c r="A89" s="22" t="s">
        <v>421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422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423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424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425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426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427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428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429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430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431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432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433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434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435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436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437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438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439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440</v>
      </c>
      <c r="B108" s="64" t="s">
        <v>441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442</v>
      </c>
    </row>
    <row r="3" customFormat="false" ht="15" hidden="false" customHeight="false" outlineLevel="0" collapsed="false">
      <c r="A3" s="15" t="s">
        <v>109</v>
      </c>
      <c r="B3" s="15" t="s">
        <v>443</v>
      </c>
      <c r="C3" s="15" t="s">
        <v>444</v>
      </c>
      <c r="D3" s="15" t="s">
        <v>445</v>
      </c>
      <c r="E3" s="15" t="s">
        <v>110</v>
      </c>
      <c r="F3" s="15" t="s">
        <v>111</v>
      </c>
    </row>
    <row r="4" customFormat="false" ht="15" hidden="false" customHeight="false" outlineLevel="0" collapsed="false">
      <c r="A4" s="53" t="s">
        <v>112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113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114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115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116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117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118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119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120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121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122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123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446</v>
      </c>
      <c r="B17" s="15" t="s">
        <v>447</v>
      </c>
      <c r="C17" s="15" t="s">
        <v>448</v>
      </c>
      <c r="D17" s="15" t="s">
        <v>449</v>
      </c>
      <c r="E17" s="15" t="s">
        <v>450</v>
      </c>
    </row>
    <row r="18" customFormat="false" ht="15" hidden="false" customHeight="false" outlineLevel="0" collapsed="false">
      <c r="A18" s="17" t="s">
        <v>297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80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452</v>
      </c>
    </row>
    <row r="3" customFormat="false" ht="15" hidden="false" customHeight="false" outlineLevel="0" collapsed="false">
      <c r="B3" s="24" t="s">
        <v>453</v>
      </c>
      <c r="C3" s="24" t="s">
        <v>454</v>
      </c>
    </row>
    <row r="4" customFormat="false" ht="15" hidden="false" customHeight="false" outlineLevel="0" collapsed="false">
      <c r="B4" s="21" t="s">
        <v>455</v>
      </c>
      <c r="C4" s="18" t="n">
        <v>50</v>
      </c>
    </row>
    <row r="5" customFormat="false" ht="15" hidden="false" customHeight="false" outlineLevel="0" collapsed="false">
      <c r="B5" s="21" t="s">
        <v>456</v>
      </c>
      <c r="C5" s="18" t="n">
        <v>13</v>
      </c>
    </row>
    <row r="6" customFormat="false" ht="15" hidden="false" customHeight="false" outlineLevel="0" collapsed="false">
      <c r="B6" s="21" t="s">
        <v>457</v>
      </c>
      <c r="C6" s="18" t="n">
        <v>5</v>
      </c>
    </row>
    <row r="7" customFormat="false" ht="15" hidden="false" customHeight="false" outlineLevel="0" collapsed="false">
      <c r="B7" s="21" t="s">
        <v>458</v>
      </c>
      <c r="C7" s="18" t="n">
        <v>29.5</v>
      </c>
    </row>
    <row r="8" customFormat="false" ht="15" hidden="false" customHeight="false" outlineLevel="0" collapsed="false">
      <c r="B8" s="21" t="s">
        <v>459</v>
      </c>
      <c r="C8" s="18" t="n">
        <v>45</v>
      </c>
    </row>
    <row r="9" customFormat="false" ht="15" hidden="false" customHeight="false" outlineLevel="0" collapsed="false">
      <c r="B9" s="53" t="s">
        <v>460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461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462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463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464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465</v>
      </c>
    </row>
    <row r="2" customFormat="false" ht="15" hidden="false" customHeight="false" outlineLevel="0" collapsed="false">
      <c r="A2" s="15" t="s">
        <v>153</v>
      </c>
      <c r="B2" s="15" t="s">
        <v>466</v>
      </c>
      <c r="C2" s="15" t="s">
        <v>467</v>
      </c>
      <c r="D2" s="15" t="s">
        <v>468</v>
      </c>
      <c r="E2" s="15" t="s">
        <v>469</v>
      </c>
      <c r="F2" s="15" t="s">
        <v>470</v>
      </c>
      <c r="G2" s="15" t="s">
        <v>471</v>
      </c>
      <c r="H2" s="15" t="s">
        <v>69</v>
      </c>
      <c r="I2" s="15" t="s">
        <v>472</v>
      </c>
      <c r="J2" s="15" t="s">
        <v>473</v>
      </c>
    </row>
    <row r="3" customFormat="false" ht="15" hidden="false" customHeight="false" outlineLevel="0" collapsed="false">
      <c r="A3" s="18" t="s">
        <v>474</v>
      </c>
      <c r="B3" s="18" t="s">
        <v>475</v>
      </c>
      <c r="C3" s="18" t="s">
        <v>476</v>
      </c>
      <c r="D3" s="18" t="s">
        <v>477</v>
      </c>
      <c r="E3" s="18" t="s">
        <v>478</v>
      </c>
      <c r="F3" s="18" t="s">
        <v>326</v>
      </c>
      <c r="G3" s="18" t="s">
        <v>479</v>
      </c>
      <c r="H3" s="18" t="s">
        <v>297</v>
      </c>
      <c r="I3" s="18" t="s">
        <v>326</v>
      </c>
      <c r="J3" s="18" t="s">
        <v>326</v>
      </c>
    </row>
    <row r="4" customFormat="false" ht="15" hidden="false" customHeight="false" outlineLevel="0" collapsed="false">
      <c r="A4" s="18" t="s">
        <v>480</v>
      </c>
      <c r="B4" s="18" t="s">
        <v>481</v>
      </c>
      <c r="C4" s="18" t="s">
        <v>482</v>
      </c>
      <c r="D4" s="18" t="s">
        <v>483</v>
      </c>
      <c r="E4" s="18" t="s">
        <v>484</v>
      </c>
      <c r="F4" s="18" t="s">
        <v>327</v>
      </c>
      <c r="G4" s="18" t="s">
        <v>485</v>
      </c>
      <c r="H4" s="18" t="s">
        <v>80</v>
      </c>
      <c r="I4" s="18" t="s">
        <v>327</v>
      </c>
      <c r="J4" s="18" t="s">
        <v>327</v>
      </c>
    </row>
    <row r="5" customFormat="false" ht="15" hidden="false" customHeight="false" outlineLevel="0" collapsed="false">
      <c r="A5" s="18" t="s">
        <v>486</v>
      </c>
      <c r="B5" s="18" t="s">
        <v>487</v>
      </c>
      <c r="C5" s="18" t="s">
        <v>488</v>
      </c>
      <c r="D5" s="18" t="s">
        <v>489</v>
      </c>
      <c r="E5" s="18" t="s">
        <v>490</v>
      </c>
      <c r="F5" s="18" t="s">
        <v>491</v>
      </c>
      <c r="G5" s="18" t="s">
        <v>492</v>
      </c>
      <c r="H5" s="18" t="s">
        <v>372</v>
      </c>
      <c r="I5" s="18" t="s">
        <v>329</v>
      </c>
      <c r="J5" s="18" t="s">
        <v>329</v>
      </c>
    </row>
    <row r="6" customFormat="false" ht="15" hidden="false" customHeight="false" outlineLevel="0" collapsed="false">
      <c r="A6" s="18" t="s">
        <v>493</v>
      </c>
      <c r="B6" s="18" t="s">
        <v>494</v>
      </c>
      <c r="C6" s="18" t="s">
        <v>495</v>
      </c>
      <c r="D6" s="18"/>
      <c r="E6" s="18" t="s">
        <v>496</v>
      </c>
      <c r="F6" s="18" t="s">
        <v>497</v>
      </c>
      <c r="G6" s="18" t="s">
        <v>495</v>
      </c>
      <c r="H6" s="18"/>
      <c r="I6" s="18" t="s">
        <v>330</v>
      </c>
      <c r="J6" s="18" t="s">
        <v>330</v>
      </c>
    </row>
    <row r="7" customFormat="false" ht="15" hidden="false" customHeight="false" outlineLevel="0" collapsed="false">
      <c r="A7" s="18" t="s">
        <v>498</v>
      </c>
      <c r="B7" s="18" t="s">
        <v>499</v>
      </c>
      <c r="C7" s="18"/>
      <c r="D7" s="18"/>
      <c r="E7" s="18" t="s">
        <v>500</v>
      </c>
      <c r="F7" s="18" t="s">
        <v>478</v>
      </c>
      <c r="G7" s="18"/>
      <c r="H7" s="18"/>
      <c r="I7" s="18" t="s">
        <v>331</v>
      </c>
      <c r="J7" s="18" t="s">
        <v>331</v>
      </c>
    </row>
    <row r="8" customFormat="false" ht="15" hidden="false" customHeight="false" outlineLevel="0" collapsed="false">
      <c r="A8" s="18" t="s">
        <v>501</v>
      </c>
      <c r="B8" s="18" t="s">
        <v>502</v>
      </c>
      <c r="C8" s="18"/>
      <c r="D8" s="18"/>
      <c r="E8" s="18" t="s">
        <v>332</v>
      </c>
      <c r="F8" s="18" t="s">
        <v>109</v>
      </c>
      <c r="G8" s="18"/>
      <c r="H8" s="18"/>
      <c r="I8" s="18" t="s">
        <v>333</v>
      </c>
      <c r="J8" s="18" t="s">
        <v>333</v>
      </c>
    </row>
    <row r="9" customFormat="false" ht="15" hidden="false" customHeight="false" outlineLevel="0" collapsed="false">
      <c r="A9" s="18" t="s">
        <v>503</v>
      </c>
      <c r="B9" s="18" t="s">
        <v>504</v>
      </c>
      <c r="C9" s="18"/>
      <c r="D9" s="18"/>
      <c r="E9" s="18" t="s">
        <v>505</v>
      </c>
      <c r="F9" s="18" t="s">
        <v>506</v>
      </c>
      <c r="G9" s="18"/>
      <c r="H9" s="18"/>
      <c r="I9" s="18" t="s">
        <v>507</v>
      </c>
      <c r="J9" s="18" t="s">
        <v>507</v>
      </c>
    </row>
    <row r="10" customFormat="false" ht="15" hidden="false" customHeight="false" outlineLevel="0" collapsed="false">
      <c r="A10" s="18" t="s">
        <v>495</v>
      </c>
      <c r="B10" s="18" t="s">
        <v>508</v>
      </c>
      <c r="C10" s="18"/>
      <c r="D10" s="18"/>
      <c r="E10" s="18" t="s">
        <v>329</v>
      </c>
      <c r="F10" s="18" t="s">
        <v>329</v>
      </c>
      <c r="G10" s="18"/>
      <c r="H10" s="18"/>
      <c r="I10" s="18" t="s">
        <v>509</v>
      </c>
      <c r="J10" s="18" t="s">
        <v>509</v>
      </c>
    </row>
    <row r="11" customFormat="false" ht="15" hidden="false" customHeight="false" outlineLevel="0" collapsed="false">
      <c r="A11" s="18"/>
      <c r="B11" s="18" t="s">
        <v>510</v>
      </c>
      <c r="C11" s="18"/>
      <c r="D11" s="18"/>
      <c r="E11" s="18" t="s">
        <v>511</v>
      </c>
      <c r="F11" s="18" t="s">
        <v>330</v>
      </c>
      <c r="G11" s="18"/>
      <c r="H11" s="18"/>
      <c r="I11" s="18" t="s">
        <v>336</v>
      </c>
      <c r="J11" s="18" t="s">
        <v>363</v>
      </c>
    </row>
    <row r="12" customFormat="false" ht="15" hidden="false" customHeight="false" outlineLevel="0" collapsed="false">
      <c r="A12" s="18"/>
      <c r="B12" s="18" t="s">
        <v>512</v>
      </c>
      <c r="C12" s="18"/>
      <c r="D12" s="18"/>
      <c r="E12" s="18" t="s">
        <v>513</v>
      </c>
      <c r="F12" s="18" t="s">
        <v>331</v>
      </c>
      <c r="G12" s="18"/>
      <c r="H12" s="18"/>
      <c r="I12" s="18" t="s">
        <v>514</v>
      </c>
      <c r="J12" s="18" t="s">
        <v>350</v>
      </c>
    </row>
    <row r="13" customFormat="false" ht="15" hidden="false" customHeight="false" outlineLevel="0" collapsed="false">
      <c r="A13" s="18"/>
      <c r="B13" s="18" t="s">
        <v>515</v>
      </c>
      <c r="C13" s="18"/>
      <c r="D13" s="18"/>
      <c r="E13" s="18" t="s">
        <v>516</v>
      </c>
      <c r="F13" s="18" t="s">
        <v>484</v>
      </c>
      <c r="G13" s="18"/>
      <c r="H13" s="18"/>
      <c r="I13" s="18" t="s">
        <v>517</v>
      </c>
      <c r="J13" s="18" t="s">
        <v>359</v>
      </c>
    </row>
    <row r="14" customFormat="false" ht="15" hidden="false" customHeight="false" outlineLevel="0" collapsed="false">
      <c r="A14" s="18"/>
      <c r="B14" s="18" t="s">
        <v>518</v>
      </c>
      <c r="C14" s="18"/>
      <c r="D14" s="18"/>
      <c r="E14" s="18" t="s">
        <v>519</v>
      </c>
      <c r="F14" s="18" t="s">
        <v>495</v>
      </c>
      <c r="G14" s="18"/>
      <c r="H14" s="18"/>
      <c r="I14" s="18" t="s">
        <v>341</v>
      </c>
      <c r="J14" s="18" t="s">
        <v>360</v>
      </c>
    </row>
    <row r="15" customFormat="false" ht="15" hidden="false" customHeight="false" outlineLevel="0" collapsed="false">
      <c r="A15" s="18"/>
      <c r="B15" s="18" t="s">
        <v>520</v>
      </c>
      <c r="C15" s="18"/>
      <c r="D15" s="18"/>
      <c r="E15" s="18" t="s">
        <v>521</v>
      </c>
      <c r="F15" s="18"/>
      <c r="G15" s="18"/>
      <c r="H15" s="18"/>
      <c r="I15" s="18" t="s">
        <v>522</v>
      </c>
      <c r="J15" s="18"/>
    </row>
    <row r="16" customFormat="false" ht="15" hidden="false" customHeight="false" outlineLevel="0" collapsed="false">
      <c r="A16" s="18"/>
      <c r="B16" s="18" t="s">
        <v>495</v>
      </c>
      <c r="C16" s="18"/>
      <c r="D16" s="18"/>
      <c r="E16" s="18" t="s">
        <v>523</v>
      </c>
      <c r="F16" s="18"/>
      <c r="G16" s="18"/>
      <c r="H16" s="18"/>
      <c r="I16" s="18" t="s">
        <v>524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525</v>
      </c>
      <c r="F17" s="18"/>
      <c r="G17" s="18"/>
      <c r="H17" s="18"/>
      <c r="I17" s="18" t="s">
        <v>526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495</v>
      </c>
      <c r="F18" s="18"/>
      <c r="G18" s="18"/>
      <c r="H18" s="18"/>
      <c r="I18" s="18" t="s">
        <v>527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528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529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530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531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357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350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359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360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532</v>
      </c>
      <c r="B1" s="66" t="s">
        <v>533</v>
      </c>
      <c r="C1" s="66" t="s">
        <v>534</v>
      </c>
      <c r="D1" s="66" t="s">
        <v>535</v>
      </c>
      <c r="E1" s="66" t="s">
        <v>536</v>
      </c>
      <c r="F1" s="66" t="s">
        <v>537</v>
      </c>
      <c r="G1" s="66" t="s">
        <v>538</v>
      </c>
      <c r="H1" s="66" t="s">
        <v>539</v>
      </c>
      <c r="I1" s="66" t="s">
        <v>540</v>
      </c>
      <c r="J1" s="66" t="s">
        <v>541</v>
      </c>
      <c r="K1" s="66" t="s">
        <v>542</v>
      </c>
      <c r="L1" s="66" t="s">
        <v>543</v>
      </c>
      <c r="M1" s="66" t="s">
        <v>544</v>
      </c>
      <c r="N1" s="66" t="s">
        <v>545</v>
      </c>
      <c r="O1" s="66" t="s">
        <v>546</v>
      </c>
      <c r="P1" s="66" t="s">
        <v>547</v>
      </c>
      <c r="Q1" s="66" t="s">
        <v>548</v>
      </c>
      <c r="R1" s="66" t="s">
        <v>549</v>
      </c>
      <c r="T1" s="66" t="s">
        <v>550</v>
      </c>
      <c r="U1" s="66" t="s">
        <v>551</v>
      </c>
      <c r="W1" s="67" t="s">
        <v>552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553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554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555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556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557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558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559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560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561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562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563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564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565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566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567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568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569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570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571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572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573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574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2026-10-19T08:22:44Z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